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Study_Area\C++\From_Calculus_to_Computer_Simulation\Notes\"/>
    </mc:Choice>
  </mc:AlternateContent>
  <xr:revisionPtr revIDLastSave="0" documentId="13_ncr:1_{2AD07118-E204-42A7-BB38-E718385C56A8}" xr6:coauthVersionLast="47" xr6:coauthVersionMax="47" xr10:uidLastSave="{00000000-0000-0000-0000-000000000000}"/>
  <bookViews>
    <workbookView xWindow="-120" yWindow="-120" windowWidth="29040" windowHeight="15720" activeTab="1" xr2:uid="{12E5B917-F4D8-493C-9B0A-8268453BB96E}"/>
  </bookViews>
  <sheets>
    <sheet name="Parabolic" sheetId="1" r:id="rId1"/>
    <sheet name="Sheet3" sheetId="3" r:id="rId2"/>
    <sheet name="Elliptical" sheetId="2" r:id="rId3"/>
  </sheets>
  <calcPr calcId="191029" iterate="1" iterateCount="10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 a="1"/>
  <c r="F10" i="3" s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P5" i="1"/>
  <c r="P2" i="1"/>
  <c r="Q2" i="1" s="1"/>
  <c r="L8" i="3"/>
  <c r="L7" i="3"/>
  <c r="L6" i="3"/>
  <c r="L5" i="3"/>
  <c r="L4" i="3"/>
  <c r="L2" i="1"/>
  <c r="M2" i="1" s="1"/>
  <c r="N2" i="1" s="1"/>
  <c r="O2" i="1" s="1"/>
  <c r="Q3" i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B4" i="1"/>
  <c r="M4" i="1" s="1"/>
  <c r="L4" i="1" l="1"/>
  <c r="M5" i="1" s="1"/>
  <c r="N4" i="1"/>
  <c r="L5" i="1" l="1"/>
  <c r="L6" i="1" s="1"/>
  <c r="N5" i="1"/>
  <c r="O5" i="1"/>
  <c r="O6" i="1" l="1"/>
  <c r="P6" i="1"/>
  <c r="P7" i="1" s="1"/>
  <c r="N6" i="1"/>
  <c r="M6" i="1"/>
  <c r="M7" i="1" s="1"/>
  <c r="N7" i="1" l="1"/>
  <c r="L7" i="1"/>
  <c r="L8" i="1" s="1"/>
  <c r="O7" i="1"/>
  <c r="O8" i="1" s="1"/>
  <c r="P8" i="1" l="1"/>
  <c r="P9" i="1" s="1"/>
  <c r="N8" i="1"/>
  <c r="M8" i="1"/>
  <c r="M9" i="1" s="1"/>
  <c r="N9" i="1" l="1"/>
  <c r="L9" i="1"/>
  <c r="L10" i="1" s="1"/>
  <c r="O9" i="1"/>
  <c r="O10" i="1" s="1"/>
  <c r="P10" i="1" l="1"/>
  <c r="P11" i="1" s="1"/>
  <c r="N10" i="1"/>
  <c r="M10" i="1"/>
  <c r="M11" i="1" s="1"/>
  <c r="N11" i="1" l="1"/>
  <c r="L11" i="1"/>
  <c r="L12" i="1" s="1"/>
  <c r="O11" i="1"/>
  <c r="O12" i="1" s="1"/>
  <c r="P12" i="1" l="1"/>
  <c r="P13" i="1" s="1"/>
  <c r="N12" i="1"/>
  <c r="M12" i="1"/>
  <c r="M13" i="1" s="1"/>
  <c r="N13" i="1" l="1"/>
  <c r="L13" i="1"/>
  <c r="L14" i="1" s="1"/>
  <c r="O13" i="1"/>
  <c r="O14" i="1" s="1"/>
  <c r="P14" i="1" l="1"/>
  <c r="P15" i="1" s="1"/>
  <c r="N14" i="1"/>
  <c r="M14" i="1"/>
  <c r="M15" i="1" s="1"/>
  <c r="N15" i="1" l="1"/>
  <c r="L15" i="1"/>
  <c r="L16" i="1" s="1"/>
  <c r="O15" i="1"/>
  <c r="O16" i="1" s="1"/>
  <c r="P16" i="1" l="1"/>
  <c r="P17" i="1" s="1"/>
  <c r="N16" i="1"/>
  <c r="M16" i="1"/>
  <c r="M17" i="1" s="1"/>
  <c r="N17" i="1" l="1"/>
  <c r="L17" i="1"/>
  <c r="L18" i="1" s="1"/>
  <c r="O17" i="1"/>
  <c r="O18" i="1" s="1"/>
  <c r="P18" i="1" l="1"/>
  <c r="P19" i="1" s="1"/>
  <c r="N18" i="1"/>
  <c r="M18" i="1"/>
  <c r="M19" i="1" s="1"/>
  <c r="N19" i="1" l="1"/>
  <c r="L19" i="1"/>
  <c r="L20" i="1" s="1"/>
  <c r="O19" i="1"/>
  <c r="O20" i="1" s="1"/>
  <c r="P20" i="1" l="1"/>
  <c r="P21" i="1" s="1"/>
  <c r="N20" i="1"/>
  <c r="M20" i="1"/>
  <c r="M21" i="1" s="1"/>
  <c r="N21" i="1" l="1"/>
  <c r="L21" i="1"/>
  <c r="L22" i="1" s="1"/>
  <c r="O21" i="1"/>
  <c r="O22" i="1" s="1"/>
  <c r="P22" i="1" l="1"/>
  <c r="P23" i="1" s="1"/>
  <c r="N22" i="1"/>
  <c r="M22" i="1"/>
  <c r="M23" i="1" s="1"/>
  <c r="N23" i="1" l="1"/>
  <c r="L23" i="1"/>
  <c r="L24" i="1" s="1"/>
  <c r="O23" i="1"/>
  <c r="O24" i="1" s="1"/>
  <c r="P24" i="1" l="1"/>
  <c r="P25" i="1" s="1"/>
  <c r="N24" i="1"/>
  <c r="M24" i="1"/>
  <c r="M25" i="1" s="1"/>
  <c r="N25" i="1" l="1"/>
  <c r="L25" i="1"/>
  <c r="L26" i="1" s="1"/>
  <c r="O25" i="1"/>
  <c r="O26" i="1" s="1"/>
  <c r="P26" i="1" l="1"/>
  <c r="P27" i="1" s="1"/>
  <c r="N26" i="1"/>
  <c r="M26" i="1"/>
  <c r="M27" i="1" s="1"/>
  <c r="N27" i="1" l="1"/>
  <c r="L27" i="1"/>
  <c r="L28" i="1" s="1"/>
  <c r="O27" i="1"/>
  <c r="O28" i="1" s="1"/>
  <c r="P28" i="1" l="1"/>
  <c r="P29" i="1" s="1"/>
  <c r="N28" i="1"/>
  <c r="M28" i="1"/>
  <c r="M29" i="1" s="1"/>
  <c r="N29" i="1" l="1"/>
  <c r="L29" i="1"/>
  <c r="L30" i="1" s="1"/>
  <c r="O29" i="1"/>
  <c r="O30" i="1" s="1"/>
  <c r="P30" i="1" l="1"/>
  <c r="P31" i="1" s="1"/>
  <c r="N30" i="1"/>
  <c r="M30" i="1"/>
  <c r="M31" i="1" s="1"/>
  <c r="N31" i="1" l="1"/>
  <c r="L31" i="1"/>
  <c r="L32" i="1" s="1"/>
  <c r="O31" i="1"/>
  <c r="O32" i="1" s="1"/>
  <c r="P32" i="1" l="1"/>
  <c r="P33" i="1" s="1"/>
  <c r="N32" i="1"/>
  <c r="M32" i="1"/>
  <c r="M33" i="1" s="1"/>
  <c r="N33" i="1" l="1"/>
  <c r="L33" i="1"/>
  <c r="L34" i="1" s="1"/>
  <c r="O33" i="1"/>
  <c r="O34" i="1" s="1"/>
  <c r="P34" i="1" l="1"/>
  <c r="P35" i="1" s="1"/>
  <c r="N34" i="1"/>
  <c r="M34" i="1"/>
  <c r="M35" i="1" s="1"/>
  <c r="N35" i="1" l="1"/>
  <c r="L35" i="1"/>
  <c r="L36" i="1" s="1"/>
  <c r="O35" i="1"/>
  <c r="O36" i="1" s="1"/>
  <c r="P36" i="1" l="1"/>
  <c r="P37" i="1" s="1"/>
  <c r="N36" i="1"/>
  <c r="M36" i="1"/>
  <c r="M37" i="1" s="1"/>
  <c r="N37" i="1" l="1"/>
  <c r="L37" i="1"/>
  <c r="L38" i="1" s="1"/>
  <c r="O37" i="1"/>
  <c r="O38" i="1" s="1"/>
  <c r="P38" i="1" l="1"/>
  <c r="P39" i="1" s="1"/>
  <c r="N38" i="1"/>
  <c r="M38" i="1"/>
  <c r="M39" i="1" s="1"/>
  <c r="N39" i="1" l="1"/>
  <c r="L39" i="1"/>
  <c r="L40" i="1" s="1"/>
  <c r="O39" i="1"/>
  <c r="O40" i="1" s="1"/>
  <c r="P40" i="1" l="1"/>
  <c r="P41" i="1" s="1"/>
  <c r="N40" i="1"/>
  <c r="M40" i="1"/>
  <c r="M41" i="1" s="1"/>
  <c r="N41" i="1" l="1"/>
  <c r="L41" i="1"/>
  <c r="L42" i="1" s="1"/>
  <c r="O41" i="1"/>
  <c r="O42" i="1" s="1"/>
  <c r="P42" i="1" l="1"/>
  <c r="P43" i="1" s="1"/>
  <c r="N42" i="1"/>
  <c r="M42" i="1"/>
  <c r="M43" i="1" s="1"/>
  <c r="N43" i="1" l="1"/>
  <c r="L43" i="1"/>
  <c r="L44" i="1" s="1"/>
  <c r="O43" i="1"/>
  <c r="O44" i="1" s="1"/>
  <c r="P44" i="1" l="1"/>
  <c r="P45" i="1" s="1"/>
  <c r="N44" i="1"/>
  <c r="M44" i="1"/>
  <c r="M45" i="1" s="1"/>
  <c r="N45" i="1" l="1"/>
  <c r="L45" i="1"/>
  <c r="L46" i="1" s="1"/>
  <c r="O45" i="1"/>
  <c r="O46" i="1" s="1"/>
  <c r="P46" i="1" l="1"/>
  <c r="P47" i="1" s="1"/>
  <c r="N46" i="1"/>
  <c r="M46" i="1"/>
  <c r="M47" i="1" s="1"/>
  <c r="N47" i="1" l="1"/>
  <c r="L47" i="1"/>
  <c r="L48" i="1" s="1"/>
  <c r="O47" i="1"/>
  <c r="O48" i="1" s="1"/>
  <c r="P48" i="1" l="1"/>
  <c r="P49" i="1" s="1"/>
  <c r="N48" i="1"/>
  <c r="M48" i="1"/>
  <c r="M49" i="1" s="1"/>
  <c r="N49" i="1" l="1"/>
  <c r="L49" i="1"/>
  <c r="L50" i="1" s="1"/>
  <c r="O49" i="1"/>
  <c r="O50" i="1" s="1"/>
  <c r="P50" i="1" l="1"/>
  <c r="P51" i="1" s="1"/>
  <c r="N50" i="1"/>
  <c r="M50" i="1"/>
  <c r="M51" i="1" s="1"/>
  <c r="N51" i="1" l="1"/>
  <c r="L51" i="1"/>
  <c r="O51" i="1"/>
  <c r="H7" i="2"/>
  <c r="I7" i="2"/>
  <c r="J7" i="2"/>
  <c r="K7" i="2"/>
  <c r="L7" i="2"/>
  <c r="M7" i="2"/>
  <c r="N7" i="2"/>
  <c r="O7" i="2"/>
  <c r="H8" i="2"/>
  <c r="I8" i="2"/>
  <c r="J8" i="2"/>
  <c r="K8" i="2"/>
  <c r="L8" i="2"/>
  <c r="M8" i="2"/>
  <c r="N8" i="2"/>
  <c r="O8" i="2"/>
  <c r="H9" i="2"/>
  <c r="I9" i="2"/>
  <c r="J9" i="2"/>
  <c r="K9" i="2"/>
  <c r="L9" i="2"/>
  <c r="M9" i="2"/>
  <c r="N9" i="2"/>
  <c r="O9" i="2"/>
  <c r="H10" i="2"/>
  <c r="I10" i="2"/>
  <c r="J10" i="2"/>
  <c r="K10" i="2"/>
  <c r="L10" i="2"/>
  <c r="M10" i="2"/>
  <c r="N10" i="2"/>
  <c r="O10" i="2"/>
  <c r="H11" i="2"/>
  <c r="I11" i="2"/>
  <c r="J11" i="2"/>
  <c r="K11" i="2"/>
  <c r="L11" i="2"/>
  <c r="M11" i="2"/>
  <c r="N11" i="2"/>
  <c r="O11" i="2"/>
  <c r="H12" i="2"/>
  <c r="I12" i="2"/>
  <c r="J12" i="2"/>
  <c r="K12" i="2"/>
  <c r="L12" i="2"/>
  <c r="M12" i="2"/>
  <c r="N12" i="2"/>
  <c r="O12" i="2"/>
  <c r="H13" i="2"/>
  <c r="I13" i="2"/>
  <c r="J13" i="2"/>
  <c r="K13" i="2"/>
  <c r="L13" i="2"/>
  <c r="M13" i="2"/>
  <c r="N13" i="2"/>
  <c r="O13" i="2"/>
  <c r="H14" i="2"/>
  <c r="I14" i="2"/>
  <c r="J14" i="2"/>
  <c r="K14" i="2"/>
  <c r="L14" i="2"/>
  <c r="M14" i="2"/>
  <c r="N14" i="2"/>
  <c r="O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<sst xmlns="http://schemas.openxmlformats.org/spreadsheetml/2006/main" count="6" uniqueCount="6">
  <si>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Time(s)</t>
    <phoneticPr fontId="2"/>
  </si>
  <si>
    <t>Position(m)</t>
    <phoneticPr fontId="2"/>
  </si>
  <si>
    <t>Thermal Diffusivity</t>
    <phoneticPr fontId="2"/>
  </si>
  <si>
    <t>Temporal Step Size</t>
    <phoneticPr fontId="2"/>
  </si>
  <si>
    <t>Stability Parameter λ</t>
    <phoneticPr fontId="2"/>
  </si>
  <si>
    <t>Space Step Size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</si>
</sst>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charset val="128"/>
    </font>
    <font>
      <sz val="11"/>
      <color theme="1"/>
      <name val="Arial Unicode MS"/>
      <family val="3"/>
      <charset val="128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1285875</xdr:colOff>
      <xdr:row>6</xdr:row>
      <xdr:rowOff>171450</xdr:rowOff>
    </xdr:from>
    <xdr:ext cx="2895600" cy="67044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B7222F59-2163-40F6-8B59-C21A99F906F4}"/>
                </a:ext>
              </a:extLst>
            </xdr:cNvPr>
            <xdr:cNvSpPr txBox="1"/>
          </xdr:nvSpPr>
          <xdr:spPr>
            <a:xfrm>
              <a:off x="1285875" y="1428750"/>
              <a:ext cx="2895600" cy="6704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𝑃𝐷𝐸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𝑇𝑟𝑎𝑛𝑠𝑖𝑒𝑛𝑡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 1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𝐷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𝐻𝑒𝑎𝑡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𝐶𝑜𝑛𝑑𝑢𝑐𝑡𝑖𝑜𝑛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𝐸𝑞𝑢𝑎𝑡𝑖𝑜𝑛</m:t>
                    </m:r>
                  </m:oMath>
                </m:oMathPara>
              </a14:m>
              <a:endParaRPr kumimoji="1" lang="en-US" altLang="ja-JP" sz="1100" b="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kumimoji="1" lang="en-US" altLang="ja-JP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ja-JP" altLang="en-US" sz="1100" i="1">
                            <a:latin typeface="Cambria Math" panose="02040503050406030204" pitchFamily="18" charset="0"/>
                          </a:rPr>
                          <m:t>𝜕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num>
                      <m:den>
                        <m:r>
                          <a:rPr kumimoji="1" lang="ja-JP" alt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𝜕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den>
                    </m:f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kumimoji="1" lang="ja-JP" altLang="en-US" sz="1100" b="0" i="1">
                        <a:latin typeface="Cambria Math" panose="02040503050406030204" pitchFamily="18" charset="0"/>
                      </a:rPr>
                      <m:t>𝛼</m:t>
                    </m:r>
                    <m:f>
                      <m:fPr>
                        <m:ctrlPr>
                          <a:rPr kumimoji="1" lang="en-US" altLang="ja-JP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kumimoji="1" lang="en-US" altLang="ja-JP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kumimoji="1" lang="ja-JP" altLang="en-US" sz="1100" i="1">
                                <a:latin typeface="Cambria Math" panose="02040503050406030204" pitchFamily="18" charset="0"/>
                              </a:rPr>
                              <m:t>𝜕</m:t>
                            </m:r>
                          </m:e>
                          <m:sup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num>
                      <m:den>
                        <m:r>
                          <a:rPr kumimoji="1" lang="ja-JP" altLang="en-US" sz="1100" i="1">
                            <a:latin typeface="Cambria Math" panose="02040503050406030204" pitchFamily="18" charset="0"/>
                          </a:rPr>
                          <m:t>𝜕</m:t>
                        </m:r>
                        <m:sSup>
                          <m:sSupPr>
                            <m:ctrlPr>
                              <a:rPr kumimoji="1" lang="en-US" altLang="ja-JP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kumimoji="1" lang="ja-JP" altLang="en-US" sz="1100"/>
            </a:p>
          </xdr:txBody>
        </xdr:sp>
      </mc:Choice>
      <mc:Fallback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B7222F59-2163-40F6-8B59-C21A99F906F4}"/>
                </a:ext>
              </a:extLst>
            </xdr:cNvPr>
            <xdr:cNvSpPr txBox="1"/>
          </xdr:nvSpPr>
          <xdr:spPr>
            <a:xfrm>
              <a:off x="1285875" y="1428750"/>
              <a:ext cx="2895600" cy="6704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 panose="02040503050406030204" pitchFamily="18" charset="0"/>
                </a:rPr>
                <a:t>𝑃𝐷𝐸 𝑇𝑟𝑎𝑛𝑠𝑖𝑒𝑛𝑡 1𝐷 𝐻𝑒𝑎𝑡 𝐶𝑜𝑛𝑑𝑢𝑐𝑡𝑖𝑜𝑛 𝐸𝑞𝑢𝑎𝑡𝑖𝑜𝑛</a:t>
              </a:r>
              <a:endParaRPr kumimoji="1" lang="en-US" altLang="ja-JP" sz="1100" b="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:r>
                <a:rPr kumimoji="1" lang="ja-JP" altLang="en-US" sz="1100" i="0">
                  <a:latin typeface="Cambria Math" panose="02040503050406030204" pitchFamily="18" charset="0"/>
                </a:rPr>
                <a:t>𝜕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𝑇/</a:t>
              </a:r>
              <a:r>
                <a:rPr kumimoji="1" lang="ja-JP" alt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𝜕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=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𝛼</a:t>
              </a:r>
              <a:r>
                <a:rPr kumimoji="1" lang="en-US" altLang="ja-JP" sz="1100" i="0">
                  <a:latin typeface="Cambria Math" panose="02040503050406030204" pitchFamily="18" charset="0"/>
                </a:rPr>
                <a:t> (</a:t>
              </a:r>
              <a:r>
                <a:rPr kumimoji="1" lang="ja-JP" altLang="en-US" sz="1100" i="0">
                  <a:latin typeface="Cambria Math" panose="02040503050406030204" pitchFamily="18" charset="0"/>
                </a:rPr>
                <a:t>𝜕</a:t>
              </a:r>
              <a:r>
                <a:rPr kumimoji="1" lang="en-US" altLang="ja-JP" sz="110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2 𝑇)/(</a:t>
              </a:r>
              <a:r>
                <a:rPr kumimoji="1" lang="ja-JP" altLang="en-US" sz="1100" i="0">
                  <a:latin typeface="Cambria Math" panose="02040503050406030204" pitchFamily="18" charset="0"/>
                </a:rPr>
                <a:t>𝜕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𝑥^2 )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0</xdr:col>
      <xdr:colOff>152399</xdr:colOff>
      <xdr:row>10</xdr:row>
      <xdr:rowOff>171449</xdr:rowOff>
    </xdr:from>
    <xdr:ext cx="2047875" cy="138614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4788F477-B8A2-4A40-BC73-1E76694D3C23}"/>
                </a:ext>
              </a:extLst>
            </xdr:cNvPr>
            <xdr:cNvSpPr txBox="1"/>
          </xdr:nvSpPr>
          <xdr:spPr>
            <a:xfrm>
              <a:off x="152399" y="2266949"/>
              <a:ext cx="2047875" cy="13861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kumimoji="1" lang="en-US" altLang="ja-JP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kumimoji="1" lang="ja-JP" altLang="en-US" sz="1100" i="1">
                            <a:latin typeface="Cambria Math" panose="02040503050406030204" pitchFamily="18" charset="0"/>
                          </a:rPr>
                          <m:t>𝜕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num>
                      <m:den>
                        <m:r>
                          <a:rPr kumimoji="1" lang="ja-JP" alt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𝜕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den>
                    </m:f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kumimoji="1" lang="en-US" altLang="ja-JP" sz="11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+1</m:t>
                            </m:r>
                          </m:sup>
                        </m:sSubSup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</m:num>
                      <m:den>
                        <m:r>
                          <a:rPr kumimoji="1" lang="en-US" altLang="ja-JP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∆</m:t>
                        </m:r>
                        <m:r>
                          <a:rPr kumimoji="1" lang="en-US" altLang="ja-JP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den>
                    </m:f>
                  </m:oMath>
                </m:oMathPara>
              </a14:m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</m:sub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+1</m:t>
                        </m:r>
                      </m:sup>
                    </m:sSub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: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𝑁𝑒𝑥𝑡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𝑠𝑡𝑒𝑝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𝑡𝑒𝑚𝑝𝑒𝑟𝑎𝑡𝑢𝑟𝑒</m:t>
                    </m:r>
                  </m:oMath>
                </m:oMathPara>
              </a14:m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</m:sub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p>
                    </m:sSub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: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𝐴𝑐𝑡𝑢𝑎𝑙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𝑡𝑒𝑚𝑝𝑒𝑟𝑎𝑡𝑢𝑟𝑒</m:t>
                    </m:r>
                  </m:oMath>
                </m:oMathPara>
              </a14:m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∆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𝑡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: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𝑇𝑖𝑚𝑒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𝑠𝑡𝑒𝑝</m:t>
                    </m:r>
                  </m:oMath>
                </m:oMathPara>
              </a14:m>
              <a:endParaRPr kumimoji="1" lang="ja-JP" altLang="en-US" sz="1100"/>
            </a:p>
          </xdr:txBody>
        </xdr:sp>
      </mc:Choice>
      <mc:Fallback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4788F477-B8A2-4A40-BC73-1E76694D3C23}"/>
                </a:ext>
              </a:extLst>
            </xdr:cNvPr>
            <xdr:cNvSpPr txBox="1"/>
          </xdr:nvSpPr>
          <xdr:spPr>
            <a:xfrm>
              <a:off x="152399" y="2266949"/>
              <a:ext cx="2047875" cy="13861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kumimoji="1" lang="ja-JP" altLang="en-US" sz="1100" i="0">
                  <a:latin typeface="Cambria Math" panose="02040503050406030204" pitchFamily="18" charset="0"/>
                </a:rPr>
                <a:t>𝜕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𝑇/</a:t>
              </a:r>
              <a:r>
                <a:rPr kumimoji="1" lang="ja-JP" alt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𝜕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=</a:t>
              </a:r>
              <a:r>
                <a:rPr kumimoji="1" lang="en-US" altLang="ja-JP" sz="110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𝑇_𝑖^(𝑛+1)−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𝑇_𝑖^𝑛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kumimoji="1" lang="en-US" altLang="ja-JP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kumimoji="1" lang="en-US" altLang="ja-JP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</a:t>
              </a:r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𝑇_𝑖^(𝑛+1)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:𝑁𝑒𝑥𝑡 𝑠𝑡𝑒𝑝 𝑡𝑒𝑚𝑝𝑒𝑟𝑎𝑡𝑢𝑟𝑒</a:t>
              </a:r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𝑇_𝑖^𝑛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:𝐴𝑐𝑡𝑢𝑎𝑙 𝑡𝑒𝑚𝑝𝑒𝑟𝑎𝑡𝑢𝑟𝑒</a:t>
              </a:r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:𝑇𝑖𝑚𝑒 𝑠𝑡𝑒𝑝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3</xdr:col>
      <xdr:colOff>314325</xdr:colOff>
      <xdr:row>10</xdr:row>
      <xdr:rowOff>171450</xdr:rowOff>
    </xdr:from>
    <xdr:ext cx="2781300" cy="12225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6939A3E0-0F45-42BA-9D55-D6658C4EBCBD}"/>
                </a:ext>
              </a:extLst>
            </xdr:cNvPr>
            <xdr:cNvSpPr txBox="1"/>
          </xdr:nvSpPr>
          <xdr:spPr>
            <a:xfrm>
              <a:off x="3095625" y="2266950"/>
              <a:ext cx="2781300" cy="1222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ja-JP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𝜕</m:t>
                            </m:r>
                          </m:e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num>
                      <m:den>
                        <m:r>
                          <a:rPr kumimoji="1" lang="ja-JP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𝜕</m:t>
                        </m:r>
                        <m:sSup>
                          <m:s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kumimoji="1" lang="en-US" altLang="ja-JP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kumimoji="1" lang="en-US" altLang="ja-JP" sz="11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</m:sSubSup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−2</m:t>
                        </m:r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</m:num>
                      <m:den>
                        <m:sSup>
                          <m:sSupPr>
                            <m:ctrlPr>
                              <a:rPr kumimoji="1" lang="en-US" altLang="ja-JP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kumimoji="1" lang="en-US" altLang="ja-JP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∆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−1</m:t>
                        </m:r>
                      </m:sub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p>
                    </m:sSub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</m:t>
                    </m:r>
                    <m:sSubSup>
                      <m:sSub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</m:sub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p>
                    </m:sSub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Sup>
                      <m:sSub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+1</m:t>
                        </m:r>
                      </m:sub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p>
                    </m:sSub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: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𝑇𝑒𝑚𝑝𝑒𝑟𝑎𝑡𝑢𝑟𝑒𝑠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𝑎𝑡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𝑛𝑒𝑖𝑔h𝑏𝑜𝑟𝑖𝑛𝑔</m:t>
                    </m:r>
                  </m:oMath>
                </m:oMathPara>
              </a14:m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𝑎𝑛𝑑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𝑐𝑒𝑛𝑡𝑟𝑎𝑙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𝑝𝑜𝑖𝑛𝑡𝑠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𝑎𝑙𝑙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𝑎𝑡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𝑡h𝑒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𝑐𝑢𝑟𝑟𝑒𝑛𝑡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𝑡𝑖𝑚𝑒</m:t>
                    </m:r>
                  </m:oMath>
                </m:oMathPara>
              </a14:m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∆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</m:d>
                      </m:e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: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𝑆𝑝𝑎𝑐𝑒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𝑠𝑡𝑒𝑝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𝑠𝑖𝑧𝑒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𝑠𝑞𝑢𝑎𝑟𝑒𝑑</m:t>
                    </m:r>
                  </m:oMath>
                </m:oMathPara>
              </a14:m>
              <a:endParaRPr kumimoji="1" lang="ja-JP" altLang="en-US" sz="1100"/>
            </a:p>
          </xdr:txBody>
        </xdr:sp>
      </mc:Choice>
      <mc:Fallback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6939A3E0-0F45-42BA-9D55-D6658C4EBCBD}"/>
                </a:ext>
              </a:extLst>
            </xdr:cNvPr>
            <xdr:cNvSpPr txBox="1"/>
          </xdr:nvSpPr>
          <xdr:spPr>
            <a:xfrm>
              <a:off x="3095625" y="2266950"/>
              <a:ext cx="2781300" cy="1222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kumimoji="1" lang="ja-JP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𝜕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𝑇)/(</a:t>
              </a:r>
              <a:r>
                <a:rPr kumimoji="1" lang="ja-JP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𝜕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𝑥^2 )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=</a:t>
              </a:r>
              <a:r>
                <a:rPr kumimoji="1" lang="en-US" altLang="ja-JP" sz="110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𝑇_(𝑖−1)^𝑛−2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𝑇_𝑖^𝑛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𝑇_(𝑖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1)^𝑛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𝑥)^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2 </a:t>
              </a:r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𝑇_(𝑖−1)^𝑛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2𝑇_𝑖^𝑛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𝑇_(𝑖+1)^𝑛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:𝑇𝑒𝑚𝑝𝑒𝑟𝑎𝑡𝑢𝑟𝑒𝑠 𝑎𝑡 𝑛𝑒𝑖𝑔ℎ𝑏𝑜𝑟𝑖𝑛𝑔</a:t>
              </a:r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𝑎𝑛𝑑 𝑐𝑒𝑛𝑡𝑟𝑎𝑙 𝑝𝑜𝑖𝑛𝑡𝑠, 𝑎𝑙𝑙 𝑎𝑡 𝑡ℎ𝑒 𝑐𝑢𝑟𝑟𝑒𝑛𝑡 𝑡𝑖𝑚𝑒</a:t>
              </a:r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𝑥)^2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:𝑆𝑝𝑎𝑐𝑒 𝑠𝑡𝑒𝑝 𝑠𝑖𝑧𝑒 𝑠𝑞𝑢𝑎𝑟𝑒𝑑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0</xdr:col>
      <xdr:colOff>133349</xdr:colOff>
      <xdr:row>19</xdr:row>
      <xdr:rowOff>190500</xdr:rowOff>
    </xdr:from>
    <xdr:ext cx="2676525" cy="237172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55737EF7-401A-40A9-B0D0-03E213D68B3E}"/>
                </a:ext>
              </a:extLst>
            </xdr:cNvPr>
            <xdr:cNvSpPr txBox="1"/>
          </xdr:nvSpPr>
          <xdr:spPr>
            <a:xfrm>
              <a:off x="133349" y="4171950"/>
              <a:ext cx="2676525" cy="23717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𝐹𝑖𝑛𝑖𝑡𝑒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𝐷𝑖𝑓𝑓𝑒𝑟𝑒𝑛𝑐𝑒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𝑀𝑒𝑡h𝑜𝑑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𝐸𝑥𝑝𝑙𝑖𝑐𝑖𝑡</m:t>
                    </m:r>
                  </m:oMath>
                </m:oMathPara>
              </a14:m>
              <a:endParaRPr kumimoji="1" lang="en-US" altLang="ja-JP" sz="1100" b="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+1</m:t>
                            </m:r>
                          </m:sup>
                        </m:sSub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</m:num>
                      <m:den>
                        <m: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</m:den>
                    </m:f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kumimoji="1" lang="ja-JP" altLang="en-US" sz="1100" b="0" i="1">
                        <a:latin typeface="Cambria Math" panose="02040503050406030204" pitchFamily="18" charset="0"/>
                      </a:rPr>
                      <m:t>𝛼</m:t>
                    </m:r>
                    <m:f>
                      <m:f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−1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−2</m:t>
                        </m:r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+1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</m:num>
                      <m:den>
                        <m:sSup>
                          <m:s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kumimoji="1" lang="en-US" altLang="ja-JP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∆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</m:sub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+1</m:t>
                        </m:r>
                      </m:sup>
                    </m:sSub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</m:sub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p>
                    </m:sSub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kumimoji="1" lang="ja-JP" alt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𝛼</m:t>
                        </m:r>
                        <m: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</m:num>
                      <m:den>
                        <m:sSup>
                          <m:s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kumimoji="1" lang="en-US" altLang="ja-JP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∆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d>
                      <m:d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−1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−2</m:t>
                        </m:r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+1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𝐶𝑜𝑛𝑠𝑖𝑑𝑒𝑟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:  </m:t>
                    </m:r>
                    <m:r>
                      <a:rPr kumimoji="1" lang="ja-JP" altLang="ja-JP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𝜆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kumimoji="1" lang="ja-JP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𝛼</m:t>
                        </m:r>
                        <m: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</m:num>
                      <m:den>
                        <m:sSup>
                          <m:s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kumimoji="1" lang="en-US" altLang="ja-JP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∆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</m:sub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+1</m:t>
                        </m:r>
                      </m:sup>
                    </m:sSub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</m:sub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p>
                    </m:sSub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+</m:t>
                    </m:r>
                    <m:r>
                      <a:rPr kumimoji="1" lang="ja-JP" alt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𝜆</m:t>
                    </m:r>
                    <m:d>
                      <m:d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−1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−2</m:t>
                        </m:r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+1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kumimoji="1" lang="ja-JP" altLang="en-US" sz="1100"/>
            </a:p>
          </xdr:txBody>
        </xdr:sp>
      </mc:Choice>
      <mc:Fallback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55737EF7-401A-40A9-B0D0-03E213D68B3E}"/>
                </a:ext>
              </a:extLst>
            </xdr:cNvPr>
            <xdr:cNvSpPr txBox="1"/>
          </xdr:nvSpPr>
          <xdr:spPr>
            <a:xfrm>
              <a:off x="133349" y="4171950"/>
              <a:ext cx="2676525" cy="23717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kumimoji="1" lang="en-US" altLang="ja-JP" sz="1100" b="0" i="0">
                  <a:latin typeface="Cambria Math" panose="02040503050406030204" pitchFamily="18" charset="0"/>
                </a:rPr>
                <a:t>𝐹𝑖𝑛𝑖𝑡𝑒 𝐷𝑖𝑓𝑓𝑒𝑟𝑒𝑛𝑐𝑒 𝑀𝑒𝑡ℎ𝑜𝑑 𝐸𝑥𝑝𝑙𝑖𝑐𝑖𝑡</a:t>
              </a:r>
              <a:endParaRPr kumimoji="1" lang="en-US" altLang="ja-JP" sz="1100" b="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𝑇_𝑖^(𝑛+1)−𝑇_𝑖^𝑛)/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=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𝛼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𝑇_(𝑖−1)^𝑛−2𝑇_𝑖^𝑛+𝑇_(𝑖+1)^𝑛)/(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𝑥)^2 </a:t>
              </a:r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𝑇_𝑖^(𝑛+1)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𝑇_𝑖^𝑛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kumimoji="1" lang="ja-JP" alt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𝑥)^2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𝑇_(𝑖−1)^𝑛−2𝑇_𝑖^𝑛+𝑇_(𝑖+1)^𝑛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𝐶𝑜𝑛𝑠𝑖𝑑𝑒𝑟:  </a:t>
              </a:r>
              <a:r>
                <a:rPr kumimoji="1" lang="ja-JP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kumimoji="1" lang="ja-JP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𝑡/(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𝑥)^2 </a:t>
              </a:r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𝑇_𝑖^(𝑛+1)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𝑇_𝑖^𝑛+</a:t>
              </a:r>
              <a:r>
                <a:rPr kumimoji="1" lang="ja-JP" alt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(𝑇_(𝑖−1)^𝑛−2𝑇_𝑖^𝑛+𝑇_(𝑖+1)^𝑛 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3</xdr:col>
      <xdr:colOff>371475</xdr:colOff>
      <xdr:row>19</xdr:row>
      <xdr:rowOff>142875</xdr:rowOff>
    </xdr:from>
    <xdr:ext cx="2676525" cy="237172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A2392DF2-2E80-45A2-ADBE-3806A2137115}"/>
                </a:ext>
              </a:extLst>
            </xdr:cNvPr>
            <xdr:cNvSpPr txBox="1"/>
          </xdr:nvSpPr>
          <xdr:spPr>
            <a:xfrm>
              <a:off x="3152775" y="4124325"/>
              <a:ext cx="2676525" cy="23717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𝐹𝑖𝑛𝑖𝑡𝑒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𝐷𝑖𝑓𝑓𝑒𝑟𝑒𝑛𝑐𝑒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𝑀𝑒𝑡h𝑜𝑑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𝐼𝑚𝑝𝑙𝑖𝑐𝑖𝑡</m:t>
                    </m:r>
                  </m:oMath>
                </m:oMathPara>
              </a14:m>
              <a:endParaRPr kumimoji="1" lang="en-US" altLang="ja-JP" sz="1100" b="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+1</m:t>
                            </m:r>
                          </m:sup>
                        </m:sSub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</m:num>
                      <m:den>
                        <m: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</m:den>
                    </m:f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kumimoji="1" lang="ja-JP" altLang="en-US" sz="1100" b="0" i="1">
                        <a:latin typeface="Cambria Math" panose="02040503050406030204" pitchFamily="18" charset="0"/>
                      </a:rPr>
                      <m:t>𝛼</m:t>
                    </m:r>
                    <m:f>
                      <m:f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−1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−2</m:t>
                        </m:r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+1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</m:num>
                      <m:den>
                        <m:sSup>
                          <m:s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kumimoji="1" lang="en-US" altLang="ja-JP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∆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</m:sub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+1</m:t>
                        </m:r>
                      </m:sup>
                    </m:sSub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</m:sub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p>
                    </m:sSub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kumimoji="1" lang="ja-JP" alt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𝛼</m:t>
                        </m:r>
                        <m: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</m:num>
                      <m:den>
                        <m:sSup>
                          <m:s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kumimoji="1" lang="en-US" altLang="ja-JP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∆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d>
                      <m:d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−1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−2</m:t>
                        </m:r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sSubSup>
                          <m:sSub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+1</m:t>
                            </m:r>
                          </m:sub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𝐶𝑜𝑛𝑠𝑖𝑑𝑒𝑟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:  </m:t>
                    </m:r>
                    <m:r>
                      <a:rPr kumimoji="1" lang="ja-JP" altLang="ja-JP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𝜆</m:t>
                    </m:r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kumimoji="1" lang="ja-JP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𝛼</m:t>
                        </m:r>
                        <m: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∆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𝑡</m:t>
                        </m:r>
                      </m:num>
                      <m:den>
                        <m:sSup>
                          <m:s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kumimoji="1" lang="en-US" altLang="ja-JP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kumimoji="1" lang="en-US" altLang="ja-JP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∆</m:t>
                                </m:r>
                                <m:r>
                                  <a:rPr kumimoji="1" lang="en-US" altLang="ja-JP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</m:d>
                          </m:e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</m:sub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</m:sup>
                    </m:sSub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</m:t>
                    </m:r>
                    <m:r>
                      <a:rPr kumimoji="1" lang="ja-JP" alt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𝜆</m:t>
                    </m:r>
                    <m:sSubSup>
                      <m:sSub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b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+1</m:t>
                        </m:r>
                      </m:sup>
                    </m:sSub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d>
                      <m:dPr>
                        <m:ctrlP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+2</m:t>
                        </m:r>
                        <m:r>
                          <a:rPr kumimoji="1" lang="ja-JP" alt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𝜆</m:t>
                        </m:r>
                      </m:e>
                    </m:d>
                    <m:sSubSup>
                      <m:sSub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</m:sub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+1</m:t>
                        </m:r>
                      </m:sup>
                    </m:sSubSup>
                    <m:r>
                      <a:rPr kumimoji="1" lang="en-US" altLang="ja-JP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kumimoji="1" lang="ja-JP" altLang="ja-JP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𝜆</m:t>
                    </m:r>
                    <m:sSubSup>
                      <m:sSubSupPr>
                        <m:ctrlPr>
                          <a:rPr kumimoji="1" lang="en-US" altLang="ja-JP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e>
                      <m:sub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+1</m:t>
                        </m:r>
                      </m:sup>
                    </m:sSubSup>
                  </m:oMath>
                </m:oMathPara>
              </a14:m>
              <a:endParaRPr kumimoji="1" lang="ja-JP" altLang="en-US" sz="1100"/>
            </a:p>
          </xdr:txBody>
        </xdr:sp>
      </mc:Choice>
      <mc:Fallback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A2392DF2-2E80-45A2-ADBE-3806A2137115}"/>
                </a:ext>
              </a:extLst>
            </xdr:cNvPr>
            <xdr:cNvSpPr txBox="1"/>
          </xdr:nvSpPr>
          <xdr:spPr>
            <a:xfrm>
              <a:off x="3152775" y="4124325"/>
              <a:ext cx="2676525" cy="23717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kumimoji="1" lang="en-US" altLang="ja-JP" sz="1100" b="0" i="0">
                  <a:latin typeface="Cambria Math" panose="02040503050406030204" pitchFamily="18" charset="0"/>
                </a:rPr>
                <a:t>𝐹𝑖𝑛𝑖𝑡𝑒 𝐷𝑖𝑓𝑓𝑒𝑟𝑒𝑛𝑐𝑒 𝑀𝑒𝑡ℎ𝑜𝑑 𝐼𝑚𝑝𝑙𝑖𝑐𝑖𝑡</a:t>
              </a:r>
              <a:endParaRPr kumimoji="1" lang="en-US" altLang="ja-JP" sz="1100" b="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𝑇_𝑖^(𝑛+1)−𝑇_𝑖^𝑛)/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=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𝛼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𝑇_(𝑖−1)^𝑛−2𝑇_𝑖^𝑛+𝑇_(𝑖+1)^𝑛)/(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𝑥)^2 </a:t>
              </a:r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𝑇_𝑖^(𝑛+1)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𝑇_𝑖^𝑛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kumimoji="1" lang="ja-JP" alt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𝑥)^2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(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𝑇_(𝑖−1)^𝑛−2𝑇_𝑖^𝑛+𝑇_(𝑖+1)^𝑛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𝐶𝑜𝑛𝑠𝑖𝑑𝑒𝑟:  </a:t>
              </a:r>
              <a:r>
                <a:rPr kumimoji="1" lang="ja-JP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kumimoji="1" lang="ja-JP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𝑡/(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𝑥)^2 </a:t>
              </a:r>
              <a:endParaRPr kumimoji="1" lang="en-US" altLang="ja-JP" sz="1100" b="0" i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kumimoji="1" lang="en-US" altLang="ja-JP" sz="1100" b="0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  <a:p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𝑇_𝑖^𝑛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=−</a:t>
              </a:r>
              <a:r>
                <a:rPr kumimoji="1" lang="ja-JP" alt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𝑇_(𝑖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−1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)^(𝑛+1)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+2</a:t>
              </a:r>
              <a:r>
                <a:rPr kumimoji="1" lang="ja-JP" alt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 𝑇_𝑖^(𝑛+1)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kumimoji="1" lang="ja-JP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𝜆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𝑇_(𝑖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1)^(𝑛+1)</a:t>
              </a:r>
              <a:endParaRPr kumimoji="1" lang="ja-JP" alt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333375</xdr:colOff>
      <xdr:row>3</xdr:row>
      <xdr:rowOff>0</xdr:rowOff>
    </xdr:from>
    <xdr:ext cx="1485899" cy="70371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D1014EEF-8DEA-F3F2-23DD-4147EB465B11}"/>
                </a:ext>
              </a:extLst>
            </xdr:cNvPr>
            <xdr:cNvSpPr txBox="1"/>
          </xdr:nvSpPr>
          <xdr:spPr>
            <a:xfrm>
              <a:off x="1704975" y="628650"/>
              <a:ext cx="1485899" cy="703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𝐿𝑎𝑝𝑙𝑎𝑐𝑒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𝐸𝑞𝑢𝑎𝑡𝑖𝑜𝑛</m:t>
                    </m:r>
                  </m:oMath>
                </m:oMathPara>
              </a14:m>
              <a:endParaRPr kumimoji="1" lang="en-US" altLang="ja-JP" sz="1100" b="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kumimoji="1" lang="en-US" altLang="ja-JP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kumimoji="1" lang="en-US" altLang="ja-JP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kumimoji="1" lang="ja-JP" altLang="en-US" sz="1100" i="1">
                                <a:latin typeface="Cambria Math" panose="02040503050406030204" pitchFamily="18" charset="0"/>
                              </a:rPr>
                              <m:t>𝜕</m:t>
                            </m:r>
                          </m:e>
                          <m:sup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num>
                      <m:den>
                        <m:r>
                          <a:rPr kumimoji="1" lang="ja-JP" altLang="en-US" sz="1100" i="1">
                            <a:latin typeface="Cambria Math" panose="02040503050406030204" pitchFamily="18" charset="0"/>
                          </a:rPr>
                          <m:t>𝜕</m:t>
                        </m:r>
                        <m:sSup>
                          <m:sSupPr>
                            <m:ctrlPr>
                              <a:rPr kumimoji="1" lang="en-US" altLang="ja-JP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p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ja-JP" alt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𝜕</m:t>
                            </m:r>
                          </m:e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kumimoji="1" lang="en-US" altLang="ja-JP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𝑇</m:t>
                        </m:r>
                      </m:num>
                      <m:den>
                        <m:r>
                          <a:rPr kumimoji="1" lang="ja-JP" alt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𝜕</m:t>
                        </m:r>
                        <m:sSup>
                          <m:sSupPr>
                            <m:ctrlPr>
                              <a:rPr kumimoji="1" lang="en-US" altLang="ja-JP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sup>
                            <m:r>
                              <a:rPr kumimoji="1" lang="en-US" altLang="ja-JP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kumimoji="1" lang="ja-JP" altLang="en-US" sz="1100"/>
            </a:p>
          </xdr:txBody>
        </xdr:sp>
      </mc:Choice>
      <mc:Fallback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D1014EEF-8DEA-F3F2-23DD-4147EB465B11}"/>
                </a:ext>
              </a:extLst>
            </xdr:cNvPr>
            <xdr:cNvSpPr txBox="1"/>
          </xdr:nvSpPr>
          <xdr:spPr>
            <a:xfrm>
              <a:off x="1704975" y="628650"/>
              <a:ext cx="1485899" cy="7037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 panose="02040503050406030204" pitchFamily="18" charset="0"/>
                </a:rPr>
                <a:t>𝐿𝑎𝑝𝑙𝑎𝑐𝑒 𝐸𝑞𝑢𝑎𝑡𝑖𝑜𝑛</a:t>
              </a:r>
              <a:endParaRPr kumimoji="1" lang="en-US" altLang="ja-JP" sz="1100" b="0" i="1">
                <a:latin typeface="Cambria Math" panose="02040503050406030204" pitchFamily="18" charset="0"/>
              </a:endParaRPr>
            </a:p>
            <a:p>
              <a:endParaRPr kumimoji="1" lang="en-US" altLang="ja-JP" sz="1100" i="1">
                <a:latin typeface="Cambria Math" panose="02040503050406030204" pitchFamily="18" charset="0"/>
              </a:endParaRPr>
            </a:p>
            <a:p>
              <a:r>
                <a:rPr kumimoji="1" lang="en-US" altLang="ja-JP" sz="1100" i="0">
                  <a:latin typeface="Cambria Math" panose="02040503050406030204" pitchFamily="18" charset="0"/>
                </a:rPr>
                <a:t>(</a:t>
              </a:r>
              <a:r>
                <a:rPr kumimoji="1" lang="ja-JP" altLang="en-US" sz="1100" i="0">
                  <a:latin typeface="Cambria Math" panose="02040503050406030204" pitchFamily="18" charset="0"/>
                </a:rPr>
                <a:t>𝜕</a:t>
              </a:r>
              <a:r>
                <a:rPr kumimoji="1" lang="en-US" altLang="ja-JP" sz="110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2 𝑇)/(</a:t>
              </a:r>
              <a:r>
                <a:rPr kumimoji="1" lang="ja-JP" altLang="en-US" sz="1100" i="0">
                  <a:latin typeface="Cambria Math" panose="02040503050406030204" pitchFamily="18" charset="0"/>
                </a:rPr>
                <a:t>𝜕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𝑥^2 )+(</a:t>
              </a:r>
              <a:r>
                <a:rPr kumimoji="1" lang="ja-JP" alt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𝜕</a:t>
              </a:r>
              <a:r>
                <a:rPr kumimoji="1" lang="en-US" altLang="ja-JP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𝑇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kumimoji="1" lang="ja-JP" alt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𝜕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kumimoji="1" lang="en-US" altLang="ja-JP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2 )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=0</a:t>
              </a:r>
              <a:endParaRPr kumimoji="1" lang="ja-JP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07FA-8B65-4103-BFD5-5CC90C3AC6E6}">
  <dimension ref="A1:Q51"/>
  <sheetViews>
    <sheetView topLeftCell="A7" workbookViewId="0">
      <selection activeCell="H6" sqref="H6"/>
    </sheetView>
  </sheetViews>
  <sheetFormatPr defaultRowHeight="16.5" x14ac:dyDescent="0.15"/>
  <cols>
    <col min="1" max="1" width="18.5" style="1" bestFit="1" customWidth="1"/>
    <col min="2" max="16384" width="9" style="1"/>
  </cols>
  <sheetData>
    <row r="1" spans="1:17" x14ac:dyDescent="0.15">
      <c r="A1" s="1" t="s">
        <v>2</v>
      </c>
      <c r="B1" s="1">
        <v>0.1</v>
      </c>
      <c r="J1" s="1" t="s">
        <v>0</v>
      </c>
      <c r="K1" s="1" t="s">
        <v>1</v>
      </c>
    </row>
    <row r="2" spans="1:17" x14ac:dyDescent="0.15">
      <c r="A2" s="1" t="s">
        <v>5</v>
      </c>
      <c r="B2" s="1">
        <v>0.1</v>
      </c>
      <c r="J2" s="1">
        <v>0</v>
      </c>
      <c r="K2" s="1">
        <v>0</v>
      </c>
      <c r="L2" s="1">
        <f>K2+$B$2</f>
        <v>0.1</v>
      </c>
      <c r="M2" s="1">
        <f>L2+$B$2</f>
        <v>0.2</v>
      </c>
      <c r="N2" s="1">
        <f>M2+$B$2</f>
        <v>0.30000000000000004</v>
      </c>
      <c r="O2" s="1">
        <f>N2+$B$2</f>
        <v>0.4</v>
      </c>
      <c r="P2" s="1">
        <f t="shared" ref="P2:Q2" si="0">O2+$B$2</f>
        <v>0.5</v>
      </c>
      <c r="Q2" s="1">
        <f t="shared" si="0"/>
        <v>0.6</v>
      </c>
    </row>
    <row r="3" spans="1:17" x14ac:dyDescent="0.15">
      <c r="A3" s="1" t="s">
        <v>3</v>
      </c>
      <c r="B3" s="1">
        <v>5.0000000000000001E-3</v>
      </c>
      <c r="J3" s="1">
        <f>J2+$B$3</f>
        <v>5.0000000000000001E-3</v>
      </c>
      <c r="K3" s="1">
        <v>100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f>K3</f>
        <v>100</v>
      </c>
    </row>
    <row r="4" spans="1:17" x14ac:dyDescent="0.15">
      <c r="A4" s="1" t="s">
        <v>4</v>
      </c>
      <c r="B4" s="1">
        <f>($B$1*$B$3)/($B$2^2)</f>
        <v>4.9999999999999989E-2</v>
      </c>
      <c r="J4" s="1">
        <f t="shared" ref="J4:J34" si="1">J3+$B$3</f>
        <v>0.01</v>
      </c>
      <c r="K4" s="1">
        <v>100</v>
      </c>
      <c r="L4" s="1">
        <f>L3 + $B$4 * (K3 - 2*L3 + M3)</f>
        <v>4.9999999999999991</v>
      </c>
      <c r="M4" s="1">
        <f t="shared" ref="M4:N4" si="2">M3 + $B$4 * (L3 - 2*M3 + N3)</f>
        <v>0</v>
      </c>
      <c r="N4" s="1">
        <f t="shared" si="2"/>
        <v>0</v>
      </c>
      <c r="O4" s="1">
        <v>0</v>
      </c>
      <c r="P4" s="1">
        <v>5</v>
      </c>
      <c r="Q4" s="1">
        <f t="shared" ref="Q4:Q51" si="3">K4</f>
        <v>100</v>
      </c>
    </row>
    <row r="5" spans="1:17" x14ac:dyDescent="0.15">
      <c r="J5" s="1">
        <f t="shared" si="1"/>
        <v>1.4999999999999999E-2</v>
      </c>
      <c r="K5" s="1">
        <v>100</v>
      </c>
      <c r="L5" s="1">
        <f t="shared" ref="L5:L34" si="4">L4 + $B$4 * (K4 - 2*L4 + M4)</f>
        <v>9.4999999999999982</v>
      </c>
      <c r="M5" s="1">
        <f t="shared" ref="M5:M34" si="5">M4 + $B$4 * (L4 - 2*M4 + N4)</f>
        <v>0.24999999999999989</v>
      </c>
      <c r="N5" s="1">
        <f t="shared" ref="N5:N34" si="6">N4 + $B$4 * (M4 - 2*N4 + O4)</f>
        <v>0</v>
      </c>
      <c r="O5" s="1">
        <f t="shared" ref="O5:O34" si="7">O4 + $B$4 * (N4 - 2*O4 + Q4)</f>
        <v>4.9999999999999991</v>
      </c>
      <c r="P5" s="1">
        <f t="shared" ref="P5" si="8">P4 + $B$4 * (O4 - 2*P4 + Q4)</f>
        <v>9.5</v>
      </c>
      <c r="Q5" s="1">
        <f t="shared" si="3"/>
        <v>100</v>
      </c>
    </row>
    <row r="6" spans="1:17" x14ac:dyDescent="0.15">
      <c r="J6" s="1">
        <f t="shared" si="1"/>
        <v>0.02</v>
      </c>
      <c r="K6" s="1">
        <v>100</v>
      </c>
      <c r="L6" s="1">
        <f t="shared" ref="L6:L51" si="9">L5 + $B$4 * (K5 - 2*L5 + M5)</f>
        <v>13.562499999999996</v>
      </c>
      <c r="M6" s="1">
        <f t="shared" ref="M6:M51" si="10">M5 + $B$4 * (L5 - 2*M5 + N5)</f>
        <v>0.69999999999999973</v>
      </c>
      <c r="N6" s="1">
        <f t="shared" ref="N6:N51" si="11">N5 + $B$4 * (M5 - 2*N5 + O5)</f>
        <v>0.2624999999999999</v>
      </c>
      <c r="O6" s="1">
        <f t="shared" ref="O6:O51" si="12">O5 + $B$4 * (N5 - 2*O5 + Q5)</f>
        <v>9.4999999999999982</v>
      </c>
      <c r="P6" s="1">
        <f t="shared" ref="P6:P51" si="13">P5 + $B$4 * (O5 - 2*P5 + Q5)</f>
        <v>13.799999999999999</v>
      </c>
      <c r="Q6" s="1">
        <f t="shared" si="3"/>
        <v>100</v>
      </c>
    </row>
    <row r="7" spans="1:17" x14ac:dyDescent="0.15">
      <c r="J7" s="1">
        <f t="shared" si="1"/>
        <v>2.5000000000000001E-2</v>
      </c>
      <c r="K7" s="1">
        <v>100</v>
      </c>
      <c r="L7" s="1">
        <f t="shared" si="9"/>
        <v>17.241249999999997</v>
      </c>
      <c r="M7" s="1">
        <f t="shared" si="10"/>
        <v>1.3212499999999996</v>
      </c>
      <c r="N7" s="1">
        <f t="shared" si="11"/>
        <v>0.74624999999999975</v>
      </c>
      <c r="O7" s="1">
        <f t="shared" si="12"/>
        <v>13.563124999999998</v>
      </c>
      <c r="P7" s="1">
        <f t="shared" si="13"/>
        <v>17.895</v>
      </c>
      <c r="Q7" s="1">
        <f t="shared" si="3"/>
        <v>100</v>
      </c>
    </row>
    <row r="8" spans="1:17" x14ac:dyDescent="0.15">
      <c r="J8" s="1">
        <f t="shared" si="1"/>
        <v>3.0000000000000002E-2</v>
      </c>
      <c r="K8" s="1">
        <v>100</v>
      </c>
      <c r="L8" s="1">
        <f t="shared" si="9"/>
        <v>20.583187499999998</v>
      </c>
      <c r="M8" s="1">
        <f t="shared" si="10"/>
        <v>2.0884999999999994</v>
      </c>
      <c r="N8" s="1">
        <f t="shared" si="11"/>
        <v>1.4158437499999994</v>
      </c>
      <c r="O8" s="1">
        <f t="shared" si="12"/>
        <v>17.244124999999997</v>
      </c>
      <c r="P8" s="1">
        <f t="shared" si="13"/>
        <v>21.78365625</v>
      </c>
      <c r="Q8" s="1">
        <f t="shared" si="3"/>
        <v>100</v>
      </c>
    </row>
    <row r="9" spans="1:17" x14ac:dyDescent="0.15">
      <c r="J9" s="1">
        <f t="shared" si="1"/>
        <v>3.5000000000000003E-2</v>
      </c>
      <c r="K9" s="1">
        <v>100</v>
      </c>
      <c r="L9" s="1">
        <f t="shared" si="9"/>
        <v>23.629293749999995</v>
      </c>
      <c r="M9" s="1">
        <f t="shared" si="10"/>
        <v>2.9796015624999992</v>
      </c>
      <c r="N9" s="1">
        <f t="shared" si="11"/>
        <v>2.2408906249999991</v>
      </c>
      <c r="O9" s="1">
        <f t="shared" si="12"/>
        <v>20.590504687499998</v>
      </c>
      <c r="P9" s="1">
        <f t="shared" si="13"/>
        <v>25.467496874999998</v>
      </c>
      <c r="Q9" s="1">
        <f t="shared" si="3"/>
        <v>100</v>
      </c>
    </row>
    <row r="10" spans="1:17" x14ac:dyDescent="0.15">
      <c r="J10" s="1">
        <f t="shared" si="1"/>
        <v>0.04</v>
      </c>
      <c r="K10" s="1">
        <v>100</v>
      </c>
      <c r="L10" s="1">
        <f t="shared" si="9"/>
        <v>26.415344453124995</v>
      </c>
      <c r="M10" s="1">
        <f t="shared" si="10"/>
        <v>3.9751506249999986</v>
      </c>
      <c r="N10" s="1">
        <f t="shared" si="11"/>
        <v>3.1953068749999987</v>
      </c>
      <c r="O10" s="1">
        <f t="shared" si="12"/>
        <v>23.643498749999996</v>
      </c>
      <c r="P10" s="1">
        <f t="shared" si="13"/>
        <v>28.950272421874999</v>
      </c>
      <c r="Q10" s="1">
        <f t="shared" si="3"/>
        <v>100</v>
      </c>
    </row>
    <row r="11" spans="1:17" x14ac:dyDescent="0.15">
      <c r="J11" s="1">
        <f t="shared" si="1"/>
        <v>4.4999999999999998E-2</v>
      </c>
      <c r="K11" s="1">
        <v>100</v>
      </c>
      <c r="L11" s="1">
        <f t="shared" si="9"/>
        <v>28.972567539062496</v>
      </c>
      <c r="M11" s="1">
        <f t="shared" si="10"/>
        <v>5.0581681289062486</v>
      </c>
      <c r="N11" s="1">
        <f t="shared" si="11"/>
        <v>4.2567086562499981</v>
      </c>
      <c r="O11" s="1">
        <f t="shared" si="12"/>
        <v>26.438914218749996</v>
      </c>
      <c r="P11" s="1">
        <f t="shared" si="13"/>
        <v>32.237420117187497</v>
      </c>
      <c r="Q11" s="1">
        <f t="shared" si="3"/>
        <v>100</v>
      </c>
    </row>
    <row r="12" spans="1:17" x14ac:dyDescent="0.15">
      <c r="J12" s="1">
        <f t="shared" si="1"/>
        <v>4.9999999999999996E-2</v>
      </c>
      <c r="K12" s="1">
        <v>100</v>
      </c>
      <c r="L12" s="1">
        <f t="shared" si="9"/>
        <v>31.328219191601558</v>
      </c>
      <c r="M12" s="1">
        <f t="shared" si="10"/>
        <v>6.2138151257812479</v>
      </c>
      <c r="N12" s="1">
        <f t="shared" si="11"/>
        <v>5.4058919080078098</v>
      </c>
      <c r="O12" s="1">
        <f t="shared" si="12"/>
        <v>29.007858229687496</v>
      </c>
      <c r="P12" s="1">
        <f t="shared" si="13"/>
        <v>35.335623816406247</v>
      </c>
      <c r="Q12" s="1">
        <f t="shared" si="3"/>
        <v>100</v>
      </c>
    </row>
    <row r="13" spans="1:17" x14ac:dyDescent="0.15">
      <c r="J13" s="1">
        <f t="shared" si="1"/>
        <v>5.4999999999999993E-2</v>
      </c>
      <c r="K13" s="1">
        <v>100</v>
      </c>
      <c r="L13" s="1">
        <f t="shared" si="9"/>
        <v>33.506088028730467</v>
      </c>
      <c r="M13" s="1">
        <f t="shared" si="10"/>
        <v>7.4291391681835917</v>
      </c>
      <c r="N13" s="1">
        <f t="shared" si="11"/>
        <v>6.6263863849804654</v>
      </c>
      <c r="O13" s="1">
        <f t="shared" si="12"/>
        <v>31.377367002119136</v>
      </c>
      <c r="P13" s="1">
        <f t="shared" si="13"/>
        <v>38.252454346249998</v>
      </c>
      <c r="Q13" s="1">
        <f t="shared" si="3"/>
        <v>100</v>
      </c>
    </row>
    <row r="14" spans="1:17" x14ac:dyDescent="0.15">
      <c r="J14" s="1">
        <f t="shared" si="1"/>
        <v>5.9999999999999991E-2</v>
      </c>
      <c r="K14" s="1">
        <v>100</v>
      </c>
      <c r="L14" s="1">
        <f t="shared" si="9"/>
        <v>35.526936184266603</v>
      </c>
      <c r="M14" s="1">
        <f t="shared" si="10"/>
        <v>8.6928489720507791</v>
      </c>
      <c r="N14" s="1">
        <f t="shared" si="11"/>
        <v>7.9040730549975553</v>
      </c>
      <c r="O14" s="1">
        <f t="shared" si="12"/>
        <v>33.570949621156245</v>
      </c>
      <c r="P14" s="1">
        <f t="shared" si="13"/>
        <v>40.996077261730953</v>
      </c>
      <c r="Q14" s="1">
        <f t="shared" si="3"/>
        <v>100</v>
      </c>
    </row>
    <row r="15" spans="1:17" x14ac:dyDescent="0.15">
      <c r="J15" s="1">
        <f t="shared" si="1"/>
        <v>6.4999999999999988E-2</v>
      </c>
      <c r="K15" s="1">
        <v>100</v>
      </c>
      <c r="L15" s="1">
        <f t="shared" si="9"/>
        <v>37.408885014442482</v>
      </c>
      <c r="M15" s="1">
        <f t="shared" si="10"/>
        <v>9.9951145368089094</v>
      </c>
      <c r="N15" s="1">
        <f t="shared" si="11"/>
        <v>9.2268556791581506</v>
      </c>
      <c r="O15" s="1">
        <f t="shared" si="12"/>
        <v>35.609058311790498</v>
      </c>
      <c r="P15" s="1">
        <f t="shared" si="13"/>
        <v>43.575017016615668</v>
      </c>
      <c r="Q15" s="1">
        <f t="shared" si="3"/>
        <v>100</v>
      </c>
    </row>
    <row r="16" spans="1:17" x14ac:dyDescent="0.15">
      <c r="J16" s="1">
        <f t="shared" si="1"/>
        <v>6.9999999999999993E-2</v>
      </c>
      <c r="K16" s="1">
        <v>100</v>
      </c>
      <c r="L16" s="1">
        <f t="shared" si="9"/>
        <v>39.167752239838677</v>
      </c>
      <c r="M16" s="1">
        <f t="shared" si="10"/>
        <v>11.327390117808049</v>
      </c>
      <c r="N16" s="1">
        <f t="shared" si="11"/>
        <v>10.584378753672306</v>
      </c>
      <c r="O16" s="1">
        <f t="shared" si="12"/>
        <v>37.509495264569352</v>
      </c>
      <c r="P16" s="1">
        <f t="shared" si="13"/>
        <v>45.997968230543627</v>
      </c>
      <c r="Q16" s="1">
        <f t="shared" si="3"/>
        <v>100</v>
      </c>
    </row>
    <row r="17" spans="10:17" x14ac:dyDescent="0.15">
      <c r="J17" s="1">
        <f t="shared" si="1"/>
        <v>7.4999999999999997E-2</v>
      </c>
      <c r="K17" s="1">
        <v>100</v>
      </c>
      <c r="L17" s="1">
        <f t="shared" si="9"/>
        <v>40.817346521745215</v>
      </c>
      <c r="M17" s="1">
        <f t="shared" si="10"/>
        <v>12.682257655702793</v>
      </c>
      <c r="N17" s="1">
        <f t="shared" si="11"/>
        <v>11.967785147423944</v>
      </c>
      <c r="O17" s="1">
        <f t="shared" si="12"/>
        <v>39.287764675796033</v>
      </c>
      <c r="P17" s="1">
        <f t="shared" si="13"/>
        <v>48.273646170717733</v>
      </c>
      <c r="Q17" s="1">
        <f t="shared" si="3"/>
        <v>100</v>
      </c>
    </row>
    <row r="18" spans="10:17" x14ac:dyDescent="0.15">
      <c r="J18" s="1">
        <f t="shared" si="1"/>
        <v>0.08</v>
      </c>
      <c r="K18" s="1">
        <v>100</v>
      </c>
      <c r="L18" s="1">
        <f t="shared" si="9"/>
        <v>42.369724752355836</v>
      </c>
      <c r="M18" s="1">
        <f t="shared" si="10"/>
        <v>14.053288473590971</v>
      </c>
      <c r="N18" s="1">
        <f t="shared" si="11"/>
        <v>13.36950774925649</v>
      </c>
      <c r="O18" s="1">
        <f t="shared" si="12"/>
        <v>40.957377465587626</v>
      </c>
      <c r="P18" s="1">
        <f t="shared" si="13"/>
        <v>50.410669787435758</v>
      </c>
      <c r="Q18" s="1">
        <f t="shared" si="3"/>
        <v>100</v>
      </c>
    </row>
    <row r="19" spans="10:17" x14ac:dyDescent="0.15">
      <c r="J19" s="1">
        <f t="shared" si="1"/>
        <v>8.5000000000000006E-2</v>
      </c>
      <c r="K19" s="1">
        <v>100</v>
      </c>
      <c r="L19" s="1">
        <f t="shared" si="9"/>
        <v>43.835416700799797</v>
      </c>
      <c r="M19" s="1">
        <f t="shared" si="10"/>
        <v>15.43492125131249</v>
      </c>
      <c r="N19" s="1">
        <f t="shared" si="11"/>
        <v>14.783090271289771</v>
      </c>
      <c r="O19" s="1">
        <f t="shared" si="12"/>
        <v>42.530115106491685</v>
      </c>
      <c r="P19" s="1">
        <f t="shared" si="13"/>
        <v>52.417471681971563</v>
      </c>
      <c r="Q19" s="1">
        <f t="shared" si="3"/>
        <v>100</v>
      </c>
    </row>
    <row r="20" spans="10:17" x14ac:dyDescent="0.15">
      <c r="J20" s="1">
        <f t="shared" si="1"/>
        <v>9.0000000000000011E-2</v>
      </c>
      <c r="K20" s="1">
        <v>100</v>
      </c>
      <c r="L20" s="1">
        <f t="shared" si="9"/>
        <v>45.223621093285445</v>
      </c>
      <c r="M20" s="1">
        <f t="shared" si="10"/>
        <v>16.822354474785719</v>
      </c>
      <c r="N20" s="1">
        <f t="shared" si="11"/>
        <v>16.203033062051002</v>
      </c>
      <c r="O20" s="1">
        <f t="shared" si="12"/>
        <v>44.016258109407005</v>
      </c>
      <c r="P20" s="1">
        <f t="shared" si="13"/>
        <v>54.302230269098992</v>
      </c>
      <c r="Q20" s="1">
        <f t="shared" si="3"/>
        <v>100</v>
      </c>
    </row>
    <row r="21" spans="10:17" x14ac:dyDescent="0.15">
      <c r="J21" s="1">
        <f t="shared" si="1"/>
        <v>9.5000000000000015E-2</v>
      </c>
      <c r="K21" s="1">
        <v>100</v>
      </c>
      <c r="L21" s="1">
        <f t="shared" si="9"/>
        <v>46.542376707696185</v>
      </c>
      <c r="M21" s="1">
        <f t="shared" si="10"/>
        <v>18.211451735073968</v>
      </c>
      <c r="N21" s="1">
        <f t="shared" si="11"/>
        <v>17.624660385055538</v>
      </c>
      <c r="O21" s="1">
        <f t="shared" si="12"/>
        <v>45.424783951568855</v>
      </c>
      <c r="P21" s="1">
        <f t="shared" si="13"/>
        <v>56.072820147659442</v>
      </c>
      <c r="Q21" s="1">
        <f t="shared" si="3"/>
        <v>100</v>
      </c>
    </row>
    <row r="22" spans="10:17" x14ac:dyDescent="0.15">
      <c r="J22" s="1">
        <f t="shared" si="1"/>
        <v>0.10000000000000002</v>
      </c>
      <c r="K22" s="1">
        <v>100</v>
      </c>
      <c r="L22" s="1">
        <f t="shared" si="9"/>
        <v>47.798711623680262</v>
      </c>
      <c r="M22" s="1">
        <f t="shared" si="10"/>
        <v>19.598658416204156</v>
      </c>
      <c r="N22" s="1">
        <f t="shared" si="11"/>
        <v>19.044006130882124</v>
      </c>
      <c r="O22" s="1">
        <f t="shared" si="12"/>
        <v>46.763538575664747</v>
      </c>
      <c r="P22" s="1">
        <f t="shared" si="13"/>
        <v>57.736777330471938</v>
      </c>
      <c r="Q22" s="1">
        <f t="shared" si="3"/>
        <v>100</v>
      </c>
    </row>
    <row r="23" spans="10:17" x14ac:dyDescent="0.15">
      <c r="J23" s="1">
        <f t="shared" si="1"/>
        <v>0.10500000000000002</v>
      </c>
      <c r="K23" s="1">
        <v>100</v>
      </c>
      <c r="L23" s="1">
        <f t="shared" si="9"/>
        <v>48.998773382122444</v>
      </c>
      <c r="M23" s="1">
        <f t="shared" si="10"/>
        <v>20.980928462311859</v>
      </c>
      <c r="N23" s="1">
        <f t="shared" si="11"/>
        <v>20.457715367387358</v>
      </c>
      <c r="O23" s="1">
        <f t="shared" si="12"/>
        <v>48.039385024642378</v>
      </c>
      <c r="P23" s="1">
        <f t="shared" si="13"/>
        <v>59.301276526207978</v>
      </c>
      <c r="Q23" s="1">
        <f t="shared" si="3"/>
        <v>100</v>
      </c>
    </row>
    <row r="24" spans="10:17" x14ac:dyDescent="0.15">
      <c r="J24" s="1">
        <f t="shared" si="1"/>
        <v>0.11000000000000003</v>
      </c>
      <c r="K24" s="1">
        <v>100</v>
      </c>
      <c r="L24" s="1">
        <f t="shared" si="9"/>
        <v>50.147942467025793</v>
      </c>
      <c r="M24" s="1">
        <f t="shared" si="10"/>
        <v>22.355660053556164</v>
      </c>
      <c r="N24" s="1">
        <f t="shared" si="11"/>
        <v>21.862959504996333</v>
      </c>
      <c r="O24" s="1">
        <f t="shared" si="12"/>
        <v>49.258332290547507</v>
      </c>
      <c r="P24" s="1">
        <f t="shared" si="13"/>
        <v>60.773118124819298</v>
      </c>
      <c r="Q24" s="1">
        <f t="shared" si="3"/>
        <v>100</v>
      </c>
    </row>
    <row r="25" spans="10:17" x14ac:dyDescent="0.15">
      <c r="J25" s="1">
        <f t="shared" si="1"/>
        <v>0.11500000000000003</v>
      </c>
      <c r="K25" s="1">
        <v>100</v>
      </c>
      <c r="L25" s="1">
        <f t="shared" si="9"/>
        <v>51.250931223001018</v>
      </c>
      <c r="M25" s="1">
        <f t="shared" si="10"/>
        <v>23.720639146801652</v>
      </c>
      <c r="N25" s="1">
        <f t="shared" si="11"/>
        <v>23.257363171701883</v>
      </c>
      <c r="O25" s="1">
        <f t="shared" si="12"/>
        <v>50.425647036742575</v>
      </c>
      <c r="P25" s="1">
        <f t="shared" si="13"/>
        <v>62.158722926864741</v>
      </c>
      <c r="Q25" s="1">
        <f t="shared" si="3"/>
        <v>100</v>
      </c>
    </row>
    <row r="26" spans="10:17" x14ac:dyDescent="0.15">
      <c r="J26" s="1">
        <f t="shared" si="1"/>
        <v>0.12000000000000004</v>
      </c>
      <c r="K26" s="1">
        <v>100</v>
      </c>
      <c r="L26" s="1">
        <f t="shared" si="9"/>
        <v>52.311870058041002</v>
      </c>
      <c r="M26" s="1">
        <f t="shared" si="10"/>
        <v>25.073989951856632</v>
      </c>
      <c r="N26" s="1">
        <f t="shared" si="11"/>
        <v>24.638941163708907</v>
      </c>
      <c r="O26" s="1">
        <f t="shared" si="12"/>
        <v>51.545950491653414</v>
      </c>
      <c r="P26" s="1">
        <f t="shared" si="13"/>
        <v>63.464132986015393</v>
      </c>
      <c r="Q26" s="1">
        <f t="shared" si="3"/>
        <v>100</v>
      </c>
    </row>
    <row r="27" spans="10:17" x14ac:dyDescent="0.15">
      <c r="J27" s="1">
        <f t="shared" si="1"/>
        <v>0.12500000000000003</v>
      </c>
      <c r="K27" s="1">
        <v>100</v>
      </c>
      <c r="L27" s="1">
        <f t="shared" si="9"/>
        <v>53.334382549829733</v>
      </c>
      <c r="M27" s="1">
        <f t="shared" si="10"/>
        <v>26.414131517758463</v>
      </c>
      <c r="N27" s="1">
        <f t="shared" si="11"/>
        <v>26.006044069513518</v>
      </c>
      <c r="O27" s="1">
        <f t="shared" si="12"/>
        <v>52.623302500673518</v>
      </c>
      <c r="P27" s="1">
        <f t="shared" si="13"/>
        <v>64.695017211996529</v>
      </c>
      <c r="Q27" s="1">
        <f t="shared" si="3"/>
        <v>100</v>
      </c>
    </row>
    <row r="28" spans="10:17" x14ac:dyDescent="0.15">
      <c r="J28" s="1">
        <f t="shared" si="1"/>
        <v>0.13000000000000003</v>
      </c>
      <c r="K28" s="1">
        <v>100</v>
      </c>
      <c r="L28" s="1">
        <f t="shared" si="9"/>
        <v>54.321650870734686</v>
      </c>
      <c r="M28" s="1">
        <f t="shared" si="10"/>
        <v>27.73973969694978</v>
      </c>
      <c r="N28" s="1">
        <f t="shared" si="11"/>
        <v>27.357311363483763</v>
      </c>
      <c r="O28" s="1">
        <f t="shared" si="12"/>
        <v>53.661274454081841</v>
      </c>
      <c r="P28" s="1">
        <f t="shared" si="13"/>
        <v>65.856680615830555</v>
      </c>
      <c r="Q28" s="1">
        <f t="shared" si="3"/>
        <v>100</v>
      </c>
    </row>
    <row r="29" spans="10:17" x14ac:dyDescent="0.15">
      <c r="J29" s="1">
        <f t="shared" si="1"/>
        <v>0.13500000000000004</v>
      </c>
      <c r="K29" s="1">
        <v>100</v>
      </c>
      <c r="L29" s="1">
        <f t="shared" si="9"/>
        <v>55.276472768508704</v>
      </c>
      <c r="M29" s="1">
        <f t="shared" si="10"/>
        <v>29.049713838965722</v>
      </c>
      <c r="N29" s="1">
        <f t="shared" si="11"/>
        <v>28.691630934686966</v>
      </c>
      <c r="O29" s="1">
        <f t="shared" si="12"/>
        <v>54.663012576847848</v>
      </c>
      <c r="P29" s="1">
        <f t="shared" si="13"/>
        <v>66.954076276951596</v>
      </c>
      <c r="Q29" s="1">
        <f t="shared" si="3"/>
        <v>100</v>
      </c>
    </row>
    <row r="30" spans="10:17" x14ac:dyDescent="0.15">
      <c r="J30" s="1">
        <f t="shared" si="1"/>
        <v>0.14000000000000004</v>
      </c>
      <c r="K30" s="1">
        <v>100</v>
      </c>
      <c r="L30" s="1">
        <f t="shared" si="9"/>
        <v>56.201311183606123</v>
      </c>
      <c r="M30" s="1">
        <f t="shared" si="10"/>
        <v>30.343147640228935</v>
      </c>
      <c r="N30" s="1">
        <f t="shared" si="11"/>
        <v>30.008104162008948</v>
      </c>
      <c r="O30" s="1">
        <f t="shared" si="12"/>
        <v>55.631292865897414</v>
      </c>
      <c r="P30" s="1">
        <f t="shared" si="13"/>
        <v>67.991819278098831</v>
      </c>
      <c r="Q30" s="1">
        <f t="shared" si="3"/>
        <v>100</v>
      </c>
    </row>
    <row r="31" spans="10:17" x14ac:dyDescent="0.15">
      <c r="J31" s="1">
        <f t="shared" si="1"/>
        <v>0.14500000000000005</v>
      </c>
      <c r="K31" s="1">
        <v>100</v>
      </c>
      <c r="L31" s="1">
        <f t="shared" si="9"/>
        <v>57.098337447256959</v>
      </c>
      <c r="M31" s="1">
        <f t="shared" si="10"/>
        <v>31.619303643486795</v>
      </c>
      <c r="N31" s="1">
        <f t="shared" si="11"/>
        <v>31.306015771114371</v>
      </c>
      <c r="O31" s="1">
        <f t="shared" si="12"/>
        <v>56.568568787408118</v>
      </c>
      <c r="P31" s="1">
        <f t="shared" si="13"/>
        <v>68.974201993583819</v>
      </c>
      <c r="Q31" s="1">
        <f t="shared" si="3"/>
        <v>100</v>
      </c>
    </row>
    <row r="32" spans="10:17" x14ac:dyDescent="0.15">
      <c r="J32" s="1">
        <f t="shared" si="1"/>
        <v>0.15000000000000005</v>
      </c>
      <c r="K32" s="1">
        <v>100</v>
      </c>
      <c r="L32" s="1">
        <f t="shared" si="9"/>
        <v>57.969468884705606</v>
      </c>
      <c r="M32" s="1">
        <f t="shared" si="10"/>
        <v>32.877590940056685</v>
      </c>
      <c r="N32" s="1">
        <f t="shared" si="11"/>
        <v>32.584807815547677</v>
      </c>
      <c r="O32" s="1">
        <f t="shared" si="12"/>
        <v>57.477012697223024</v>
      </c>
      <c r="P32" s="1">
        <f t="shared" si="13"/>
        <v>69.905210233595838</v>
      </c>
      <c r="Q32" s="1">
        <f t="shared" si="3"/>
        <v>100</v>
      </c>
    </row>
    <row r="33" spans="10:17" x14ac:dyDescent="0.15">
      <c r="J33" s="1">
        <f t="shared" si="1"/>
        <v>0.15500000000000005</v>
      </c>
      <c r="K33" s="1">
        <v>100</v>
      </c>
      <c r="L33" s="1">
        <f t="shared" si="9"/>
        <v>58.81640154323788</v>
      </c>
      <c r="M33" s="1">
        <f t="shared" si="10"/>
        <v>34.117545681063682</v>
      </c>
      <c r="N33" s="1">
        <f t="shared" si="11"/>
        <v>33.844057215856893</v>
      </c>
      <c r="O33" s="1">
        <f t="shared" si="12"/>
        <v>58.358551818278109</v>
      </c>
      <c r="P33" s="1">
        <f t="shared" si="13"/>
        <v>70.788539845097404</v>
      </c>
      <c r="Q33" s="1">
        <f t="shared" si="3"/>
        <v>100</v>
      </c>
    </row>
    <row r="34" spans="10:17" x14ac:dyDescent="0.15">
      <c r="J34" s="1">
        <f t="shared" si="1"/>
        <v>0.16000000000000006</v>
      </c>
      <c r="K34" s="1">
        <v>100</v>
      </c>
      <c r="L34" s="1">
        <f t="shared" si="9"/>
        <v>59.640638672967278</v>
      </c>
      <c r="M34" s="1">
        <f t="shared" si="10"/>
        <v>35.338814050912049</v>
      </c>
      <c r="N34" s="1">
        <f t="shared" si="11"/>
        <v>35.083456369238291</v>
      </c>
      <c r="O34" s="1">
        <f t="shared" si="12"/>
        <v>59.214899497243145</v>
      </c>
      <c r="P34" s="1">
        <f t="shared" si="13"/>
        <v>71.627613451501574</v>
      </c>
      <c r="Q34" s="1">
        <f t="shared" si="3"/>
        <v>100</v>
      </c>
    </row>
    <row r="35" spans="10:17" x14ac:dyDescent="0.15">
      <c r="J35" s="1">
        <f>J34+$B$3</f>
        <v>0.16500000000000006</v>
      </c>
      <c r="K35" s="1">
        <v>100</v>
      </c>
      <c r="L35" s="1">
        <f t="shared" si="9"/>
        <v>60.443515508216151</v>
      </c>
      <c r="M35" s="1">
        <f t="shared" si="10"/>
        <v>36.541137397931124</v>
      </c>
      <c r="N35" s="1">
        <f t="shared" si="11"/>
        <v>36.30279640972222</v>
      </c>
      <c r="O35" s="1">
        <f t="shared" si="12"/>
        <v>60.047582365980745</v>
      </c>
      <c r="P35" s="1">
        <f t="shared" si="13"/>
        <v>72.425597081213567</v>
      </c>
      <c r="Q35" s="1">
        <f t="shared" si="3"/>
        <v>100</v>
      </c>
    </row>
    <row r="36" spans="10:17" x14ac:dyDescent="0.15">
      <c r="J36" s="1">
        <f>J35+$B$3</f>
        <v>0.17000000000000007</v>
      </c>
      <c r="K36" s="1">
        <v>100</v>
      </c>
      <c r="L36" s="1">
        <f t="shared" si="9"/>
        <v>61.226220827291094</v>
      </c>
      <c r="M36" s="1">
        <f t="shared" si="10"/>
        <v>37.72433925403493</v>
      </c>
      <c r="N36" s="1">
        <f t="shared" si="11"/>
        <v>37.501952756945592</v>
      </c>
      <c r="O36" s="1">
        <f t="shared" si="12"/>
        <v>60.857963949868783</v>
      </c>
      <c r="P36" s="1">
        <f t="shared" si="13"/>
        <v>73.185416491391251</v>
      </c>
      <c r="Q36" s="1">
        <f t="shared" si="3"/>
        <v>100</v>
      </c>
    </row>
    <row r="37" spans="10:17" x14ac:dyDescent="0.15">
      <c r="J37" s="1">
        <f>J36+$B$3</f>
        <v>0.17500000000000007</v>
      </c>
      <c r="K37" s="1">
        <v>100</v>
      </c>
      <c r="L37" s="1">
        <f t="shared" si="9"/>
        <v>61.98981570726373</v>
      </c>
      <c r="M37" s="1">
        <f t="shared" si="10"/>
        <v>38.88831400784327</v>
      </c>
      <c r="N37" s="1">
        <f t="shared" si="11"/>
        <v>38.680872641446214</v>
      </c>
      <c r="O37" s="1">
        <f t="shared" si="12"/>
        <v>61.647265192729186</v>
      </c>
      <c r="P37" s="1">
        <f t="shared" si="13"/>
        <v>73.909773039745559</v>
      </c>
      <c r="Q37" s="1">
        <f t="shared" si="3"/>
        <v>100</v>
      </c>
    </row>
    <row r="38" spans="10:17" x14ac:dyDescent="0.15">
      <c r="J38" s="1">
        <f>J37+$B$3</f>
        <v>0.18000000000000008</v>
      </c>
      <c r="K38" s="1">
        <v>100</v>
      </c>
      <c r="L38" s="1">
        <f t="shared" si="9"/>
        <v>62.735249836929519</v>
      </c>
      <c r="M38" s="1">
        <f t="shared" si="10"/>
        <v>40.033017024494441</v>
      </c>
      <c r="N38" s="1">
        <f t="shared" si="11"/>
        <v>39.839564337330216</v>
      </c>
      <c r="O38" s="1">
        <f t="shared" si="12"/>
        <v>62.416582305528578</v>
      </c>
      <c r="P38" s="1">
        <f t="shared" si="13"/>
        <v>74.601158995407459</v>
      </c>
      <c r="Q38" s="1">
        <f t="shared" si="3"/>
        <v>100</v>
      </c>
    </row>
    <row r="39" spans="10:17" x14ac:dyDescent="0.15">
      <c r="J39" s="1">
        <f>J38+$B$3</f>
        <v>0.18500000000000008</v>
      </c>
      <c r="K39" s="1">
        <v>100</v>
      </c>
      <c r="L39" s="1">
        <f t="shared" si="9"/>
        <v>63.463375704461292</v>
      </c>
      <c r="M39" s="1">
        <f t="shared" si="10"/>
        <v>41.158456030757982</v>
      </c>
      <c r="N39" s="1">
        <f t="shared" si="11"/>
        <v>40.978087870098342</v>
      </c>
      <c r="O39" s="1">
        <f t="shared" si="12"/>
        <v>63.166902291842234</v>
      </c>
      <c r="P39" s="1">
        <f t="shared" si="13"/>
        <v>75.261872211143142</v>
      </c>
      <c r="Q39" s="1">
        <f t="shared" si="3"/>
        <v>100</v>
      </c>
    </row>
    <row r="40" spans="10:17" x14ac:dyDescent="0.15">
      <c r="J40" s="1">
        <f>J39+$B$3</f>
        <v>0.19000000000000009</v>
      </c>
      <c r="K40" s="1">
        <v>100</v>
      </c>
      <c r="L40" s="1">
        <f t="shared" si="9"/>
        <v>64.174960935553059</v>
      </c>
      <c r="M40" s="1">
        <f t="shared" si="10"/>
        <v>42.264683606410166</v>
      </c>
      <c r="N40" s="1">
        <f t="shared" si="11"/>
        <v>42.096546999218518</v>
      </c>
      <c r="O40" s="1">
        <f t="shared" si="12"/>
        <v>63.899116456162929</v>
      </c>
      <c r="P40" s="1">
        <f t="shared" si="13"/>
        <v>75.894030104620938</v>
      </c>
      <c r="Q40" s="1">
        <f t="shared" si="3"/>
        <v>100</v>
      </c>
    </row>
    <row r="41" spans="10:17" x14ac:dyDescent="0.15">
      <c r="J41" s="1">
        <f>J40+$B$3</f>
        <v>0.19500000000000009</v>
      </c>
      <c r="K41" s="1">
        <v>100</v>
      </c>
      <c r="L41" s="1">
        <f t="shared" si="9"/>
        <v>64.870699022318263</v>
      </c>
      <c r="M41" s="1">
        <f t="shared" si="10"/>
        <v>43.35179064250773</v>
      </c>
      <c r="N41" s="1">
        <f t="shared" si="11"/>
        <v>43.19508230242532</v>
      </c>
      <c r="O41" s="1">
        <f t="shared" si="12"/>
        <v>64.614032160507563</v>
      </c>
      <c r="P41" s="1">
        <f t="shared" si="13"/>
        <v>76.499582916966986</v>
      </c>
      <c r="Q41" s="1">
        <f t="shared" si="3"/>
        <v>100</v>
      </c>
    </row>
    <row r="42" spans="10:17" x14ac:dyDescent="0.15">
      <c r="J42" s="1">
        <f>J41+$B$3</f>
        <v>0.20000000000000009</v>
      </c>
      <c r="K42" s="1">
        <v>100</v>
      </c>
      <c r="L42" s="1">
        <f t="shared" si="9"/>
        <v>65.55121865221183</v>
      </c>
      <c r="M42" s="1">
        <f t="shared" si="10"/>
        <v>44.419900644494135</v>
      </c>
      <c r="N42" s="1">
        <f t="shared" si="11"/>
        <v>44.273865212333554</v>
      </c>
      <c r="O42" s="1">
        <f t="shared" si="12"/>
        <v>65.312383059578067</v>
      </c>
      <c r="P42" s="1">
        <f t="shared" si="13"/>
        <v>77.080326233295665</v>
      </c>
      <c r="Q42" s="1">
        <f t="shared" si="3"/>
        <v>100</v>
      </c>
    </row>
    <row r="43" spans="10:17" x14ac:dyDescent="0.15">
      <c r="J43" s="1">
        <f>J42+$B$3</f>
        <v>0.2050000000000001</v>
      </c>
      <c r="K43" s="1">
        <v>100</v>
      </c>
      <c r="L43" s="1">
        <f t="shared" si="9"/>
        <v>66.217091819215355</v>
      </c>
      <c r="M43" s="1">
        <f t="shared" si="10"/>
        <v>45.469164773271991</v>
      </c>
      <c r="N43" s="1">
        <f t="shared" si="11"/>
        <v>45.333092876303809</v>
      </c>
      <c r="O43" s="1">
        <f t="shared" si="12"/>
        <v>65.994838014236933</v>
      </c>
      <c r="P43" s="1">
        <f t="shared" si="13"/>
        <v>77.637912762945007</v>
      </c>
      <c r="Q43" s="1">
        <f t="shared" si="3"/>
        <v>100</v>
      </c>
    </row>
    <row r="44" spans="10:17" x14ac:dyDescent="0.15">
      <c r="J44" s="1">
        <f>J43+$B$3</f>
        <v>0.2100000000000001</v>
      </c>
      <c r="K44" s="1">
        <v>100</v>
      </c>
      <c r="L44" s="1">
        <f t="shared" si="9"/>
        <v>66.868840875957417</v>
      </c>
      <c r="M44" s="1">
        <f t="shared" si="10"/>
        <v>46.49975753072075</v>
      </c>
      <c r="N44" s="1">
        <f t="shared" si="11"/>
        <v>46.372983728048872</v>
      </c>
      <c r="O44" s="1">
        <f t="shared" si="12"/>
        <v>66.662008856628432</v>
      </c>
      <c r="P44" s="1">
        <f t="shared" si="13"/>
        <v>78.173863387362346</v>
      </c>
      <c r="Q44" s="1">
        <f t="shared" si="3"/>
        <v>100</v>
      </c>
    </row>
    <row r="45" spans="10:17" x14ac:dyDescent="0.15">
      <c r="J45" s="1">
        <f>J44+$B$3</f>
        <v>0.21500000000000011</v>
      </c>
      <c r="K45" s="1">
        <v>100</v>
      </c>
      <c r="L45" s="1">
        <f t="shared" si="9"/>
        <v>67.506944664897716</v>
      </c>
      <c r="M45" s="1">
        <f t="shared" si="10"/>
        <v>47.51187300784899</v>
      </c>
      <c r="N45" s="1">
        <f t="shared" si="11"/>
        <v>47.393773674611445</v>
      </c>
      <c r="O45" s="1">
        <f t="shared" si="12"/>
        <v>67.314457157368025</v>
      </c>
      <c r="P45" s="1">
        <f t="shared" si="13"/>
        <v>78.689577491457527</v>
      </c>
      <c r="Q45" s="1">
        <f t="shared" si="3"/>
        <v>100</v>
      </c>
    </row>
    <row r="46" spans="10:17" x14ac:dyDescent="0.15">
      <c r="J46" s="1">
        <f>J45+$B$3</f>
        <v>0.22000000000000011</v>
      </c>
      <c r="K46" s="1">
        <v>100</v>
      </c>
      <c r="L46" s="1">
        <f t="shared" si="9"/>
        <v>68.131843848800401</v>
      </c>
      <c r="M46" s="1">
        <f t="shared" si="10"/>
        <v>48.505721624039552</v>
      </c>
      <c r="N46" s="1">
        <f t="shared" si="11"/>
        <v>48.395712815411152</v>
      </c>
      <c r="O46" s="1">
        <f t="shared" si="12"/>
        <v>67.952700125361801</v>
      </c>
      <c r="P46" s="1">
        <f t="shared" si="13"/>
        <v>79.186342600180168</v>
      </c>
      <c r="Q46" s="1">
        <f t="shared" si="3"/>
        <v>100</v>
      </c>
    </row>
    <row r="47" spans="10:17" x14ac:dyDescent="0.15">
      <c r="J47" s="1">
        <f>J46+$B$3</f>
        <v>0.22500000000000012</v>
      </c>
      <c r="K47" s="1">
        <v>100</v>
      </c>
      <c r="L47" s="1">
        <f t="shared" si="9"/>
        <v>68.743945545122344</v>
      </c>
      <c r="M47" s="1">
        <f t="shared" si="10"/>
        <v>49.481527294846174</v>
      </c>
      <c r="N47" s="1">
        <f t="shared" si="11"/>
        <v>49.379062621340104</v>
      </c>
      <c r="O47" s="1">
        <f t="shared" si="12"/>
        <v>68.577215753596178</v>
      </c>
      <c r="P47" s="1">
        <f t="shared" si="13"/>
        <v>79.665343346430248</v>
      </c>
      <c r="Q47" s="1">
        <f t="shared" si="3"/>
        <v>100</v>
      </c>
    </row>
    <row r="48" spans="10:17" x14ac:dyDescent="0.15">
      <c r="J48" s="1">
        <f>J47+$B$3</f>
        <v>0.23000000000000012</v>
      </c>
      <c r="K48" s="1">
        <v>100</v>
      </c>
      <c r="L48" s="1">
        <f t="shared" si="9"/>
        <v>69.343627355352425</v>
      </c>
      <c r="M48" s="1">
        <f t="shared" si="10"/>
        <v>50.439524973684676</v>
      </c>
      <c r="N48" s="1">
        <f t="shared" si="11"/>
        <v>50.344093511628209</v>
      </c>
      <c r="O48" s="1">
        <f t="shared" si="12"/>
        <v>69.188447309303569</v>
      </c>
      <c r="P48" s="1">
        <f t="shared" si="13"/>
        <v>80.127669799467029</v>
      </c>
      <c r="Q48" s="1">
        <f t="shared" si="3"/>
        <v>100</v>
      </c>
    </row>
    <row r="49" spans="10:17" x14ac:dyDescent="0.15">
      <c r="J49" s="1">
        <f>J48+$B$3</f>
        <v>0.23500000000000013</v>
      </c>
      <c r="K49" s="1">
        <v>100</v>
      </c>
      <c r="L49" s="1">
        <f t="shared" si="9"/>
        <v>69.931240868501419</v>
      </c>
      <c r="M49" s="1">
        <f t="shared" si="10"/>
        <v>51.379958519665237</v>
      </c>
      <c r="N49" s="1">
        <f t="shared" si="11"/>
        <v>51.2910827746148</v>
      </c>
      <c r="O49" s="1">
        <f t="shared" si="12"/>
        <v>69.78680725395462</v>
      </c>
      <c r="P49" s="1">
        <f t="shared" si="13"/>
        <v>80.574325184985497</v>
      </c>
      <c r="Q49" s="1">
        <f t="shared" si="3"/>
        <v>100</v>
      </c>
    </row>
    <row r="50" spans="10:17" x14ac:dyDescent="0.15">
      <c r="J50" s="1">
        <f>J49+$B$3</f>
        <v>0.24000000000000013</v>
      </c>
      <c r="K50" s="1">
        <v>100</v>
      </c>
      <c r="L50" s="1">
        <f t="shared" si="9"/>
        <v>70.507114707634543</v>
      </c>
      <c r="M50" s="1">
        <f t="shared" si="10"/>
        <v>52.303078849854522</v>
      </c>
      <c r="N50" s="1">
        <f t="shared" si="11"/>
        <v>52.220312785834309</v>
      </c>
      <c r="O50" s="1">
        <f t="shared" si="12"/>
        <v>70.372680667289899</v>
      </c>
      <c r="P50" s="1">
        <f t="shared" si="13"/>
        <v>81.006233029184685</v>
      </c>
      <c r="Q50" s="1">
        <f t="shared" si="3"/>
        <v>100</v>
      </c>
    </row>
    <row r="51" spans="10:17" x14ac:dyDescent="0.15">
      <c r="J51" s="1">
        <f>J50+$B$3</f>
        <v>0.24500000000000013</v>
      </c>
      <c r="K51" s="1">
        <v>100</v>
      </c>
      <c r="L51" s="1">
        <f t="shared" si="9"/>
        <v>71.071557179363808</v>
      </c>
      <c r="M51" s="1">
        <f t="shared" si="10"/>
        <v>53.20914233954251</v>
      </c>
      <c r="N51" s="1">
        <f t="shared" si="11"/>
        <v>53.132069483108097</v>
      </c>
      <c r="O51" s="1">
        <f t="shared" si="12"/>
        <v>70.946428239852622</v>
      </c>
      <c r="P51" s="1">
        <f t="shared" si="13"/>
        <v>81.424243759630713</v>
      </c>
      <c r="Q51" s="1">
        <f t="shared" si="3"/>
        <v>100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9C72-5A65-47C3-9EE1-319FF20DC6A4}">
  <dimension ref="B1:L14"/>
  <sheetViews>
    <sheetView tabSelected="1" workbookViewId="0">
      <selection activeCell="K21" sqref="K21"/>
    </sheetView>
  </sheetViews>
  <sheetFormatPr defaultRowHeight="16.5" x14ac:dyDescent="0.15"/>
  <cols>
    <col min="1" max="16384" width="9" style="1"/>
  </cols>
  <sheetData>
    <row r="1" spans="2:12" x14ac:dyDescent="0.15">
      <c r="B1" s="1">
        <v>1</v>
      </c>
    </row>
    <row r="3" spans="2:12" x14ac:dyDescent="0.15">
      <c r="B3" s="1">
        <v>0</v>
      </c>
      <c r="D3" s="1">
        <v>0</v>
      </c>
      <c r="F3" s="1">
        <v>3</v>
      </c>
      <c r="G3" s="1">
        <v>-1</v>
      </c>
      <c r="H3" s="1">
        <v>0</v>
      </c>
      <c r="I3" s="1">
        <v>0</v>
      </c>
      <c r="J3" s="1">
        <v>0</v>
      </c>
    </row>
    <row r="4" spans="2:12" x14ac:dyDescent="0.15">
      <c r="B4" s="1">
        <v>100</v>
      </c>
      <c r="D4" s="1">
        <v>100</v>
      </c>
      <c r="F4" s="1">
        <v>-1</v>
      </c>
      <c r="G4" s="1">
        <v>3</v>
      </c>
      <c r="H4" s="1">
        <v>-1</v>
      </c>
      <c r="I4" s="1">
        <v>0</v>
      </c>
      <c r="J4" s="1">
        <v>0</v>
      </c>
      <c r="L4" s="1">
        <f>D4 + $B$1*D3</f>
        <v>100</v>
      </c>
    </row>
    <row r="5" spans="2:12" x14ac:dyDescent="0.15">
      <c r="B5" s="1">
        <v>0</v>
      </c>
      <c r="D5" s="1">
        <v>100</v>
      </c>
      <c r="F5" s="1">
        <v>0</v>
      </c>
      <c r="G5" s="1">
        <v>-1</v>
      </c>
      <c r="H5" s="1">
        <v>3</v>
      </c>
      <c r="I5" s="1">
        <v>-1</v>
      </c>
      <c r="J5" s="1">
        <v>0</v>
      </c>
      <c r="L5" s="1">
        <f>D5</f>
        <v>100</v>
      </c>
    </row>
    <row r="6" spans="2:12" x14ac:dyDescent="0.15">
      <c r="D6" s="1">
        <v>100</v>
      </c>
      <c r="F6" s="1">
        <v>0</v>
      </c>
      <c r="G6" s="1">
        <v>0</v>
      </c>
      <c r="H6" s="1">
        <v>-1</v>
      </c>
      <c r="I6" s="1">
        <v>3</v>
      </c>
      <c r="J6" s="1">
        <v>-1</v>
      </c>
      <c r="L6" s="1">
        <f>D6</f>
        <v>100</v>
      </c>
    </row>
    <row r="7" spans="2:12" x14ac:dyDescent="0.15">
      <c r="D7" s="1">
        <v>100</v>
      </c>
      <c r="F7" s="1">
        <v>0</v>
      </c>
      <c r="G7" s="1">
        <v>0</v>
      </c>
      <c r="H7" s="1">
        <v>0</v>
      </c>
      <c r="I7" s="1">
        <v>-1</v>
      </c>
      <c r="J7" s="1">
        <v>3</v>
      </c>
      <c r="L7" s="1">
        <f>D7</f>
        <v>100</v>
      </c>
    </row>
    <row r="8" spans="2:12" x14ac:dyDescent="0.15">
      <c r="D8" s="1">
        <v>100</v>
      </c>
      <c r="L8" s="1">
        <f>D8 + $B$1*D9</f>
        <v>100</v>
      </c>
    </row>
    <row r="9" spans="2:12" x14ac:dyDescent="0.15">
      <c r="D9" s="1">
        <v>0</v>
      </c>
    </row>
    <row r="10" spans="2:12" x14ac:dyDescent="0.15">
      <c r="F10" s="1" cm="1">
        <f t="array" ref="F10:J14">MINVERSE(F3:J7)</f>
        <v>0.38194444444444442</v>
      </c>
      <c r="G10" s="1">
        <v>0.14583333333333334</v>
      </c>
      <c r="H10" s="1">
        <v>5.5555555555555559E-2</v>
      </c>
      <c r="I10" s="1">
        <v>2.0833333333333332E-2</v>
      </c>
      <c r="J10" s="1">
        <v>6.9444444444444441E-3</v>
      </c>
    </row>
    <row r="11" spans="2:12" x14ac:dyDescent="0.15">
      <c r="F11" s="1">
        <v>0.14583333333333334</v>
      </c>
      <c r="G11" s="1">
        <v>0.43750000000000006</v>
      </c>
      <c r="H11" s="1">
        <v>0.16666666666666669</v>
      </c>
      <c r="I11" s="1">
        <v>6.25E-2</v>
      </c>
      <c r="J11" s="1">
        <v>2.0833333333333332E-2</v>
      </c>
    </row>
    <row r="12" spans="2:12" x14ac:dyDescent="0.15">
      <c r="F12" s="1">
        <v>5.5555555555555559E-2</v>
      </c>
      <c r="G12" s="1">
        <v>0.16666666666666666</v>
      </c>
      <c r="H12" s="1">
        <v>0.44444444444444448</v>
      </c>
      <c r="I12" s="1">
        <v>0.16666666666666666</v>
      </c>
      <c r="J12" s="1">
        <v>5.5555555555555546E-2</v>
      </c>
    </row>
    <row r="13" spans="2:12" x14ac:dyDescent="0.15">
      <c r="F13" s="1">
        <v>2.0833333333333332E-2</v>
      </c>
      <c r="G13" s="1">
        <v>6.25E-2</v>
      </c>
      <c r="H13" s="1">
        <v>0.16666666666666666</v>
      </c>
      <c r="I13" s="1">
        <v>0.43749999999999994</v>
      </c>
      <c r="J13" s="1">
        <v>0.14583333333333331</v>
      </c>
    </row>
    <row r="14" spans="2:12" x14ac:dyDescent="0.15">
      <c r="F14" s="1">
        <v>6.9444444444444441E-3</v>
      </c>
      <c r="G14" s="1">
        <v>2.0833333333333332E-2</v>
      </c>
      <c r="H14" s="1">
        <v>5.5555555555555552E-2</v>
      </c>
      <c r="I14" s="1">
        <v>0.14583333333333334</v>
      </c>
      <c r="J14" s="1">
        <v>0.38194444444444442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6DF8-2E19-4E4F-A1FC-6469993FF2B4}">
  <dimension ref="G6:P15"/>
  <sheetViews>
    <sheetView workbookViewId="0">
      <selection activeCell="D17" sqref="D17"/>
    </sheetView>
  </sheetViews>
  <sheetFormatPr defaultRowHeight="16.5" x14ac:dyDescent="0.15"/>
  <cols>
    <col min="1" max="16384" width="9" style="1"/>
  </cols>
  <sheetData>
    <row r="6" spans="7:16" x14ac:dyDescent="0.15">
      <c r="G6" s="2">
        <v>100</v>
      </c>
      <c r="H6" s="2">
        <v>100</v>
      </c>
      <c r="I6" s="2">
        <v>100</v>
      </c>
      <c r="J6" s="2">
        <v>100</v>
      </c>
      <c r="K6" s="2">
        <v>100</v>
      </c>
      <c r="L6" s="2">
        <v>100</v>
      </c>
      <c r="M6" s="2">
        <v>100</v>
      </c>
      <c r="N6" s="2">
        <v>100</v>
      </c>
      <c r="O6" s="2">
        <v>100</v>
      </c>
      <c r="P6" s="2">
        <v>100</v>
      </c>
    </row>
    <row r="7" spans="7:16" x14ac:dyDescent="0.15">
      <c r="G7" s="2">
        <v>0</v>
      </c>
      <c r="H7" s="2">
        <f ca="1">(H6 + H8 + G7 + I7) / 4</f>
        <v>48.629073634172755</v>
      </c>
      <c r="I7" s="2">
        <f t="shared" ref="I7:M7" ca="1" si="0">(I6 + I8 + H7 + J7) / 4</f>
        <v>66.913706530361964</v>
      </c>
      <c r="J7" s="2">
        <f t="shared" ca="1" si="0"/>
        <v>74.475527408550988</v>
      </c>
      <c r="K7" s="2">
        <f t="shared" ca="1" si="0"/>
        <v>77.346185612552318</v>
      </c>
      <c r="L7" s="2">
        <f t="shared" ca="1" si="0"/>
        <v>77.346185564855034</v>
      </c>
      <c r="M7" s="2">
        <f t="shared" ca="1" si="0"/>
        <v>74.475527282555788</v>
      </c>
      <c r="N7" s="2">
        <f ca="1">(N6 + N8 + M7 + O7) / 4</f>
        <v>66.913706374098069</v>
      </c>
      <c r="O7" s="2">
        <f t="shared" ref="O7" ca="1" si="1">(O6 + O8 + N7 + P7) / 4</f>
        <v>48.629073517317778</v>
      </c>
      <c r="P7" s="2">
        <v>0</v>
      </c>
    </row>
    <row r="8" spans="7:16" x14ac:dyDescent="0.15">
      <c r="G8" s="2">
        <v>0</v>
      </c>
      <c r="H8" s="2">
        <f t="shared" ref="H8:H14" ca="1" si="2">(H7 + H9 + G8 + I8) / 4</f>
        <v>27.60258785143693</v>
      </c>
      <c r="I8" s="2">
        <f t="shared" ref="I8:I14" ca="1" si="3">(I7 + I9 + H8 + J8) / 4</f>
        <v>44.550224843900779</v>
      </c>
      <c r="J8" s="2">
        <f t="shared" ref="J8:J14" ca="1" si="4">(J7 + J9 + I8 + K8) / 4</f>
        <v>53.6422172133544</v>
      </c>
      <c r="K8" s="2">
        <f t="shared" ref="K8:K14" ca="1" si="5">(K7 + K9 + J8 + L8) / 4</f>
        <v>57.563029193311408</v>
      </c>
      <c r="L8" s="2">
        <f t="shared" ref="L8:L14" ca="1" si="6">(L7 + L9 + K8 + M8) / 4</f>
        <v>57.563029109075885</v>
      </c>
      <c r="M8" s="2">
        <f t="shared" ref="M8:N14" ca="1" si="7">(M7 + M9 + L8 + N8) / 4</f>
        <v>53.642216990841263</v>
      </c>
      <c r="N8" s="2">
        <f t="shared" ca="1" si="7"/>
        <v>44.550224567931792</v>
      </c>
      <c r="O8" s="2">
        <f t="shared" ref="O8:O14" ca="1" si="8">(O7 + O9 + N8 + P8) / 4</f>
        <v>27.602587645065842</v>
      </c>
      <c r="P8" s="2">
        <v>0</v>
      </c>
    </row>
    <row r="9" spans="7:16" x14ac:dyDescent="0.15">
      <c r="G9" s="2">
        <v>0</v>
      </c>
      <c r="H9" s="2">
        <f t="shared" ca="1" si="2"/>
        <v>17.231052692850835</v>
      </c>
      <c r="I9" s="2">
        <f t="shared" ca="1" si="3"/>
        <v>30.042387434127939</v>
      </c>
      <c r="J9" s="2">
        <f t="shared" ca="1" si="4"/>
        <v>37.980087003388824</v>
      </c>
      <c r="K9" s="2">
        <f t="shared" ca="1" si="5"/>
        <v>41.700684430121953</v>
      </c>
      <c r="L9" s="2">
        <f t="shared" ca="1" si="6"/>
        <v>41.70068432347604</v>
      </c>
      <c r="M9" s="2">
        <f t="shared" ca="1" si="7"/>
        <v>37.98008672167731</v>
      </c>
      <c r="N9" s="2">
        <f t="shared" ref="N9:N14" ca="1" si="9">(N8 + N10 + M9 + O9) / 4</f>
        <v>30.042387084738937</v>
      </c>
      <c r="O9" s="2">
        <f t="shared" ca="1" si="8"/>
        <v>17.231052431575865</v>
      </c>
      <c r="P9" s="2">
        <v>0</v>
      </c>
    </row>
    <row r="10" spans="7:16" x14ac:dyDescent="0.15">
      <c r="G10" s="2">
        <v>0</v>
      </c>
      <c r="H10" s="2">
        <f t="shared" ca="1" si="2"/>
        <v>11.279235207903195</v>
      </c>
      <c r="I10" s="2">
        <f t="shared" ca="1" si="3"/>
        <v>20.408184792105729</v>
      </c>
      <c r="J10" s="2">
        <f t="shared" ca="1" si="4"/>
        <v>26.535058467423049</v>
      </c>
      <c r="K10" s="2">
        <f t="shared" ca="1" si="5"/>
        <v>29.558936729845836</v>
      </c>
      <c r="L10" s="2">
        <f t="shared" ca="1" si="6"/>
        <v>29.558936615886246</v>
      </c>
      <c r="M10" s="2">
        <f t="shared" ca="1" si="7"/>
        <v>26.535058166392027</v>
      </c>
      <c r="N10" s="2">
        <f t="shared" ca="1" si="9"/>
        <v>20.408184418755969</v>
      </c>
      <c r="O10" s="2">
        <f t="shared" ca="1" si="8"/>
        <v>11.279234928710245</v>
      </c>
      <c r="P10" s="2">
        <v>0</v>
      </c>
    </row>
    <row r="11" spans="7:16" x14ac:dyDescent="0.15">
      <c r="G11" s="2">
        <v>0</v>
      </c>
      <c r="H11" s="2">
        <f t="shared" ca="1" si="2"/>
        <v>7.4777030631643964</v>
      </c>
      <c r="I11" s="2">
        <f t="shared" ca="1" si="3"/>
        <v>13.776057650827644</v>
      </c>
      <c r="J11" s="2">
        <f t="shared" ca="1" si="4"/>
        <v>18.193024873886085</v>
      </c>
      <c r="K11" s="2">
        <f t="shared" ca="1" si="5"/>
        <v>20.441066935486386</v>
      </c>
      <c r="L11" s="2">
        <f t="shared" ca="1" si="6"/>
        <v>20.441066828399396</v>
      </c>
      <c r="M11" s="2">
        <f t="shared" ca="1" si="7"/>
        <v>18.193024591009458</v>
      </c>
      <c r="N11" s="2">
        <f t="shared" ca="1" si="9"/>
        <v>13.776057299993635</v>
      </c>
      <c r="O11" s="2">
        <f t="shared" ca="1" si="8"/>
        <v>7.4777028008088422</v>
      </c>
      <c r="P11" s="2">
        <v>0</v>
      </c>
    </row>
    <row r="12" spans="7:16" x14ac:dyDescent="0.15">
      <c r="G12" s="2">
        <v>0</v>
      </c>
      <c r="H12" s="2">
        <f t="shared" ca="1" si="2"/>
        <v>4.85551913869062</v>
      </c>
      <c r="I12" s="2">
        <f t="shared" ca="1" si="3"/>
        <v>9.025317510334574</v>
      </c>
      <c r="J12" s="2">
        <f t="shared" ca="1" si="4"/>
        <v>12.019916024664504</v>
      </c>
      <c r="K12" s="2">
        <f t="shared" ca="1" si="5"/>
        <v>13.571238894382542</v>
      </c>
      <c r="L12" s="2">
        <f t="shared" ca="1" si="6"/>
        <v>13.571238805891014</v>
      </c>
      <c r="M12" s="2">
        <f t="shared" ca="1" si="7"/>
        <v>12.019915790908886</v>
      </c>
      <c r="N12" s="2">
        <f t="shared" ca="1" si="9"/>
        <v>9.0253172204222505</v>
      </c>
      <c r="O12" s="2">
        <f t="shared" ca="1" si="8"/>
        <v>4.8555189218926298</v>
      </c>
      <c r="P12" s="2">
        <v>0</v>
      </c>
    </row>
    <row r="13" spans="7:16" x14ac:dyDescent="0.15">
      <c r="G13" s="2">
        <v>0</v>
      </c>
      <c r="H13" s="2">
        <f t="shared" ca="1" si="2"/>
        <v>2.919055780834745</v>
      </c>
      <c r="I13" s="2">
        <f t="shared" ca="1" si="3"/>
        <v>5.449776945031247</v>
      </c>
      <c r="J13" s="2">
        <f t="shared" ca="1" si="4"/>
        <v>7.2900824987938506</v>
      </c>
      <c r="K13" s="2">
        <f t="shared" ca="1" si="5"/>
        <v>8.2527334932491332</v>
      </c>
      <c r="L13" s="2">
        <f t="shared" ca="1" si="6"/>
        <v>8.2527334315293537</v>
      </c>
      <c r="M13" s="2">
        <f t="shared" ca="1" si="7"/>
        <v>7.2900823357573907</v>
      </c>
      <c r="N13" s="2">
        <f t="shared" ca="1" si="9"/>
        <v>5.4497767428274262</v>
      </c>
      <c r="O13" s="2">
        <f t="shared" ca="1" si="8"/>
        <v>2.9190556296256429</v>
      </c>
      <c r="P13" s="2">
        <v>0</v>
      </c>
    </row>
    <row r="14" spans="7:16" x14ac:dyDescent="0.15">
      <c r="G14" s="2">
        <v>0</v>
      </c>
      <c r="H14" s="2">
        <f t="shared" ca="1" si="2"/>
        <v>1.3709269110301752</v>
      </c>
      <c r="I14" s="2">
        <f t="shared" ca="1" si="3"/>
        <v>2.5646518131787639</v>
      </c>
      <c r="J14" s="2">
        <f t="shared" ca="1" si="4"/>
        <v>3.4379033332157012</v>
      </c>
      <c r="K14" s="2">
        <f t="shared" ca="1" si="5"/>
        <v>3.8968789531017478</v>
      </c>
      <c r="L14" s="2">
        <f t="shared" ca="1" si="6"/>
        <v>3.8968789222418581</v>
      </c>
      <c r="M14" s="2">
        <f t="shared" ca="1" si="7"/>
        <v>3.4379032516974712</v>
      </c>
      <c r="N14" s="2">
        <f t="shared" ca="1" si="9"/>
        <v>2.5646517120768535</v>
      </c>
      <c r="O14" s="2">
        <f t="shared" ca="1" si="8"/>
        <v>1.3709268354256241</v>
      </c>
      <c r="P14" s="2">
        <v>0</v>
      </c>
    </row>
    <row r="15" spans="7:16" x14ac:dyDescent="0.15"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</row>
  </sheetData>
  <phoneticPr fontId="2"/>
  <conditionalFormatting sqref="G6:P15">
    <cfRule type="colorScale" priority="1">
      <colorScale>
        <cfvo type="min"/>
        <cfvo type="percentile" val="50"/>
        <cfvo type="max"/>
        <color theme="3" tint="0.249977111117893"/>
        <color rgb="FFFCFCFF"/>
        <color rgb="FFFF000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Parabolic</vt:lpstr>
      <vt:lpstr>Sheet3</vt:lpstr>
      <vt:lpstr>Elliptical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知花 チアゴ</dc:creator>
  <cp:lastModifiedBy>知花 チアゴ</cp:lastModifiedBy>
  <dcterms:created xsi:type="dcterms:W3CDTF">2025-12-04T04:04:57Z</dcterms:created>
  <dcterms:modified xsi:type="dcterms:W3CDTF">2025-12-04T10:43:43Z</dcterms:modified>
</cp:coreProperties>
</file>