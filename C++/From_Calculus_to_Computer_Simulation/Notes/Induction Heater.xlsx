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Study_Area\C++\From_Calculus_to_Computer_Simulation\Notes\"/>
    </mc:Choice>
  </mc:AlternateContent>
  <xr:revisionPtr revIDLastSave="0" documentId="13_ncr:1_{24B58D78-413D-4A04-AB46-AB4AD0CD8C58}" xr6:coauthVersionLast="47" xr6:coauthVersionMax="47" xr10:uidLastSave="{00000000-0000-0000-0000-000000000000}"/>
  <bookViews>
    <workbookView xWindow="3630" yWindow="3180" windowWidth="16365" windowHeight="11475" xr2:uid="{B27FCECA-349A-4C5E-8ED2-9F01283BD07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H29" i="1"/>
  <c r="I29" i="1" s="1"/>
  <c r="H30" i="1"/>
  <c r="I30" i="1" s="1"/>
  <c r="H31" i="1"/>
  <c r="I31" i="1" s="1"/>
  <c r="H32" i="1"/>
  <c r="H28" i="1"/>
  <c r="F29" i="1"/>
  <c r="F30" i="1"/>
  <c r="F31" i="1"/>
  <c r="F32" i="1"/>
  <c r="F28" i="1"/>
  <c r="E29" i="1"/>
  <c r="E30" i="1"/>
  <c r="E31" i="1"/>
  <c r="E32" i="1"/>
  <c r="E28" i="1"/>
  <c r="I32" i="1"/>
  <c r="B1" i="2"/>
  <c r="B2" i="2" s="1"/>
  <c r="B3" i="2" s="1"/>
  <c r="B4" i="2" s="1"/>
  <c r="C33" i="1"/>
  <c r="C28" i="1"/>
  <c r="B29" i="1"/>
  <c r="B30" i="1" s="1"/>
  <c r="C15" i="1"/>
  <c r="C14" i="1"/>
  <c r="B17" i="1"/>
  <c r="C17" i="1" s="1"/>
  <c r="B16" i="1"/>
  <c r="C4" i="1"/>
  <c r="C2" i="1"/>
  <c r="C10" i="1"/>
  <c r="C9" i="1"/>
  <c r="C8" i="1"/>
  <c r="C3" i="1"/>
  <c r="B5" i="1"/>
  <c r="C5" i="1" s="1"/>
  <c r="C16" i="1" l="1"/>
  <c r="B31" i="1"/>
  <c r="B32" i="1" s="1"/>
  <c r="C32" i="1" s="1"/>
  <c r="C30" i="1"/>
  <c r="C29" i="1"/>
  <c r="C31" i="1" l="1"/>
</calcChain>
</file>

<file path=xl/sharedStrings.xml><?xml version="1.0" encoding="utf-8"?>
<sst xmlns="http://schemas.openxmlformats.org/spreadsheetml/2006/main" count="32" uniqueCount="32">
  <si>
    <t>Blower</t>
    <phoneticPr fontId="1"/>
  </si>
  <si>
    <t>Rated Output</t>
    <phoneticPr fontId="1"/>
  </si>
  <si>
    <t>Max. Air Flow</t>
    <phoneticPr fontId="1"/>
  </si>
  <si>
    <t>Work Output</t>
    <phoneticPr fontId="1"/>
  </si>
  <si>
    <t>Effective Air Flow</t>
    <phoneticPr fontId="1"/>
  </si>
  <si>
    <t>Resistance</t>
    <phoneticPr fontId="1"/>
  </si>
  <si>
    <t>Eletric Power</t>
    <phoneticPr fontId="1"/>
  </si>
  <si>
    <t>Surface Area</t>
    <phoneticPr fontId="1"/>
  </si>
  <si>
    <t>Eletric Power Density</t>
    <phoneticPr fontId="1"/>
  </si>
  <si>
    <t>Inlet Temperature</t>
    <phoneticPr fontId="1"/>
  </si>
  <si>
    <t>Outlet Temperature</t>
    <phoneticPr fontId="1"/>
  </si>
  <si>
    <t>Differential Temperature</t>
    <phoneticPr fontId="1"/>
  </si>
  <si>
    <t>Average Temperature</t>
    <phoneticPr fontId="1"/>
  </si>
  <si>
    <t>Specific Heat</t>
    <phoneticPr fontId="1"/>
  </si>
  <si>
    <t>Flow</t>
    <phoneticPr fontId="1"/>
  </si>
  <si>
    <t>Geometry</t>
    <phoneticPr fontId="1"/>
  </si>
  <si>
    <t>Pipe 1</t>
    <phoneticPr fontId="1"/>
  </si>
  <si>
    <t>Pipe 2</t>
  </si>
  <si>
    <t>Pipe 3</t>
  </si>
  <si>
    <t>Pipe 4</t>
  </si>
  <si>
    <t>Pipe 5</t>
  </si>
  <si>
    <t>Thickness</t>
    <phoneticPr fontId="1"/>
  </si>
  <si>
    <t xml:space="preserve">Air Density </t>
    <phoneticPr fontId="1"/>
  </si>
  <si>
    <t>For Average Temperature</t>
    <phoneticPr fontId="1"/>
  </si>
  <si>
    <t>Thermal Condutivity</t>
    <phoneticPr fontId="1"/>
  </si>
  <si>
    <t>Dynamic Viscosity</t>
    <phoneticPr fontId="1"/>
  </si>
  <si>
    <t>Prandtl Number</t>
    <phoneticPr fontId="1"/>
  </si>
  <si>
    <t>Average Velocity</t>
    <phoneticPr fontId="1"/>
  </si>
  <si>
    <t>Reynolds Number</t>
    <phoneticPr fontId="1"/>
  </si>
  <si>
    <t>Nusselt Number</t>
    <phoneticPr fontId="1"/>
  </si>
  <si>
    <t>Convection Coefficient</t>
    <phoneticPr fontId="1"/>
  </si>
  <si>
    <t>Emissivity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</si>
</sst>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0.00&quot;kW&quot;"/>
    <numFmt numFmtId="177" formatCode="0.00&quot;cm²&quot;"/>
    <numFmt numFmtId="178" formatCode="0.00&quot;m³/min&quot;"/>
    <numFmt numFmtId="179" formatCode="0.000&quot;kg/s&quot;"/>
    <numFmt numFmtId="180" formatCode="0.0&quot;W&quot;"/>
    <numFmt numFmtId="181" formatCode="0.000&quot;m²&quot;"/>
    <numFmt numFmtId="182" formatCode="0.0&quot;°C&quot;"/>
    <numFmt numFmtId="183" formatCode="0.00&quot;K&quot;"/>
    <numFmt numFmtId="184" formatCode="0.0&quot;J/(kg.K)&quot;"/>
    <numFmt numFmtId="185" formatCode="0.00_ "/>
    <numFmt numFmtId="186" formatCode="0.0&quot;mm&quot;"/>
    <numFmt numFmtId="187" formatCode="0.000&quot;m&quot;"/>
    <numFmt numFmtId="188" formatCode="0.00&quot;kg/m³&quot;"/>
    <numFmt numFmtId="189" formatCode="0.000&quot;W/m.K&quot;"/>
    <numFmt numFmtId="190" formatCode="0.0E+00&quot;Pa.s&quot;"/>
    <numFmt numFmtId="191" formatCode="0.00&quot;m/s&quot;"/>
    <numFmt numFmtId="192" formatCode="0.0&quot;W/m².K&quot;"/>
  </numFmts>
  <fonts count="3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theme="1"/>
      <name val="Arial Unicode MS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179" fontId="2" fillId="0" borderId="0" xfId="0" applyNumberFormat="1" applyFont="1">
      <alignment vertical="center"/>
    </xf>
    <xf numFmtId="180" fontId="2" fillId="0" borderId="0" xfId="0" applyNumberFormat="1" applyFont="1">
      <alignment vertical="center"/>
    </xf>
    <xf numFmtId="181" fontId="2" fillId="0" borderId="0" xfId="0" applyNumberFormat="1" applyFont="1">
      <alignment vertical="center"/>
    </xf>
    <xf numFmtId="182" fontId="2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184" fontId="2" fillId="0" borderId="0" xfId="0" applyNumberFormat="1" applyFont="1">
      <alignment vertical="center"/>
    </xf>
    <xf numFmtId="185" fontId="2" fillId="0" borderId="0" xfId="0" applyNumberFormat="1" applyFont="1">
      <alignment vertical="center"/>
    </xf>
    <xf numFmtId="186" fontId="2" fillId="0" borderId="0" xfId="0" applyNumberFormat="1" applyFont="1">
      <alignment vertical="center"/>
    </xf>
    <xf numFmtId="187" fontId="2" fillId="0" borderId="0" xfId="0" applyNumberFormat="1" applyFont="1">
      <alignment vertical="center"/>
    </xf>
    <xf numFmtId="188" fontId="2" fillId="0" borderId="0" xfId="0" applyNumberFormat="1" applyFont="1">
      <alignment vertical="center"/>
    </xf>
    <xf numFmtId="189" fontId="2" fillId="0" borderId="0" xfId="0" applyNumberFormat="1" applyFont="1">
      <alignment vertical="center"/>
    </xf>
    <xf numFmtId="190" fontId="2" fillId="0" borderId="0" xfId="0" applyNumberFormat="1" applyFont="1">
      <alignment vertical="center"/>
    </xf>
    <xf numFmtId="2" fontId="0" fillId="0" borderId="0" xfId="0" applyNumberFormat="1">
      <alignment vertical="center"/>
    </xf>
    <xf numFmtId="191" fontId="0" fillId="0" borderId="0" xfId="0" applyNumberFormat="1">
      <alignment vertical="center"/>
    </xf>
    <xf numFmtId="1" fontId="0" fillId="0" borderId="0" xfId="0" applyNumberFormat="1">
      <alignment vertical="center"/>
    </xf>
    <xf numFmtId="19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46BE-11B0-4EA0-A033-2B5FE3E87D28}">
  <dimension ref="A1:I33"/>
  <sheetViews>
    <sheetView tabSelected="1" topLeftCell="A22" workbookViewId="0">
      <selection activeCell="I23" sqref="I23"/>
    </sheetView>
  </sheetViews>
  <sheetFormatPr defaultRowHeight="16.5" x14ac:dyDescent="0.15"/>
  <cols>
    <col min="1" max="1" width="33.875" style="1" bestFit="1" customWidth="1"/>
    <col min="2" max="2" width="10.875" style="1" bestFit="1" customWidth="1"/>
    <col min="3" max="3" width="13.875" style="1" bestFit="1" customWidth="1"/>
    <col min="4" max="16384" width="9" style="1"/>
  </cols>
  <sheetData>
    <row r="1" spans="1:5" x14ac:dyDescent="0.15">
      <c r="A1" s="1" t="s">
        <v>0</v>
      </c>
    </row>
    <row r="2" spans="1:5" x14ac:dyDescent="0.15">
      <c r="A2" s="1" t="s">
        <v>1</v>
      </c>
      <c r="B2" s="2">
        <v>1.1000000000000001</v>
      </c>
      <c r="C2" s="6">
        <f>$B$2*1000</f>
        <v>1100</v>
      </c>
    </row>
    <row r="3" spans="1:5" x14ac:dyDescent="0.15">
      <c r="A3" s="1" t="s">
        <v>2</v>
      </c>
      <c r="B3" s="3">
        <v>2.4</v>
      </c>
      <c r="C3" s="5">
        <f>$B$3*1.184/60</f>
        <v>4.7359999999999992E-2</v>
      </c>
    </row>
    <row r="4" spans="1:5" x14ac:dyDescent="0.15">
      <c r="A4" s="1" t="s">
        <v>3</v>
      </c>
      <c r="B4" s="2">
        <v>0.28000000000000003</v>
      </c>
      <c r="C4" s="6">
        <f>$B$4*1000</f>
        <v>280</v>
      </c>
    </row>
    <row r="5" spans="1:5" x14ac:dyDescent="0.15">
      <c r="A5" s="1" t="s">
        <v>4</v>
      </c>
      <c r="B5" s="3">
        <f>($B$4*$B$3)/$B$2</f>
        <v>0.61090909090909085</v>
      </c>
      <c r="C5" s="5">
        <f>$B$5*1.184/60</f>
        <v>1.2055272727272725E-2</v>
      </c>
    </row>
    <row r="7" spans="1:5" x14ac:dyDescent="0.15">
      <c r="A7" s="1" t="s">
        <v>5</v>
      </c>
    </row>
    <row r="8" spans="1:5" x14ac:dyDescent="0.15">
      <c r="A8" s="1" t="s">
        <v>6</v>
      </c>
      <c r="B8" s="2">
        <v>2.54</v>
      </c>
      <c r="C8" s="6">
        <f>$B$8*1000</f>
        <v>2540</v>
      </c>
    </row>
    <row r="9" spans="1:5" x14ac:dyDescent="0.15">
      <c r="A9" s="1" t="s">
        <v>7</v>
      </c>
      <c r="B9" s="4">
        <v>849</v>
      </c>
      <c r="C9" s="7">
        <f>$B$9/100^2</f>
        <v>8.4900000000000003E-2</v>
      </c>
    </row>
    <row r="10" spans="1:5" x14ac:dyDescent="0.15">
      <c r="A10" s="1" t="s">
        <v>8</v>
      </c>
      <c r="B10" s="2">
        <v>3</v>
      </c>
      <c r="C10" s="6">
        <f>$B$10*1000</f>
        <v>3000</v>
      </c>
    </row>
    <row r="11" spans="1:5" x14ac:dyDescent="0.15">
      <c r="A11" s="1" t="s">
        <v>31</v>
      </c>
      <c r="B11" s="2"/>
      <c r="C11" s="1">
        <v>0.85</v>
      </c>
    </row>
    <row r="13" spans="1:5" x14ac:dyDescent="0.15">
      <c r="A13" s="1" t="s">
        <v>14</v>
      </c>
    </row>
    <row r="14" spans="1:5" x14ac:dyDescent="0.15">
      <c r="A14" s="1" t="s">
        <v>9</v>
      </c>
      <c r="B14" s="8">
        <v>25</v>
      </c>
      <c r="C14" s="9">
        <f>$B$14+273.15</f>
        <v>298.14999999999998</v>
      </c>
      <c r="E14" s="11"/>
    </row>
    <row r="15" spans="1:5" x14ac:dyDescent="0.15">
      <c r="A15" s="1" t="s">
        <v>10</v>
      </c>
      <c r="B15" s="8">
        <v>200</v>
      </c>
      <c r="C15" s="9">
        <f>$B$15+273.15</f>
        <v>473.15</v>
      </c>
    </row>
    <row r="16" spans="1:5" x14ac:dyDescent="0.15">
      <c r="A16" s="1" t="s">
        <v>11</v>
      </c>
      <c r="B16" s="8">
        <f>$B$15-$B$14</f>
        <v>175</v>
      </c>
      <c r="C16" s="9">
        <f>$C$15-$C$14</f>
        <v>175</v>
      </c>
    </row>
    <row r="17" spans="1:9" x14ac:dyDescent="0.15">
      <c r="A17" s="1" t="s">
        <v>12</v>
      </c>
      <c r="B17" s="8">
        <f>($B$15+$B$14)/2</f>
        <v>112.5</v>
      </c>
      <c r="C17" s="9">
        <f>$B$17+273.15</f>
        <v>385.65</v>
      </c>
    </row>
    <row r="19" spans="1:9" x14ac:dyDescent="0.15">
      <c r="A19" s="1" t="s">
        <v>23</v>
      </c>
    </row>
    <row r="20" spans="1:9" x14ac:dyDescent="0.15">
      <c r="A20" s="1" t="s">
        <v>22</v>
      </c>
      <c r="C20" s="14">
        <v>0.95</v>
      </c>
    </row>
    <row r="21" spans="1:9" x14ac:dyDescent="0.15">
      <c r="A21" s="1" t="s">
        <v>13</v>
      </c>
      <c r="C21" s="10">
        <v>1005</v>
      </c>
    </row>
    <row r="22" spans="1:9" x14ac:dyDescent="0.15">
      <c r="A22" s="1" t="s">
        <v>24</v>
      </c>
      <c r="C22" s="15">
        <v>0.03</v>
      </c>
    </row>
    <row r="23" spans="1:9" x14ac:dyDescent="0.15">
      <c r="A23" s="1" t="s">
        <v>25</v>
      </c>
      <c r="C23" s="16">
        <v>2.1999999999999999E-5</v>
      </c>
    </row>
    <row r="24" spans="1:9" x14ac:dyDescent="0.15">
      <c r="A24" s="1" t="s">
        <v>26</v>
      </c>
      <c r="C24" s="1">
        <v>0.7</v>
      </c>
    </row>
    <row r="27" spans="1:9" x14ac:dyDescent="0.15">
      <c r="A27" s="1" t="s">
        <v>15</v>
      </c>
    </row>
    <row r="28" spans="1:9" x14ac:dyDescent="0.15">
      <c r="A28" s="1" t="s">
        <v>16</v>
      </c>
      <c r="B28" s="12">
        <v>100</v>
      </c>
      <c r="C28" s="13">
        <f>B28/1000</f>
        <v>0.1</v>
      </c>
      <c r="E28" s="12">
        <f>B28-2*$B$33</f>
        <v>96</v>
      </c>
      <c r="F28" s="13">
        <f>E28/1000</f>
        <v>9.6000000000000002E-2</v>
      </c>
      <c r="H28" s="1">
        <f>(PI()*E28^2)/4</f>
        <v>7238.2294738708833</v>
      </c>
      <c r="I28" s="7">
        <f>H28/1000^2</f>
        <v>7.2382294738708832E-3</v>
      </c>
    </row>
    <row r="29" spans="1:9" x14ac:dyDescent="0.15">
      <c r="A29" s="1" t="s">
        <v>17</v>
      </c>
      <c r="B29" s="12">
        <f>B28-20</f>
        <v>80</v>
      </c>
      <c r="C29" s="13">
        <f t="shared" ref="C29:C33" si="0">B29/1000</f>
        <v>0.08</v>
      </c>
      <c r="E29" s="12">
        <f t="shared" ref="E29:E32" si="1">B29-2*$B$33</f>
        <v>76</v>
      </c>
      <c r="F29" s="13">
        <f t="shared" ref="F29:F32" si="2">E29/1000</f>
        <v>7.5999999999999998E-2</v>
      </c>
      <c r="H29" s="1">
        <f t="shared" ref="H29:H32" si="3">(PI()*E29^2)/4</f>
        <v>4536.4597917836609</v>
      </c>
      <c r="I29" s="7">
        <f>H29/1000^2</f>
        <v>4.5364597917836608E-3</v>
      </c>
    </row>
    <row r="30" spans="1:9" x14ac:dyDescent="0.15">
      <c r="A30" s="1" t="s">
        <v>18</v>
      </c>
      <c r="B30" s="12">
        <f t="shared" ref="B30:B32" si="4">B29-20</f>
        <v>60</v>
      </c>
      <c r="C30" s="13">
        <f t="shared" si="0"/>
        <v>0.06</v>
      </c>
      <c r="E30" s="12">
        <f t="shared" si="1"/>
        <v>56</v>
      </c>
      <c r="F30" s="13">
        <f t="shared" si="2"/>
        <v>5.6000000000000001E-2</v>
      </c>
      <c r="H30" s="1">
        <f t="shared" si="3"/>
        <v>2463.0086404143976</v>
      </c>
      <c r="I30" s="7">
        <f>H30/1000^2</f>
        <v>2.4630086404143978E-3</v>
      </c>
    </row>
    <row r="31" spans="1:9" x14ac:dyDescent="0.15">
      <c r="A31" s="1" t="s">
        <v>19</v>
      </c>
      <c r="B31" s="12">
        <f t="shared" si="4"/>
        <v>40</v>
      </c>
      <c r="C31" s="13">
        <f t="shared" si="0"/>
        <v>0.04</v>
      </c>
      <c r="E31" s="12">
        <f t="shared" si="1"/>
        <v>36</v>
      </c>
      <c r="F31" s="13">
        <f t="shared" si="2"/>
        <v>3.5999999999999997E-2</v>
      </c>
      <c r="H31" s="1">
        <f t="shared" si="3"/>
        <v>1017.8760197630929</v>
      </c>
      <c r="I31" s="7">
        <f>H31/1000^2</f>
        <v>1.0178760197630929E-3</v>
      </c>
    </row>
    <row r="32" spans="1:9" x14ac:dyDescent="0.15">
      <c r="A32" s="1" t="s">
        <v>20</v>
      </c>
      <c r="B32" s="12">
        <f t="shared" si="4"/>
        <v>20</v>
      </c>
      <c r="C32" s="13">
        <f t="shared" si="0"/>
        <v>0.02</v>
      </c>
      <c r="E32" s="12">
        <f t="shared" si="1"/>
        <v>16</v>
      </c>
      <c r="F32" s="13">
        <f t="shared" si="2"/>
        <v>1.6E-2</v>
      </c>
      <c r="H32" s="1">
        <f t="shared" si="3"/>
        <v>201.06192982974676</v>
      </c>
      <c r="I32" s="7">
        <f>H32/1000^2</f>
        <v>2.0106192982974677E-4</v>
      </c>
    </row>
    <row r="33" spans="1:3" x14ac:dyDescent="0.15">
      <c r="A33" s="1" t="s">
        <v>21</v>
      </c>
      <c r="B33" s="12">
        <v>2</v>
      </c>
      <c r="C33" s="13">
        <f t="shared" si="0"/>
        <v>2E-3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A614-E26F-4F19-90DB-799E630DC68E}">
  <dimension ref="A1:B4"/>
  <sheetViews>
    <sheetView workbookViewId="0">
      <selection activeCell="H14" sqref="H14"/>
    </sheetView>
  </sheetViews>
  <sheetFormatPr defaultRowHeight="13.5" x14ac:dyDescent="0.15"/>
  <cols>
    <col min="1" max="1" width="21.25" bestFit="1" customWidth="1"/>
    <col min="2" max="2" width="9.625" bestFit="1" customWidth="1"/>
  </cols>
  <sheetData>
    <row r="1" spans="1:2" x14ac:dyDescent="0.15">
      <c r="A1" t="s">
        <v>27</v>
      </c>
      <c r="B1" s="18">
        <f>(Sheet1!$C$5)/(Sheet1!$C$20*(PI()*Sheet1!$C$28^2/4))</f>
        <v>1.6157105219927315</v>
      </c>
    </row>
    <row r="2" spans="1:2" x14ac:dyDescent="0.15">
      <c r="A2" t="s">
        <v>28</v>
      </c>
      <c r="B2" s="19">
        <f>(Sheet1!$C$20*Sheet1!$C$28*Sheet2!$B$1)/Sheet1!$C$23</f>
        <v>6976.9317995140682</v>
      </c>
    </row>
    <row r="3" spans="1:2" x14ac:dyDescent="0.15">
      <c r="A3" t="s">
        <v>29</v>
      </c>
      <c r="B3" s="17">
        <f>(0.023*$B$2^0.8)*(Sheet1!$C$24^0.4)</f>
        <v>23.697287318355905</v>
      </c>
    </row>
    <row r="4" spans="1:2" x14ac:dyDescent="0.15">
      <c r="A4" t="s">
        <v>30</v>
      </c>
      <c r="B4" s="20">
        <f>($B$3*Sheet1!$C$22)/Sheet1!$C$28</f>
        <v>7.109186195506771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知花 チアゴ</dc:creator>
  <cp:lastModifiedBy>知花 チアゴ</cp:lastModifiedBy>
  <dcterms:created xsi:type="dcterms:W3CDTF">2025-12-15T08:51:34Z</dcterms:created>
  <dcterms:modified xsi:type="dcterms:W3CDTF">2025-12-19T04:56:19Z</dcterms:modified>
</cp:coreProperties>
</file>