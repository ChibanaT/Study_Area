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ibana\Desktop\"/>
    </mc:Choice>
  </mc:AlternateContent>
  <xr:revisionPtr revIDLastSave="0" documentId="13_ncr:1_{7374235C-2530-4A4C-8864-09D8F304F5F1}" xr6:coauthVersionLast="47" xr6:coauthVersionMax="47" xr10:uidLastSave="{00000000-0000-0000-0000-000000000000}"/>
  <bookViews>
    <workbookView xWindow="-120" yWindow="-120" windowWidth="29040" windowHeight="15720" xr2:uid="{25EF70F2-1478-4CFC-9123-D0DF67B56306}"/>
  </bookViews>
  <sheets>
    <sheet name="Matrix" sheetId="1" r:id="rId1"/>
    <sheet name="Vector" sheetId="2" r:id="rId2"/>
    <sheet name="Cramer" sheetId="3" r:id="rId3"/>
    <sheet name="Gauss Elimination" sheetId="4" r:id="rId4"/>
    <sheet name="Gauss-Jordan" sheetId="5" r:id="rId5"/>
    <sheet name="Jacobi" sheetId="6" r:id="rId6"/>
    <sheet name="Gauss-Seidel" sheetId="7" r:id="rId7"/>
    <sheet name="Sucessive Over-Relaxation (SOR)" sheetId="8" r:id="rId8"/>
    <sheet name="Cholesky Decomposition" sheetId="9" r:id="rId9"/>
    <sheet name="LU Factorization" sheetId="10" r:id="rId10"/>
    <sheet name="Conjugate Gradient" sheetId="11" r:id="rId11"/>
    <sheet name="Thomas Algorithm" sheetId="13" r:id="rId12"/>
  </sheets>
  <definedNames>
    <definedName name="Det_A">MDETERM(Matrix_A)</definedName>
    <definedName name="Matrix_A">Matrix!$A$1:$C$3</definedName>
    <definedName name="Vector_b">Vector!$A$1:$A$3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1" l="1" a="1"/>
  <c r="G1" i="11" s="1"/>
  <c r="O2" i="11" s="1"/>
  <c r="B1" i="11" a="1"/>
  <c r="B1" i="11" s="1"/>
  <c r="G1" i="3" a="1"/>
  <c r="G1" i="3" s="1"/>
  <c r="B1" i="3" a="1"/>
  <c r="B1" i="3" s="1"/>
  <c r="K2" i="13" a="1"/>
  <c r="K2" i="13" s="1"/>
  <c r="K1" i="13" a="1"/>
  <c r="K1" i="13" s="1"/>
  <c r="I2" i="13" a="1"/>
  <c r="I2" i="13" s="1"/>
  <c r="I3" i="13" a="1"/>
  <c r="I3" i="13" s="1"/>
  <c r="J2" i="13" a="1"/>
  <c r="J2" i="13" s="1"/>
  <c r="J3" i="13" a="1"/>
  <c r="J3" i="13" s="1"/>
  <c r="J1" i="13" a="1"/>
  <c r="J1" i="13" s="1"/>
  <c r="B1" i="13" a="1"/>
  <c r="B1" i="13" s="1"/>
  <c r="G1" i="13" a="1"/>
  <c r="G1" i="13" s="1"/>
  <c r="G1" i="10" a="1"/>
  <c r="G1" i="10" s="1"/>
  <c r="M1" i="10" s="1"/>
  <c r="B1" i="10" a="1"/>
  <c r="B1" i="10" s="1"/>
  <c r="P1" i="10" s="1"/>
  <c r="G1" i="9" a="1"/>
  <c r="G1" i="9" s="1"/>
  <c r="B1" i="9" a="1"/>
  <c r="B1" i="9" s="1"/>
  <c r="I1" i="9" s="1"/>
  <c r="G1" i="8" a="1"/>
  <c r="G1" i="8" s="1"/>
  <c r="B1" i="8" a="1"/>
  <c r="G1" i="7" a="1"/>
  <c r="G1" i="7" s="1"/>
  <c r="B1" i="7" a="1"/>
  <c r="G1" i="6" a="1"/>
  <c r="G1" i="6" s="1"/>
  <c r="B1" i="6" a="1"/>
  <c r="B1" i="6" s="1"/>
  <c r="E1" i="5" a="1"/>
  <c r="E1" i="5" s="1"/>
  <c r="B1" i="5" a="1"/>
  <c r="B1" i="5" s="1"/>
  <c r="G1" i="5" s="1"/>
  <c r="L2" i="11" l="1"/>
  <c r="M2" i="11"/>
  <c r="N2" i="11"/>
  <c r="Q2" i="11"/>
  <c r="P2" i="11"/>
  <c r="N1" i="13"/>
  <c r="M1" i="13"/>
  <c r="P1" i="13" s="1"/>
  <c r="O1" i="13"/>
  <c r="Q1" i="13" s="1"/>
  <c r="L1" i="9"/>
  <c r="I2" i="9"/>
  <c r="J2" i="9" s="1"/>
  <c r="I3" i="9"/>
  <c r="R1" i="10"/>
  <c r="Q1" i="10"/>
  <c r="J2" i="10"/>
  <c r="M2" i="10" s="1"/>
  <c r="J3" i="10"/>
  <c r="B1" i="8"/>
  <c r="J3" i="8" s="1"/>
  <c r="K3" i="8" s="1"/>
  <c r="B1" i="7"/>
  <c r="J3" i="6"/>
  <c r="K3" i="6"/>
  <c r="L3" i="6"/>
  <c r="J1" i="5"/>
  <c r="I1" i="5"/>
  <c r="H1" i="5"/>
  <c r="G1" i="4" a="1"/>
  <c r="G1" i="4" s="1"/>
  <c r="L1" i="4" s="1"/>
  <c r="Q1" i="4" s="1"/>
  <c r="B1" i="4" a="1"/>
  <c r="S1" i="3" a="1"/>
  <c r="S1" i="3" s="1"/>
  <c r="R1" i="3" a="1"/>
  <c r="R1" i="3" s="1"/>
  <c r="Q1" i="3" a="1"/>
  <c r="Q1" i="3" s="1"/>
  <c r="M1" i="3" a="1"/>
  <c r="M1" i="3" s="1"/>
  <c r="O1" i="3" a="1"/>
  <c r="O1" i="3" s="1"/>
  <c r="N1" i="3" a="1"/>
  <c r="N1" i="3" s="1"/>
  <c r="I1" i="3" a="1"/>
  <c r="I1" i="3" s="1"/>
  <c r="K1" i="3" a="1"/>
  <c r="K1" i="3" s="1"/>
  <c r="J1" i="3" a="1"/>
  <c r="J1" i="3" s="1"/>
  <c r="T3" i="11" l="1" a="1"/>
  <c r="T3" i="11" s="1"/>
  <c r="S3" i="11" a="1"/>
  <c r="S3" i="11" s="1"/>
  <c r="R3" i="11" a="1"/>
  <c r="R3" i="11" s="1"/>
  <c r="R1" i="13"/>
  <c r="B11" i="13" s="1"/>
  <c r="B10" i="13" s="1"/>
  <c r="B9" i="13" s="1"/>
  <c r="R2" i="10"/>
  <c r="L2" i="9"/>
  <c r="Q2" i="10"/>
  <c r="K3" i="10" s="1"/>
  <c r="J3" i="9"/>
  <c r="K3" i="9" s="1"/>
  <c r="J4" i="6"/>
  <c r="K4" i="6"/>
  <c r="L4" i="6"/>
  <c r="J3" i="7"/>
  <c r="L3" i="8"/>
  <c r="J4" i="8" s="1"/>
  <c r="B5" i="3"/>
  <c r="B9" i="3" s="1" a="1"/>
  <c r="B9" i="3" s="1"/>
  <c r="B7" i="3"/>
  <c r="B11" i="3" s="1" a="1"/>
  <c r="B11" i="3" s="1"/>
  <c r="B6" i="3"/>
  <c r="B10" i="3" s="1" a="1"/>
  <c r="B10" i="3" s="1"/>
  <c r="G2" i="5" a="1"/>
  <c r="G2" i="5" s="1"/>
  <c r="L2" i="5" s="1" a="1"/>
  <c r="G3" i="5" a="1"/>
  <c r="B1" i="4"/>
  <c r="I1" i="4" s="1"/>
  <c r="N1" i="4" s="1"/>
  <c r="J2" i="4"/>
  <c r="O2" i="4" s="1"/>
  <c r="J1" i="4"/>
  <c r="O1" i="4" s="1"/>
  <c r="K1" i="4"/>
  <c r="P1" i="4" s="1"/>
  <c r="U3" i="11" l="1"/>
  <c r="K2" i="4"/>
  <c r="P2" i="4" s="1"/>
  <c r="L2" i="4"/>
  <c r="Q2" i="4" s="1"/>
  <c r="L3" i="4"/>
  <c r="R3" i="10"/>
  <c r="I2" i="4"/>
  <c r="N2" i="4" s="1"/>
  <c r="M3" i="10"/>
  <c r="L3" i="9"/>
  <c r="N1" i="9" a="1"/>
  <c r="N1" i="9" s="1"/>
  <c r="K3" i="7"/>
  <c r="J5" i="6"/>
  <c r="L5" i="6"/>
  <c r="K5" i="6"/>
  <c r="K4" i="8"/>
  <c r="L4" i="8" s="1"/>
  <c r="I3" i="4"/>
  <c r="K3" i="4"/>
  <c r="J3" i="4"/>
  <c r="L2" i="5"/>
  <c r="L1" i="5" s="1" a="1"/>
  <c r="O3" i="4"/>
  <c r="G3" i="5"/>
  <c r="K3" i="11" l="1"/>
  <c r="J3" i="11"/>
  <c r="I3" i="11"/>
  <c r="N3" i="11"/>
  <c r="M3" i="11"/>
  <c r="L3" i="11"/>
  <c r="B8" i="10"/>
  <c r="B7" i="10" s="1"/>
  <c r="B6" i="10" s="1"/>
  <c r="Q3" i="4"/>
  <c r="N3" i="4"/>
  <c r="P3" i="4"/>
  <c r="Q3" i="9"/>
  <c r="B8" i="9" s="1"/>
  <c r="J6" i="6"/>
  <c r="L6" i="6"/>
  <c r="K6" i="6"/>
  <c r="L3" i="7"/>
  <c r="J4" i="7" s="1"/>
  <c r="J5" i="8"/>
  <c r="L3" i="5" a="1"/>
  <c r="L3" i="5" s="1"/>
  <c r="Q3" i="5" s="1" a="1"/>
  <c r="L1" i="5"/>
  <c r="B7" i="4"/>
  <c r="B6" i="4" s="1"/>
  <c r="B5" i="4" s="1"/>
  <c r="V3" i="11" l="1"/>
  <c r="O3" i="11" s="1"/>
  <c r="K7" i="6"/>
  <c r="Q2" i="9"/>
  <c r="B7" i="9" s="1"/>
  <c r="Q1" i="9"/>
  <c r="B6" i="9" s="1"/>
  <c r="J7" i="6"/>
  <c r="K4" i="7"/>
  <c r="L4" i="7" s="1"/>
  <c r="L7" i="6"/>
  <c r="K5" i="8"/>
  <c r="Q3" i="5"/>
  <c r="Q1" i="5" s="1" a="1"/>
  <c r="B8" i="5"/>
  <c r="Q3" i="11" l="1"/>
  <c r="P3" i="11"/>
  <c r="R4" i="11" s="1" a="1"/>
  <c r="R4" i="11" s="1"/>
  <c r="L8" i="6"/>
  <c r="J8" i="6"/>
  <c r="K9" i="6" s="1"/>
  <c r="Q2" i="5" a="1"/>
  <c r="Q2" i="5" s="1"/>
  <c r="K8" i="6"/>
  <c r="J9" i="6" s="1"/>
  <c r="J5" i="7"/>
  <c r="L5" i="8"/>
  <c r="J6" i="8" s="1"/>
  <c r="Q1" i="5"/>
  <c r="B6" i="5"/>
  <c r="S4" i="11" l="1" a="1"/>
  <c r="S4" i="11" s="1"/>
  <c r="T4" i="11" a="1"/>
  <c r="T4" i="11" s="1"/>
  <c r="B7" i="5"/>
  <c r="K5" i="7"/>
  <c r="L5" i="7"/>
  <c r="L10" i="6"/>
  <c r="L9" i="6"/>
  <c r="K10" i="6" s="1"/>
  <c r="J10" i="6"/>
  <c r="K6" i="8"/>
  <c r="U4" i="11" l="1"/>
  <c r="N4" i="11" s="1"/>
  <c r="J11" i="6"/>
  <c r="L11" i="6"/>
  <c r="K11" i="6"/>
  <c r="J6" i="7"/>
  <c r="L6" i="8"/>
  <c r="J7" i="8" s="1"/>
  <c r="J4" i="11" l="1"/>
  <c r="L4" i="11"/>
  <c r="I4" i="11"/>
  <c r="M4" i="11"/>
  <c r="K4" i="11"/>
  <c r="V4" i="11"/>
  <c r="P4" i="11" s="1"/>
  <c r="K12" i="6"/>
  <c r="J12" i="6"/>
  <c r="K6" i="7"/>
  <c r="L13" i="6"/>
  <c r="L12" i="6"/>
  <c r="K13" i="6" s="1"/>
  <c r="K7" i="8"/>
  <c r="Q4" i="11" l="1"/>
  <c r="O4" i="11"/>
  <c r="J14" i="6"/>
  <c r="L6" i="7"/>
  <c r="J7" i="7" s="1"/>
  <c r="J13" i="6"/>
  <c r="L7" i="8"/>
  <c r="J8" i="8" s="1"/>
  <c r="T5" i="11" l="1" a="1"/>
  <c r="T5" i="11" s="1"/>
  <c r="S5" i="11" a="1"/>
  <c r="S5" i="11" s="1"/>
  <c r="R5" i="11" a="1"/>
  <c r="R5" i="11" s="1"/>
  <c r="K7" i="7"/>
  <c r="L7" i="7" s="1"/>
  <c r="K14" i="6"/>
  <c r="L15" i="6" s="1"/>
  <c r="L14" i="6"/>
  <c r="K15" i="6" s="1"/>
  <c r="K8" i="8"/>
  <c r="U5" i="11" l="1"/>
  <c r="J5" i="11" s="1"/>
  <c r="K5" i="11"/>
  <c r="L5" i="11"/>
  <c r="M5" i="11"/>
  <c r="N5" i="11"/>
  <c r="J16" i="6"/>
  <c r="J15" i="6"/>
  <c r="J8" i="7"/>
  <c r="L8" i="8"/>
  <c r="J9" i="8" s="1"/>
  <c r="I5" i="11" l="1"/>
  <c r="V5" i="11"/>
  <c r="O5" i="11" s="1"/>
  <c r="K8" i="7"/>
  <c r="L8" i="7" s="1"/>
  <c r="K16" i="6"/>
  <c r="L17" i="6" s="1"/>
  <c r="L16" i="6"/>
  <c r="K17" i="6" s="1"/>
  <c r="K9" i="8"/>
  <c r="Q5" i="11" l="1"/>
  <c r="P5" i="11"/>
  <c r="R6" i="11" s="1" a="1"/>
  <c r="R6" i="11" s="1"/>
  <c r="J18" i="6"/>
  <c r="J17" i="6"/>
  <c r="J9" i="7"/>
  <c r="L9" i="8"/>
  <c r="J10" i="8" s="1"/>
  <c r="S6" i="11" l="1" a="1"/>
  <c r="S6" i="11" s="1"/>
  <c r="T6" i="11" a="1"/>
  <c r="T6" i="11" s="1"/>
  <c r="K9" i="7"/>
  <c r="L9" i="7" s="1"/>
  <c r="K18" i="6"/>
  <c r="L18" i="6"/>
  <c r="K19" i="6" s="1"/>
  <c r="L19" i="6"/>
  <c r="K10" i="8"/>
  <c r="U6" i="11" l="1"/>
  <c r="M6" i="11" s="1"/>
  <c r="J6" i="11"/>
  <c r="K6" i="11"/>
  <c r="J20" i="6"/>
  <c r="J19" i="6"/>
  <c r="J10" i="7"/>
  <c r="L10" i="8"/>
  <c r="J11" i="8" s="1"/>
  <c r="I6" i="11" l="1"/>
  <c r="L6" i="11"/>
  <c r="N6" i="11"/>
  <c r="V6" i="11" s="1"/>
  <c r="Q6" i="11" s="1"/>
  <c r="K10" i="7"/>
  <c r="K20" i="6"/>
  <c r="L21" i="6" s="1"/>
  <c r="L20" i="6"/>
  <c r="K21" i="6" s="1"/>
  <c r="K11" i="8"/>
  <c r="P6" i="11" l="1"/>
  <c r="O6" i="11"/>
  <c r="J22" i="6"/>
  <c r="J21" i="6"/>
  <c r="L10" i="7"/>
  <c r="J11" i="7" s="1"/>
  <c r="L11" i="8"/>
  <c r="J12" i="8" s="1"/>
  <c r="R7" i="11" l="1" a="1"/>
  <c r="R7" i="11" s="1"/>
  <c r="T7" i="11" a="1"/>
  <c r="T7" i="11" s="1"/>
  <c r="S7" i="11" a="1"/>
  <c r="S7" i="11" s="1"/>
  <c r="K11" i="7"/>
  <c r="L11" i="7"/>
  <c r="K22" i="6"/>
  <c r="B7" i="6" s="1"/>
  <c r="L22" i="6"/>
  <c r="B8" i="6" s="1"/>
  <c r="K12" i="8"/>
  <c r="B6" i="6"/>
  <c r="U7" i="11" l="1"/>
  <c r="J12" i="7"/>
  <c r="L12" i="8"/>
  <c r="J13" i="8" s="1"/>
  <c r="J7" i="11" l="1"/>
  <c r="K7" i="11"/>
  <c r="I7" i="11"/>
  <c r="L7" i="11"/>
  <c r="N7" i="11"/>
  <c r="M7" i="11"/>
  <c r="K12" i="7"/>
  <c r="L12" i="7" s="1"/>
  <c r="K13" i="8"/>
  <c r="V7" i="11" l="1"/>
  <c r="P7" i="11" s="1"/>
  <c r="J13" i="7"/>
  <c r="L13" i="8"/>
  <c r="J14" i="8" s="1"/>
  <c r="O7" i="11" l="1"/>
  <c r="Q7" i="11"/>
  <c r="K13" i="7"/>
  <c r="L13" i="7" s="1"/>
  <c r="K14" i="8"/>
  <c r="T8" i="11" l="1" a="1"/>
  <c r="T8" i="11" s="1"/>
  <c r="R8" i="11" a="1"/>
  <c r="R8" i="11" s="1"/>
  <c r="S8" i="11" a="1"/>
  <c r="S8" i="11" s="1"/>
  <c r="J14" i="7"/>
  <c r="L14" i="8"/>
  <c r="J15" i="8" s="1"/>
  <c r="U8" i="11" l="1"/>
  <c r="N8" i="11"/>
  <c r="M8" i="11"/>
  <c r="K8" i="11"/>
  <c r="B12" i="11" s="1"/>
  <c r="L8" i="11"/>
  <c r="J8" i="11"/>
  <c r="B11" i="11" s="1"/>
  <c r="I8" i="11"/>
  <c r="B10" i="11" s="1"/>
  <c r="K14" i="7"/>
  <c r="L14" i="7"/>
  <c r="K15" i="8"/>
  <c r="L15" i="8" s="1"/>
  <c r="V8" i="11" l="1"/>
  <c r="Q8" i="11" s="1"/>
  <c r="J15" i="7"/>
  <c r="J16" i="8"/>
  <c r="P8" i="11" l="1"/>
  <c r="O8" i="11"/>
  <c r="K15" i="7"/>
  <c r="L15" i="7"/>
  <c r="K16" i="8"/>
  <c r="L16" i="8" s="1"/>
  <c r="J16" i="7" l="1"/>
  <c r="J17" i="8"/>
  <c r="K16" i="7" l="1"/>
  <c r="L16" i="7" s="1"/>
  <c r="K17" i="8"/>
  <c r="L17" i="8" s="1"/>
  <c r="J17" i="7" l="1"/>
  <c r="J18" i="8"/>
  <c r="K17" i="7" l="1"/>
  <c r="L17" i="7"/>
  <c r="K18" i="8"/>
  <c r="L18" i="8" s="1"/>
  <c r="J18" i="7" l="1"/>
  <c r="J19" i="8"/>
  <c r="K18" i="7" l="1"/>
  <c r="L18" i="7" s="1"/>
  <c r="K19" i="8"/>
  <c r="L19" i="8" s="1"/>
  <c r="J19" i="7" l="1"/>
  <c r="J20" i="8"/>
  <c r="K19" i="7" l="1"/>
  <c r="L19" i="7" s="1"/>
  <c r="K20" i="8"/>
  <c r="L20" i="8" s="1"/>
  <c r="J20" i="7" l="1"/>
  <c r="J21" i="8"/>
  <c r="K20" i="7" l="1"/>
  <c r="L20" i="7" s="1"/>
  <c r="K21" i="8"/>
  <c r="L21" i="8" s="1"/>
  <c r="J21" i="7" l="1"/>
  <c r="J22" i="8"/>
  <c r="B7" i="8" s="1"/>
  <c r="K21" i="7" l="1"/>
  <c r="L21" i="7"/>
  <c r="K22" i="8"/>
  <c r="B8" i="8" s="1"/>
  <c r="L22" i="8" l="1"/>
  <c r="B9" i="8" s="1"/>
  <c r="J22" i="7"/>
  <c r="K22" i="7" l="1"/>
  <c r="B7" i="7" s="1"/>
  <c r="L22" i="7"/>
  <c r="B8" i="7" s="1"/>
  <c r="B6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<sst xmlns="http://schemas.openxmlformats.org/spreadsheetml/2006/main" count="80" uniqueCount="26">
  <si>
    <t>Det_1</t>
    <phoneticPr fontId="1"/>
  </si>
  <si>
    <t>Det_2</t>
    <phoneticPr fontId="1"/>
  </si>
  <si>
    <t>Det_3</t>
    <phoneticPr fontId="1"/>
  </si>
  <si>
    <t>x1</t>
    <phoneticPr fontId="1"/>
  </si>
  <si>
    <t>x2</t>
    <phoneticPr fontId="1"/>
  </si>
  <si>
    <t>x3</t>
    <phoneticPr fontId="1"/>
  </si>
  <si>
    <t>Iteration</t>
    <phoneticPr fontId="1"/>
  </si>
  <si>
    <t>0 &lt; w &lt; 2</t>
    <phoneticPr fontId="1"/>
  </si>
  <si>
    <t>Matrix_A =</t>
    <phoneticPr fontId="1"/>
  </si>
  <si>
    <t>L =</t>
    <phoneticPr fontId="1"/>
  </si>
  <si>
    <t>U =</t>
    <phoneticPr fontId="1"/>
  </si>
  <si>
    <t>r1</t>
    <phoneticPr fontId="1"/>
  </si>
  <si>
    <t>r2</t>
    <phoneticPr fontId="1"/>
  </si>
  <si>
    <t>r3</t>
    <phoneticPr fontId="1"/>
  </si>
  <si>
    <t>p1</t>
    <phoneticPr fontId="1"/>
  </si>
  <si>
    <t>p2</t>
    <phoneticPr fontId="1"/>
  </si>
  <si>
    <t>p3</t>
    <phoneticPr fontId="1"/>
  </si>
  <si>
    <t>ap1</t>
    <phoneticPr fontId="1"/>
  </si>
  <si>
    <t>ap2</t>
    <phoneticPr fontId="1"/>
  </si>
  <si>
    <t>ap3</t>
    <phoneticPr fontId="1"/>
  </si>
  <si>
    <t>alpha</t>
    <phoneticPr fontId="1"/>
  </si>
  <si>
    <t>beta</t>
    <phoneticPr fontId="1"/>
  </si>
  <si>
    <t xml:space="preserve">Vector_b = </t>
    <phoneticPr fontId="1"/>
  </si>
  <si>
    <t>Vector_b =</t>
    <phoneticPr fontId="1"/>
  </si>
  <si>
    <t>Matrix_A =</t>
    <phoneticPr fontId="1"/>
  </si>
  <si>
    <t xml:space="preserve">Vector_b =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</si>
</sst>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Arial Unicode MS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23A7-F46F-41A1-973E-0942893FD2BE}">
  <dimension ref="A1:K28"/>
  <sheetViews>
    <sheetView tabSelected="1" workbookViewId="0">
      <selection activeCell="E25" sqref="E25"/>
    </sheetView>
  </sheetViews>
  <sheetFormatPr defaultRowHeight="16.5" x14ac:dyDescent="0.15"/>
  <cols>
    <col min="1" max="16384" width="9" style="3"/>
  </cols>
  <sheetData>
    <row r="1" spans="1:11" x14ac:dyDescent="0.15">
      <c r="A1" s="3">
        <v>4</v>
      </c>
      <c r="B1" s="3">
        <v>1</v>
      </c>
      <c r="C1" s="3">
        <v>1</v>
      </c>
    </row>
    <row r="2" spans="1:11" x14ac:dyDescent="0.15">
      <c r="A2" s="3">
        <v>1</v>
      </c>
      <c r="B2" s="3">
        <v>3</v>
      </c>
      <c r="C2" s="3">
        <v>0</v>
      </c>
    </row>
    <row r="3" spans="1:11" x14ac:dyDescent="0.15">
      <c r="A3" s="3">
        <v>1</v>
      </c>
      <c r="B3" s="3">
        <v>0</v>
      </c>
      <c r="C3" s="3">
        <v>2</v>
      </c>
    </row>
    <row r="8" spans="1:11" x14ac:dyDescent="0.15">
      <c r="I8" s="3">
        <v>2</v>
      </c>
      <c r="J8" s="3">
        <v>1</v>
      </c>
      <c r="K8" s="3">
        <v>3</v>
      </c>
    </row>
    <row r="9" spans="1:11" x14ac:dyDescent="0.15">
      <c r="I9" s="3">
        <v>1</v>
      </c>
      <c r="J9" s="3">
        <v>-1</v>
      </c>
      <c r="K9" s="3">
        <v>2</v>
      </c>
    </row>
    <row r="10" spans="1:11" x14ac:dyDescent="0.15">
      <c r="I10" s="3">
        <v>3</v>
      </c>
      <c r="J10" s="3">
        <v>4</v>
      </c>
      <c r="K10" s="3">
        <v>-2</v>
      </c>
    </row>
    <row r="14" spans="1:11" x14ac:dyDescent="0.15">
      <c r="I14" s="3">
        <v>10</v>
      </c>
      <c r="J14" s="3">
        <v>1</v>
      </c>
      <c r="K14" s="3">
        <v>1</v>
      </c>
    </row>
    <row r="15" spans="1:11" x14ac:dyDescent="0.15">
      <c r="I15" s="3">
        <v>2</v>
      </c>
      <c r="J15" s="3">
        <v>10</v>
      </c>
      <c r="K15" s="3">
        <v>3</v>
      </c>
    </row>
    <row r="16" spans="1:11" x14ac:dyDescent="0.15">
      <c r="I16" s="3">
        <v>3</v>
      </c>
      <c r="J16" s="3">
        <v>2</v>
      </c>
      <c r="K16" s="3">
        <v>10</v>
      </c>
    </row>
    <row r="20" spans="9:11" x14ac:dyDescent="0.15">
      <c r="I20" s="3">
        <v>4</v>
      </c>
      <c r="J20" s="3">
        <v>2</v>
      </c>
      <c r="K20" s="3">
        <v>2</v>
      </c>
    </row>
    <row r="21" spans="9:11" x14ac:dyDescent="0.15">
      <c r="I21" s="3">
        <v>2</v>
      </c>
      <c r="J21" s="3">
        <v>10</v>
      </c>
      <c r="K21" s="3">
        <v>4</v>
      </c>
    </row>
    <row r="22" spans="9:11" x14ac:dyDescent="0.15">
      <c r="I22" s="3">
        <v>2</v>
      </c>
      <c r="J22" s="3">
        <v>4</v>
      </c>
      <c r="K22" s="3">
        <v>9</v>
      </c>
    </row>
    <row r="26" spans="9:11" x14ac:dyDescent="0.15">
      <c r="I26" s="3">
        <v>2</v>
      </c>
      <c r="J26" s="3">
        <v>-1</v>
      </c>
      <c r="K26" s="3">
        <v>0</v>
      </c>
    </row>
    <row r="27" spans="9:11" x14ac:dyDescent="0.15">
      <c r="I27" s="3">
        <v>-1</v>
      </c>
      <c r="J27" s="3">
        <v>2</v>
      </c>
      <c r="K27" s="3">
        <v>-1</v>
      </c>
    </row>
    <row r="28" spans="9:11" x14ac:dyDescent="0.15">
      <c r="I28" s="3">
        <v>0</v>
      </c>
      <c r="J28" s="3">
        <v>-1</v>
      </c>
      <c r="K28" s="3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2C17-F52A-40A7-B369-DDE2C9477E91}">
  <dimension ref="A1:I28"/>
  <sheetViews>
    <sheetView workbookViewId="0">
      <selection activeCell="A4" sqref="A4"/>
    </sheetView>
  </sheetViews>
  <sheetFormatPr defaultRowHeight="16.5" x14ac:dyDescent="0.15"/>
  <cols>
    <col min="1" max="16384" width="9" style="3"/>
  </cols>
  <sheetData>
    <row r="1" spans="1:9" x14ac:dyDescent="0.15">
      <c r="A1" s="3">
        <v>6</v>
      </c>
    </row>
    <row r="2" spans="1:9" x14ac:dyDescent="0.15">
      <c r="A2" s="3">
        <v>5</v>
      </c>
    </row>
    <row r="3" spans="1:9" x14ac:dyDescent="0.15">
      <c r="A3" s="3">
        <v>4</v>
      </c>
    </row>
    <row r="8" spans="1:9" x14ac:dyDescent="0.15">
      <c r="I8" s="3">
        <v>5</v>
      </c>
    </row>
    <row r="9" spans="1:9" x14ac:dyDescent="0.15">
      <c r="I9" s="3">
        <v>3</v>
      </c>
    </row>
    <row r="10" spans="1:9" x14ac:dyDescent="0.15">
      <c r="I10" s="3">
        <v>7</v>
      </c>
    </row>
    <row r="14" spans="1:9" x14ac:dyDescent="0.15">
      <c r="I14" s="3">
        <v>12</v>
      </c>
    </row>
    <row r="15" spans="1:9" x14ac:dyDescent="0.15">
      <c r="I15" s="3">
        <v>15</v>
      </c>
    </row>
    <row r="16" spans="1:9" x14ac:dyDescent="0.15">
      <c r="I16" s="3">
        <v>15</v>
      </c>
    </row>
    <row r="20" spans="9:9" x14ac:dyDescent="0.15">
      <c r="I20" s="3">
        <v>6</v>
      </c>
    </row>
    <row r="21" spans="9:9" x14ac:dyDescent="0.15">
      <c r="I21" s="3">
        <v>20</v>
      </c>
    </row>
    <row r="22" spans="9:9" x14ac:dyDescent="0.15">
      <c r="I22" s="3">
        <v>19</v>
      </c>
    </row>
    <row r="26" spans="9:9" x14ac:dyDescent="0.15">
      <c r="I26" s="3">
        <v>1</v>
      </c>
    </row>
    <row r="27" spans="9:9" x14ac:dyDescent="0.15">
      <c r="I27" s="3">
        <v>0</v>
      </c>
    </row>
    <row r="28" spans="9:9" x14ac:dyDescent="0.15">
      <c r="I28" s="3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F34F-1BE7-4993-ADEA-4D369FFFA830}">
  <dimension ref="A1:S11"/>
  <sheetViews>
    <sheetView workbookViewId="0">
      <selection activeCell="I16" sqref="I16"/>
    </sheetView>
  </sheetViews>
  <sheetFormatPr defaultRowHeight="16.5" x14ac:dyDescent="0.15"/>
  <cols>
    <col min="1" max="1" width="10.5" style="3" bestFit="1" customWidth="1"/>
    <col min="2" max="5" width="9" style="3"/>
    <col min="6" max="6" width="10.5" style="3" bestFit="1" customWidth="1"/>
    <col min="7" max="16384" width="9" style="3"/>
  </cols>
  <sheetData>
    <row r="1" spans="1:19" x14ac:dyDescent="0.15">
      <c r="A1" s="3" t="s">
        <v>8</v>
      </c>
      <c r="B1" s="2" cm="1">
        <f t="array" ref="B1:D3">Matrix_A</f>
        <v>4</v>
      </c>
      <c r="C1" s="2">
        <v>1</v>
      </c>
      <c r="D1" s="2">
        <v>1</v>
      </c>
      <c r="F1" s="3" t="s">
        <v>23</v>
      </c>
      <c r="G1" s="2" cm="1">
        <f t="array" ref="G1:G3">Vector_b</f>
        <v>6</v>
      </c>
      <c r="I1" s="2" cm="1">
        <f t="array" ref="I1:I3">Vector_b</f>
        <v>6</v>
      </c>
      <c r="J1" s="2" cm="1">
        <f t="array" ref="J1:J3">INDEX(Matrix_A,,2)</f>
        <v>1</v>
      </c>
      <c r="K1" s="2" cm="1">
        <f t="array" ref="K1:K3">INDEX(Matrix_A,,3)</f>
        <v>1</v>
      </c>
      <c r="M1" s="2" cm="1">
        <f t="array" ref="M1:M3">INDEX(Matrix_A,,1)</f>
        <v>4</v>
      </c>
      <c r="N1" s="2" cm="1">
        <f t="array" ref="N1:N3">Vector_b</f>
        <v>6</v>
      </c>
      <c r="O1" s="2" cm="1">
        <f t="array" ref="O1:O3">INDEX(Matrix_A,,3)</f>
        <v>1</v>
      </c>
      <c r="Q1" s="2" cm="1">
        <f t="array" ref="Q1:Q3">INDEX(Matrix_A,,1)</f>
        <v>4</v>
      </c>
      <c r="R1" s="2" cm="1">
        <f t="array" ref="R1:R3">INDEX(Matrix_A,,2)</f>
        <v>1</v>
      </c>
      <c r="S1" s="2" cm="1">
        <f t="array" ref="S1:S3">Vector_b</f>
        <v>6</v>
      </c>
    </row>
    <row r="2" spans="1:19" x14ac:dyDescent="0.15">
      <c r="B2" s="2">
        <v>1</v>
      </c>
      <c r="C2" s="2">
        <v>3</v>
      </c>
      <c r="D2" s="2">
        <v>0</v>
      </c>
      <c r="G2" s="2">
        <v>5</v>
      </c>
      <c r="I2" s="2">
        <v>5</v>
      </c>
      <c r="J2" s="2">
        <v>3</v>
      </c>
      <c r="K2" s="2">
        <v>0</v>
      </c>
      <c r="M2" s="2">
        <v>1</v>
      </c>
      <c r="N2" s="2">
        <v>5</v>
      </c>
      <c r="O2" s="2">
        <v>0</v>
      </c>
      <c r="Q2" s="2">
        <v>1</v>
      </c>
      <c r="R2" s="2">
        <v>3</v>
      </c>
      <c r="S2" s="2">
        <v>5</v>
      </c>
    </row>
    <row r="3" spans="1:19" x14ac:dyDescent="0.15">
      <c r="B3" s="2">
        <v>1</v>
      </c>
      <c r="C3" s="2">
        <v>0</v>
      </c>
      <c r="D3" s="2">
        <v>2</v>
      </c>
      <c r="G3" s="2">
        <v>4</v>
      </c>
      <c r="I3" s="2">
        <v>4</v>
      </c>
      <c r="J3" s="2">
        <v>0</v>
      </c>
      <c r="K3" s="2">
        <v>2</v>
      </c>
      <c r="M3" s="2">
        <v>1</v>
      </c>
      <c r="N3" s="2">
        <v>4</v>
      </c>
      <c r="O3" s="2">
        <v>2</v>
      </c>
      <c r="Q3" s="2">
        <v>1</v>
      </c>
      <c r="R3" s="2">
        <v>0</v>
      </c>
      <c r="S3" s="2">
        <v>4</v>
      </c>
    </row>
    <row r="5" spans="1:19" x14ac:dyDescent="0.15">
      <c r="A5" s="2" t="s">
        <v>0</v>
      </c>
      <c r="B5" s="2">
        <f>MDETERM(I1:K3)</f>
        <v>14.000000000000002</v>
      </c>
    </row>
    <row r="6" spans="1:19" x14ac:dyDescent="0.15">
      <c r="A6" s="2" t="s">
        <v>1</v>
      </c>
      <c r="B6" s="2">
        <f>MDETERM(M1:O3)</f>
        <v>27</v>
      </c>
    </row>
    <row r="7" spans="1:19" x14ac:dyDescent="0.15">
      <c r="A7" s="2" t="s">
        <v>2</v>
      </c>
      <c r="B7" s="2">
        <f>MDETERM(Q1:S3)</f>
        <v>31</v>
      </c>
    </row>
    <row r="9" spans="1:19" x14ac:dyDescent="0.15">
      <c r="A9" s="2" t="s">
        <v>3</v>
      </c>
      <c r="B9" s="2" cm="1">
        <f t="array" ref="B9">B5/Det_A</f>
        <v>0.73684210526315796</v>
      </c>
    </row>
    <row r="10" spans="1:19" x14ac:dyDescent="0.15">
      <c r="A10" s="2" t="s">
        <v>4</v>
      </c>
      <c r="B10" s="2" cm="1">
        <f t="array" ref="B10">B6/Det_A</f>
        <v>1.4210526315789473</v>
      </c>
    </row>
    <row r="11" spans="1:19" x14ac:dyDescent="0.15">
      <c r="A11" s="2" t="s">
        <v>5</v>
      </c>
      <c r="B11" s="2" cm="1">
        <f t="array" ref="B11">B7/Det_A</f>
        <v>1.631578947368421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3ED5-32BC-4651-B467-51924519CCA7}">
  <dimension ref="A1:Q7"/>
  <sheetViews>
    <sheetView workbookViewId="0">
      <selection activeCell="K17" sqref="K17"/>
    </sheetView>
  </sheetViews>
  <sheetFormatPr defaultRowHeight="16.5" x14ac:dyDescent="0.15"/>
  <cols>
    <col min="1" max="1" width="10.5" style="3" bestFit="1" customWidth="1"/>
    <col min="2" max="5" width="9" style="3"/>
    <col min="6" max="6" width="10.5" style="3" bestFit="1" customWidth="1"/>
    <col min="7" max="16384" width="9" style="3"/>
  </cols>
  <sheetData>
    <row r="1" spans="1:17" x14ac:dyDescent="0.15">
      <c r="A1" s="3" t="s">
        <v>8</v>
      </c>
      <c r="B1" s="2" cm="1">
        <f t="array" ref="B1:D3">Matrix_A</f>
        <v>4</v>
      </c>
      <c r="C1" s="2">
        <v>1</v>
      </c>
      <c r="D1" s="2">
        <v>1</v>
      </c>
      <c r="F1" s="3" t="s">
        <v>23</v>
      </c>
      <c r="G1" s="2" cm="1">
        <f t="array" ref="G1:G3">Vector_b</f>
        <v>6</v>
      </c>
      <c r="I1" s="2">
        <f>B1</f>
        <v>4</v>
      </c>
      <c r="J1" s="2">
        <f>C1</f>
        <v>1</v>
      </c>
      <c r="K1" s="2">
        <f>D1</f>
        <v>1</v>
      </c>
      <c r="L1" s="2">
        <f>G1</f>
        <v>6</v>
      </c>
      <c r="N1" s="2">
        <f>I1</f>
        <v>4</v>
      </c>
      <c r="O1" s="2">
        <f t="shared" ref="O1:Q1" si="0">J1</f>
        <v>1</v>
      </c>
      <c r="P1" s="2">
        <f t="shared" si="0"/>
        <v>1</v>
      </c>
      <c r="Q1" s="2">
        <f t="shared" si="0"/>
        <v>6</v>
      </c>
    </row>
    <row r="2" spans="1:17" x14ac:dyDescent="0.15">
      <c r="B2" s="2">
        <v>1</v>
      </c>
      <c r="C2" s="2">
        <v>3</v>
      </c>
      <c r="D2" s="2">
        <v>0</v>
      </c>
      <c r="G2" s="2">
        <v>5</v>
      </c>
      <c r="I2" s="2">
        <f>B2-($B$2/$B$1*B1)</f>
        <v>0</v>
      </c>
      <c r="J2" s="2">
        <f>C2-($B$2/$B$1*C1)</f>
        <v>2.75</v>
      </c>
      <c r="K2" s="2">
        <f>D2-($B$2/$B$1*D1)</f>
        <v>-0.25</v>
      </c>
      <c r="L2" s="2">
        <f>G2-($B$2/$B$1*G1)</f>
        <v>3.5</v>
      </c>
      <c r="N2" s="2">
        <f>I2</f>
        <v>0</v>
      </c>
      <c r="O2" s="2">
        <f t="shared" ref="O2" si="1">J2</f>
        <v>2.75</v>
      </c>
      <c r="P2" s="2">
        <f t="shared" ref="P2" si="2">K2</f>
        <v>-0.25</v>
      </c>
      <c r="Q2" s="2">
        <f t="shared" ref="Q2" si="3">L2</f>
        <v>3.5</v>
      </c>
    </row>
    <row r="3" spans="1:17" x14ac:dyDescent="0.15">
      <c r="B3" s="2">
        <v>1</v>
      </c>
      <c r="C3" s="2">
        <v>0</v>
      </c>
      <c r="D3" s="2">
        <v>2</v>
      </c>
      <c r="G3" s="2">
        <v>4</v>
      </c>
      <c r="I3" s="2">
        <f>B3-($B$3/$B$1*B1)</f>
        <v>0</v>
      </c>
      <c r="J3" s="2">
        <f>C3-($B$3/$B$1*C1)</f>
        <v>-0.25</v>
      </c>
      <c r="K3" s="2">
        <f>D3-($B$3/$B$1*D1)</f>
        <v>1.75</v>
      </c>
      <c r="L3" s="2">
        <f>G3-($B$3/$B$1*G1)</f>
        <v>2.5</v>
      </c>
      <c r="N3" s="2">
        <f>I3-($J$2/$J$3*I3)</f>
        <v>0</v>
      </c>
      <c r="O3" s="2">
        <f>J3-($J$3/$J$2*J2)</f>
        <v>0</v>
      </c>
      <c r="P3" s="2">
        <f>K3-($J$3/$J$2*K2)</f>
        <v>1.7272727272727273</v>
      </c>
      <c r="Q3" s="2">
        <f>L3-($J$3/$J$2*L2)</f>
        <v>2.8181818181818183</v>
      </c>
    </row>
    <row r="5" spans="1:17" x14ac:dyDescent="0.15">
      <c r="A5" s="2" t="s">
        <v>3</v>
      </c>
      <c r="B5" s="2">
        <f>(Q1-O1*B6-P1*B7)/N1</f>
        <v>0.73684210526315796</v>
      </c>
    </row>
    <row r="6" spans="1:17" x14ac:dyDescent="0.15">
      <c r="A6" s="2" t="s">
        <v>4</v>
      </c>
      <c r="B6" s="2">
        <f>(Q2-B7*P2)/O2</f>
        <v>1.4210526315789473</v>
      </c>
    </row>
    <row r="7" spans="1:17" x14ac:dyDescent="0.15">
      <c r="A7" s="2" t="s">
        <v>5</v>
      </c>
      <c r="B7" s="2">
        <f>Q3/P3</f>
        <v>1.631578947368421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079F-F382-4FC8-A216-4DA14D126634}">
  <dimension ref="A1:T8"/>
  <sheetViews>
    <sheetView workbookViewId="0">
      <selection activeCell="J19" sqref="J19"/>
    </sheetView>
  </sheetViews>
  <sheetFormatPr defaultRowHeight="16.5" x14ac:dyDescent="0.15"/>
  <cols>
    <col min="1" max="16384" width="9" style="3"/>
  </cols>
  <sheetData>
    <row r="1" spans="1:20" x14ac:dyDescent="0.15">
      <c r="B1" s="2" cm="1">
        <f t="array" ref="B1:D3">Matrix_A</f>
        <v>4</v>
      </c>
      <c r="C1" s="2">
        <v>1</v>
      </c>
      <c r="D1" s="2">
        <v>1</v>
      </c>
      <c r="E1" s="2" cm="1">
        <f t="array" ref="E1:E3">Vector_b</f>
        <v>6</v>
      </c>
      <c r="G1" s="2">
        <f>B1/$B$1</f>
        <v>1</v>
      </c>
      <c r="H1" s="2">
        <f>C1/$B$1</f>
        <v>0.25</v>
      </c>
      <c r="I1" s="2">
        <f>D1/$B$1</f>
        <v>0.25</v>
      </c>
      <c r="J1" s="2">
        <f>E1/$B$1</f>
        <v>1.5</v>
      </c>
      <c r="L1" s="2" cm="1">
        <f t="array" ref="L1:O1">G1:J1-H1*_xlfn.ANCHORARRAY(L2)</f>
        <v>1</v>
      </c>
      <c r="M1" s="2">
        <v>0</v>
      </c>
      <c r="N1" s="2">
        <v>0.27272727272727271</v>
      </c>
      <c r="O1" s="2">
        <v>1.1818181818181819</v>
      </c>
      <c r="Q1" s="2" cm="1">
        <f t="array" ref="Q1:T1">_xlfn.ANCHORARRAY(L1)-N1*_xlfn.ANCHORARRAY(Q3)</f>
        <v>1</v>
      </c>
      <c r="R1" s="2">
        <v>0</v>
      </c>
      <c r="S1" s="2">
        <v>0</v>
      </c>
      <c r="T1" s="2">
        <v>0.73684210526315796</v>
      </c>
    </row>
    <row r="2" spans="1:20" x14ac:dyDescent="0.15">
      <c r="B2" s="2">
        <v>1</v>
      </c>
      <c r="C2" s="2">
        <v>3</v>
      </c>
      <c r="D2" s="2">
        <v>0</v>
      </c>
      <c r="E2" s="2">
        <v>5</v>
      </c>
      <c r="G2" s="2" cm="1">
        <f t="array" ref="G2:J2">B2:E2-B2*G1:J1</f>
        <v>0</v>
      </c>
      <c r="H2" s="2">
        <v>2.75</v>
      </c>
      <c r="I2" s="2">
        <v>-0.25</v>
      </c>
      <c r="J2" s="2">
        <v>3.5</v>
      </c>
      <c r="L2" s="2" cm="1">
        <f t="array" ref="L2:O2">_xlfn.ANCHORARRAY(G2)/H2</f>
        <v>0</v>
      </c>
      <c r="M2" s="2">
        <v>1</v>
      </c>
      <c r="N2" s="2">
        <v>-9.0909090909090912E-2</v>
      </c>
      <c r="O2" s="2">
        <v>1.2727272727272727</v>
      </c>
      <c r="Q2" s="2" cm="1">
        <f t="array" ref="Q2:T2">_xlfn.ANCHORARRAY(L2)-N2*_xlfn.ANCHORARRAY(Q3)</f>
        <v>0</v>
      </c>
      <c r="R2" s="2">
        <v>1</v>
      </c>
      <c r="S2" s="2">
        <v>0</v>
      </c>
      <c r="T2" s="2">
        <v>1.4210526315789473</v>
      </c>
    </row>
    <row r="3" spans="1:20" x14ac:dyDescent="0.15">
      <c r="B3" s="2">
        <v>1</v>
      </c>
      <c r="C3" s="2">
        <v>0</v>
      </c>
      <c r="D3" s="2">
        <v>2</v>
      </c>
      <c r="E3" s="2">
        <v>4</v>
      </c>
      <c r="G3" s="2" cm="1">
        <f t="array" ref="G3:J3">B3:E3-B3*G1:J1</f>
        <v>0</v>
      </c>
      <c r="H3" s="2">
        <v>-0.25</v>
      </c>
      <c r="I3" s="2">
        <v>1.75</v>
      </c>
      <c r="J3" s="2">
        <v>2.5</v>
      </c>
      <c r="L3" s="2" cm="1">
        <f t="array" ref="L3:O3">_xlfn.ANCHORARRAY(G3)-H3*_xlfn.ANCHORARRAY(L2)</f>
        <v>0</v>
      </c>
      <c r="M3" s="2">
        <v>0</v>
      </c>
      <c r="N3" s="2">
        <v>1.7272727272727273</v>
      </c>
      <c r="O3" s="2">
        <v>2.8181818181818183</v>
      </c>
      <c r="Q3" s="2" cm="1">
        <f t="array" ref="Q3:T3">_xlfn.ANCHORARRAY(L3)/N3</f>
        <v>0</v>
      </c>
      <c r="R3" s="2">
        <v>0</v>
      </c>
      <c r="S3" s="2">
        <v>1</v>
      </c>
      <c r="T3" s="2">
        <v>1.631578947368421</v>
      </c>
    </row>
    <row r="6" spans="1:20" x14ac:dyDescent="0.15">
      <c r="A6" s="2" t="s">
        <v>3</v>
      </c>
      <c r="B6" s="2">
        <f>T1</f>
        <v>0.73684210526315796</v>
      </c>
    </row>
    <row r="7" spans="1:20" x14ac:dyDescent="0.15">
      <c r="A7" s="2" t="s">
        <v>4</v>
      </c>
      <c r="B7" s="2">
        <f>T2</f>
        <v>1.4210526315789473</v>
      </c>
    </row>
    <row r="8" spans="1:20" x14ac:dyDescent="0.15">
      <c r="A8" s="2" t="s">
        <v>5</v>
      </c>
      <c r="B8" s="2">
        <f>T3</f>
        <v>1.631578947368421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76FE-4C66-46E7-929B-4C01BBE1F5C8}">
  <dimension ref="A1:L22"/>
  <sheetViews>
    <sheetView workbookViewId="0">
      <selection activeCell="F24" sqref="F24"/>
    </sheetView>
  </sheetViews>
  <sheetFormatPr defaultRowHeight="16.5" x14ac:dyDescent="0.15"/>
  <cols>
    <col min="1" max="1" width="10.5" style="3" bestFit="1" customWidth="1"/>
    <col min="2" max="5" width="9" style="3"/>
    <col min="6" max="6" width="10.5" style="3" bestFit="1" customWidth="1"/>
    <col min="7" max="16384" width="9" style="3"/>
  </cols>
  <sheetData>
    <row r="1" spans="1:12" x14ac:dyDescent="0.15">
      <c r="A1" s="3" t="s">
        <v>8</v>
      </c>
      <c r="B1" s="2" cm="1">
        <f t="array" ref="B1:D3">Matrix_A</f>
        <v>4</v>
      </c>
      <c r="C1" s="2">
        <v>1</v>
      </c>
      <c r="D1" s="2">
        <v>1</v>
      </c>
      <c r="F1" s="3" t="s">
        <v>23</v>
      </c>
      <c r="G1" s="2" cm="1">
        <f t="array" ref="G1:G3">Vector_b</f>
        <v>6</v>
      </c>
      <c r="I1" s="4" t="s">
        <v>6</v>
      </c>
      <c r="J1" s="4" t="s">
        <v>3</v>
      </c>
      <c r="K1" s="4" t="s">
        <v>4</v>
      </c>
      <c r="L1" s="4" t="s">
        <v>5</v>
      </c>
    </row>
    <row r="2" spans="1:12" x14ac:dyDescent="0.15">
      <c r="B2" s="2">
        <v>1</v>
      </c>
      <c r="C2" s="2">
        <v>3</v>
      </c>
      <c r="D2" s="2">
        <v>0</v>
      </c>
      <c r="G2" s="2">
        <v>5</v>
      </c>
      <c r="I2" s="2">
        <v>0</v>
      </c>
      <c r="J2" s="2">
        <v>0</v>
      </c>
      <c r="K2" s="2">
        <v>0</v>
      </c>
      <c r="L2" s="2">
        <v>0</v>
      </c>
    </row>
    <row r="3" spans="1:12" x14ac:dyDescent="0.15">
      <c r="B3" s="2">
        <v>1</v>
      </c>
      <c r="C3" s="2">
        <v>0</v>
      </c>
      <c r="D3" s="2">
        <v>2</v>
      </c>
      <c r="G3" s="2">
        <v>4</v>
      </c>
      <c r="I3" s="2">
        <v>1</v>
      </c>
      <c r="J3" s="2">
        <f t="shared" ref="J3:J22" si="0">(1/$B$1)*($G$1-($C$1*K2+$D$1*L2))</f>
        <v>1.5</v>
      </c>
      <c r="K3" s="2">
        <f t="shared" ref="K3:K22" si="1">(1/$C$2)*($G$2-($B$2*J2+$D$2*L2))</f>
        <v>1.6666666666666665</v>
      </c>
      <c r="L3" s="2">
        <f t="shared" ref="L3:L22" si="2">(1/$D$3)*($G$3-($B$3*J2+$C$3*K2))</f>
        <v>2</v>
      </c>
    </row>
    <row r="4" spans="1:12" x14ac:dyDescent="0.15">
      <c r="I4" s="2">
        <v>2</v>
      </c>
      <c r="J4" s="2">
        <f t="shared" si="0"/>
        <v>0.58333333333333337</v>
      </c>
      <c r="K4" s="2">
        <f t="shared" si="1"/>
        <v>1.1666666666666665</v>
      </c>
      <c r="L4" s="2">
        <f t="shared" si="2"/>
        <v>1.25</v>
      </c>
    </row>
    <row r="5" spans="1:12" x14ac:dyDescent="0.15">
      <c r="I5" s="2">
        <v>3</v>
      </c>
      <c r="J5" s="2">
        <f t="shared" si="0"/>
        <v>0.89583333333333337</v>
      </c>
      <c r="K5" s="2">
        <f t="shared" si="1"/>
        <v>1.4722222222222223</v>
      </c>
      <c r="L5" s="2">
        <f t="shared" si="2"/>
        <v>1.7083333333333333</v>
      </c>
    </row>
    <row r="6" spans="1:12" x14ac:dyDescent="0.15">
      <c r="A6" s="2" t="s">
        <v>3</v>
      </c>
      <c r="B6" s="2">
        <f>J22</f>
        <v>0.73684199177199117</v>
      </c>
      <c r="I6" s="2">
        <v>4</v>
      </c>
      <c r="J6" s="2">
        <f t="shared" si="0"/>
        <v>0.70486111111111116</v>
      </c>
      <c r="K6" s="2">
        <f t="shared" si="1"/>
        <v>1.3680555555555556</v>
      </c>
      <c r="L6" s="2">
        <f t="shared" si="2"/>
        <v>1.5520833333333333</v>
      </c>
    </row>
    <row r="7" spans="1:12" x14ac:dyDescent="0.15">
      <c r="A7" s="2" t="s">
        <v>4</v>
      </c>
      <c r="B7" s="2">
        <f>K22</f>
        <v>1.4210524435078709</v>
      </c>
      <c r="I7" s="2">
        <v>5</v>
      </c>
      <c r="J7" s="2">
        <f t="shared" si="0"/>
        <v>0.76996527777777779</v>
      </c>
      <c r="K7" s="2">
        <f t="shared" si="1"/>
        <v>1.431712962962963</v>
      </c>
      <c r="L7" s="2">
        <f t="shared" si="2"/>
        <v>1.6475694444444444</v>
      </c>
    </row>
    <row r="8" spans="1:12" x14ac:dyDescent="0.15">
      <c r="A8" s="2" t="s">
        <v>5</v>
      </c>
      <c r="B8" s="2">
        <f>L22</f>
        <v>1.6315786652618065</v>
      </c>
      <c r="I8" s="2">
        <v>6</v>
      </c>
      <c r="J8" s="2">
        <f t="shared" si="0"/>
        <v>0.73017939814814814</v>
      </c>
      <c r="K8" s="2">
        <f t="shared" si="1"/>
        <v>1.410011574074074</v>
      </c>
      <c r="L8" s="2">
        <f t="shared" si="2"/>
        <v>1.6150173611111112</v>
      </c>
    </row>
    <row r="9" spans="1:12" x14ac:dyDescent="0.15">
      <c r="I9" s="2">
        <v>7</v>
      </c>
      <c r="J9" s="2">
        <f t="shared" si="0"/>
        <v>0.74374276620370372</v>
      </c>
      <c r="K9" s="2">
        <f t="shared" si="1"/>
        <v>1.4232735339506173</v>
      </c>
      <c r="L9" s="2">
        <f t="shared" si="2"/>
        <v>1.634910300925926</v>
      </c>
    </row>
    <row r="10" spans="1:12" x14ac:dyDescent="0.15">
      <c r="I10" s="2">
        <v>8</v>
      </c>
      <c r="J10" s="2">
        <f t="shared" si="0"/>
        <v>0.73545404128086411</v>
      </c>
      <c r="K10" s="2">
        <f t="shared" si="1"/>
        <v>1.4187524112654319</v>
      </c>
      <c r="L10" s="2">
        <f t="shared" si="2"/>
        <v>1.6281286168981481</v>
      </c>
    </row>
    <row r="11" spans="1:12" x14ac:dyDescent="0.15">
      <c r="I11" s="2">
        <v>9</v>
      </c>
      <c r="J11" s="2">
        <f t="shared" si="0"/>
        <v>0.73827974295910503</v>
      </c>
      <c r="K11" s="2">
        <f t="shared" si="1"/>
        <v>1.4215153195730452</v>
      </c>
      <c r="L11" s="2">
        <f t="shared" si="2"/>
        <v>1.6322729793595681</v>
      </c>
    </row>
    <row r="12" spans="1:12" x14ac:dyDescent="0.15">
      <c r="I12" s="2">
        <v>10</v>
      </c>
      <c r="J12" s="2">
        <f t="shared" si="0"/>
        <v>0.73655292526684668</v>
      </c>
      <c r="K12" s="2">
        <f t="shared" si="1"/>
        <v>1.4205734190136314</v>
      </c>
      <c r="L12" s="2">
        <f t="shared" si="2"/>
        <v>1.6308601285204474</v>
      </c>
    </row>
    <row r="13" spans="1:12" x14ac:dyDescent="0.15">
      <c r="I13" s="2">
        <v>11</v>
      </c>
      <c r="J13" s="2">
        <f t="shared" si="0"/>
        <v>0.7371416131164803</v>
      </c>
      <c r="K13" s="2">
        <f t="shared" si="1"/>
        <v>1.421149024911051</v>
      </c>
      <c r="L13" s="2">
        <f t="shared" si="2"/>
        <v>1.6317235373665766</v>
      </c>
    </row>
    <row r="14" spans="1:12" x14ac:dyDescent="0.15">
      <c r="I14" s="2">
        <v>12</v>
      </c>
      <c r="J14" s="2">
        <f t="shared" si="0"/>
        <v>0.73678185943059304</v>
      </c>
      <c r="K14" s="2">
        <f t="shared" si="1"/>
        <v>1.4209527956278398</v>
      </c>
      <c r="L14" s="2">
        <f t="shared" si="2"/>
        <v>1.6314291934417597</v>
      </c>
    </row>
    <row r="15" spans="1:12" x14ac:dyDescent="0.15">
      <c r="I15" s="2">
        <v>13</v>
      </c>
      <c r="J15" s="2">
        <f t="shared" si="0"/>
        <v>0.73690450273260011</v>
      </c>
      <c r="K15" s="2">
        <f t="shared" si="1"/>
        <v>1.4210727135231356</v>
      </c>
      <c r="L15" s="2">
        <f t="shared" si="2"/>
        <v>1.6316090702847035</v>
      </c>
    </row>
    <row r="16" spans="1:12" x14ac:dyDescent="0.15">
      <c r="I16" s="2">
        <v>14</v>
      </c>
      <c r="J16" s="2">
        <f t="shared" si="0"/>
        <v>0.73682955404804029</v>
      </c>
      <c r="K16" s="2">
        <f t="shared" si="1"/>
        <v>1.4210318324224664</v>
      </c>
      <c r="L16" s="2">
        <f t="shared" si="2"/>
        <v>1.6315477486337</v>
      </c>
    </row>
    <row r="17" spans="9:12" x14ac:dyDescent="0.15">
      <c r="I17" s="2">
        <v>15</v>
      </c>
      <c r="J17" s="2">
        <f t="shared" si="0"/>
        <v>0.73685510473595839</v>
      </c>
      <c r="K17" s="2">
        <f t="shared" si="1"/>
        <v>1.4210568153173198</v>
      </c>
      <c r="L17" s="2">
        <f t="shared" si="2"/>
        <v>1.6315852229759797</v>
      </c>
    </row>
    <row r="18" spans="9:12" x14ac:dyDescent="0.15">
      <c r="I18" s="2">
        <v>16</v>
      </c>
      <c r="J18" s="2">
        <f t="shared" si="0"/>
        <v>0.73683949042667507</v>
      </c>
      <c r="K18" s="2">
        <f t="shared" si="1"/>
        <v>1.4210482984213471</v>
      </c>
      <c r="L18" s="2">
        <f t="shared" si="2"/>
        <v>1.6315724476320208</v>
      </c>
    </row>
    <row r="19" spans="9:12" x14ac:dyDescent="0.15">
      <c r="I19" s="2">
        <v>17</v>
      </c>
      <c r="J19" s="2">
        <f t="shared" si="0"/>
        <v>0.73684481348665809</v>
      </c>
      <c r="K19" s="2">
        <f t="shared" si="1"/>
        <v>1.4210535031911082</v>
      </c>
      <c r="L19" s="2">
        <f t="shared" si="2"/>
        <v>1.6315802547866625</v>
      </c>
    </row>
    <row r="20" spans="9:12" x14ac:dyDescent="0.15">
      <c r="I20" s="2">
        <v>18</v>
      </c>
      <c r="J20" s="2">
        <f t="shared" si="0"/>
        <v>0.73684156050555738</v>
      </c>
      <c r="K20" s="2">
        <f t="shared" si="1"/>
        <v>1.4210517288377806</v>
      </c>
      <c r="L20" s="2">
        <f t="shared" si="2"/>
        <v>1.631577593256671</v>
      </c>
    </row>
    <row r="21" spans="9:12" x14ac:dyDescent="0.15">
      <c r="I21" s="2">
        <v>19</v>
      </c>
      <c r="J21" s="2">
        <f t="shared" si="0"/>
        <v>0.7368426694763871</v>
      </c>
      <c r="K21" s="2">
        <f t="shared" si="1"/>
        <v>1.4210528131648141</v>
      </c>
      <c r="L21" s="2">
        <f t="shared" si="2"/>
        <v>1.6315792197472212</v>
      </c>
    </row>
    <row r="22" spans="9:12" x14ac:dyDescent="0.15">
      <c r="I22" s="2">
        <v>20</v>
      </c>
      <c r="J22" s="2">
        <f t="shared" si="0"/>
        <v>0.73684199177199117</v>
      </c>
      <c r="K22" s="2">
        <f t="shared" si="1"/>
        <v>1.4210524435078709</v>
      </c>
      <c r="L22" s="2">
        <f t="shared" si="2"/>
        <v>1.6315786652618065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4AB9-D6DE-42F8-B9A9-3B83A85B7778}">
  <dimension ref="A1:L22"/>
  <sheetViews>
    <sheetView workbookViewId="0">
      <selection activeCell="F9" sqref="F9"/>
    </sheetView>
  </sheetViews>
  <sheetFormatPr defaultRowHeight="16.5" x14ac:dyDescent="0.15"/>
  <cols>
    <col min="1" max="1" width="10.5" style="3" bestFit="1" customWidth="1"/>
    <col min="2" max="5" width="9" style="3"/>
    <col min="6" max="6" width="11.125" style="3" bestFit="1" customWidth="1"/>
    <col min="7" max="16384" width="9" style="3"/>
  </cols>
  <sheetData>
    <row r="1" spans="1:12" x14ac:dyDescent="0.15">
      <c r="A1" s="3" t="s">
        <v>8</v>
      </c>
      <c r="B1" s="2" cm="1">
        <f t="array" ref="B1:D3">Matrix_A</f>
        <v>4</v>
      </c>
      <c r="C1" s="2">
        <v>1</v>
      </c>
      <c r="D1" s="2">
        <v>1</v>
      </c>
      <c r="F1" s="3" t="s">
        <v>22</v>
      </c>
      <c r="G1" s="2" cm="1">
        <f t="array" ref="G1:G3">Vector_b</f>
        <v>6</v>
      </c>
      <c r="I1" s="4" t="s">
        <v>6</v>
      </c>
      <c r="J1" s="4" t="s">
        <v>3</v>
      </c>
      <c r="K1" s="4" t="s">
        <v>4</v>
      </c>
      <c r="L1" s="4" t="s">
        <v>5</v>
      </c>
    </row>
    <row r="2" spans="1:12" x14ac:dyDescent="0.15">
      <c r="B2" s="2">
        <v>1</v>
      </c>
      <c r="C2" s="2">
        <v>3</v>
      </c>
      <c r="D2" s="2">
        <v>0</v>
      </c>
      <c r="G2" s="2">
        <v>5</v>
      </c>
      <c r="I2" s="2">
        <v>0</v>
      </c>
      <c r="J2" s="2">
        <v>0</v>
      </c>
      <c r="K2" s="2">
        <v>0</v>
      </c>
      <c r="L2" s="2">
        <v>0</v>
      </c>
    </row>
    <row r="3" spans="1:12" x14ac:dyDescent="0.15">
      <c r="B3" s="2">
        <v>1</v>
      </c>
      <c r="C3" s="2">
        <v>0</v>
      </c>
      <c r="D3" s="2">
        <v>2</v>
      </c>
      <c r="G3" s="2">
        <v>4</v>
      </c>
      <c r="I3" s="2">
        <v>1</v>
      </c>
      <c r="J3" s="2">
        <f t="shared" ref="J3:J22" si="0">(1/$B$1)*($G$1-($C$1*K2+$D$1*L2))</f>
        <v>1.5</v>
      </c>
      <c r="K3" s="2">
        <f t="shared" ref="K3:K22" si="1">(1/$C$2)*($G$2-($B$2*J3+$D$2*L2))</f>
        <v>1.1666666666666665</v>
      </c>
      <c r="L3" s="2">
        <f t="shared" ref="L3:L22" si="2">(1/$D$3)*($G$3-($B$3*J3+$C$3*K3))</f>
        <v>1.25</v>
      </c>
    </row>
    <row r="4" spans="1:12" x14ac:dyDescent="0.15">
      <c r="I4" s="2">
        <v>2</v>
      </c>
      <c r="J4" s="2">
        <f t="shared" si="0"/>
        <v>0.89583333333333337</v>
      </c>
      <c r="K4" s="2">
        <f t="shared" si="1"/>
        <v>1.3680555555555556</v>
      </c>
      <c r="L4" s="2">
        <f t="shared" si="2"/>
        <v>1.5520833333333333</v>
      </c>
    </row>
    <row r="5" spans="1:12" x14ac:dyDescent="0.15">
      <c r="I5" s="2">
        <v>3</v>
      </c>
      <c r="J5" s="2">
        <f t="shared" si="0"/>
        <v>0.76996527777777779</v>
      </c>
      <c r="K5" s="2">
        <f t="shared" si="1"/>
        <v>1.410011574074074</v>
      </c>
      <c r="L5" s="2">
        <f t="shared" si="2"/>
        <v>1.6150173611111112</v>
      </c>
    </row>
    <row r="6" spans="1:12" x14ac:dyDescent="0.15">
      <c r="A6" s="2" t="s">
        <v>3</v>
      </c>
      <c r="B6" s="2">
        <f>J22</f>
        <v>0.73684210526324478</v>
      </c>
      <c r="I6" s="2">
        <v>4</v>
      </c>
      <c r="J6" s="2">
        <f t="shared" si="0"/>
        <v>0.74374276620370372</v>
      </c>
      <c r="K6" s="2">
        <f t="shared" si="1"/>
        <v>1.4187524112654319</v>
      </c>
      <c r="L6" s="2">
        <f t="shared" si="2"/>
        <v>1.6281286168981481</v>
      </c>
    </row>
    <row r="7" spans="1:12" x14ac:dyDescent="0.15">
      <c r="A7" s="2" t="s">
        <v>4</v>
      </c>
      <c r="B7" s="2">
        <f>K22</f>
        <v>1.4210526315789185</v>
      </c>
      <c r="I7" s="2">
        <v>5</v>
      </c>
      <c r="J7" s="2">
        <f t="shared" si="0"/>
        <v>0.73827974295910503</v>
      </c>
      <c r="K7" s="2">
        <f t="shared" si="1"/>
        <v>1.4205734190136314</v>
      </c>
      <c r="L7" s="2">
        <f t="shared" si="2"/>
        <v>1.6308601285204474</v>
      </c>
    </row>
    <row r="8" spans="1:12" x14ac:dyDescent="0.15">
      <c r="A8" s="2" t="s">
        <v>5</v>
      </c>
      <c r="B8" s="2">
        <f>L22</f>
        <v>1.6315789473683777</v>
      </c>
      <c r="I8" s="2">
        <v>6</v>
      </c>
      <c r="J8" s="2">
        <f t="shared" si="0"/>
        <v>0.7371416131164803</v>
      </c>
      <c r="K8" s="2">
        <f t="shared" si="1"/>
        <v>1.4209527956278398</v>
      </c>
      <c r="L8" s="2">
        <f t="shared" si="2"/>
        <v>1.6314291934417597</v>
      </c>
    </row>
    <row r="9" spans="1:12" x14ac:dyDescent="0.15">
      <c r="I9" s="2">
        <v>7</v>
      </c>
      <c r="J9" s="2">
        <f t="shared" si="0"/>
        <v>0.73690450273260011</v>
      </c>
      <c r="K9" s="2">
        <f t="shared" si="1"/>
        <v>1.4210318324224664</v>
      </c>
      <c r="L9" s="2">
        <f t="shared" si="2"/>
        <v>1.6315477486337</v>
      </c>
    </row>
    <row r="10" spans="1:12" x14ac:dyDescent="0.15">
      <c r="I10" s="2">
        <v>8</v>
      </c>
      <c r="J10" s="2">
        <f t="shared" si="0"/>
        <v>0.73685510473595839</v>
      </c>
      <c r="K10" s="2">
        <f t="shared" si="1"/>
        <v>1.4210482984213471</v>
      </c>
      <c r="L10" s="2">
        <f t="shared" si="2"/>
        <v>1.6315724476320208</v>
      </c>
    </row>
    <row r="11" spans="1:12" x14ac:dyDescent="0.15">
      <c r="I11" s="2">
        <v>9</v>
      </c>
      <c r="J11" s="2">
        <f t="shared" si="0"/>
        <v>0.73684481348665809</v>
      </c>
      <c r="K11" s="2">
        <f t="shared" si="1"/>
        <v>1.4210517288377806</v>
      </c>
      <c r="L11" s="2">
        <f t="shared" si="2"/>
        <v>1.631577593256671</v>
      </c>
    </row>
    <row r="12" spans="1:12" x14ac:dyDescent="0.15">
      <c r="I12" s="2">
        <v>10</v>
      </c>
      <c r="J12" s="2">
        <f t="shared" si="0"/>
        <v>0.7368426694763871</v>
      </c>
      <c r="K12" s="2">
        <f t="shared" si="1"/>
        <v>1.4210524435078709</v>
      </c>
      <c r="L12" s="2">
        <f t="shared" si="2"/>
        <v>1.6315786652618065</v>
      </c>
    </row>
    <row r="13" spans="1:12" x14ac:dyDescent="0.15">
      <c r="I13" s="2">
        <v>11</v>
      </c>
      <c r="J13" s="2">
        <f t="shared" si="0"/>
        <v>0.7368422228075806</v>
      </c>
      <c r="K13" s="2">
        <f t="shared" si="1"/>
        <v>1.4210525923974731</v>
      </c>
      <c r="L13" s="2">
        <f t="shared" si="2"/>
        <v>1.6315788885962097</v>
      </c>
    </row>
    <row r="14" spans="1:12" x14ac:dyDescent="0.15">
      <c r="I14" s="2">
        <v>12</v>
      </c>
      <c r="J14" s="2">
        <f t="shared" si="0"/>
        <v>0.73684212975157926</v>
      </c>
      <c r="K14" s="2">
        <f t="shared" si="1"/>
        <v>1.42105262341614</v>
      </c>
      <c r="L14" s="2">
        <f t="shared" si="2"/>
        <v>1.6315789351242103</v>
      </c>
    </row>
    <row r="15" spans="1:12" x14ac:dyDescent="0.15">
      <c r="I15" s="2">
        <v>13</v>
      </c>
      <c r="J15" s="2">
        <f t="shared" si="0"/>
        <v>0.73684211036491243</v>
      </c>
      <c r="K15" s="2">
        <f t="shared" si="1"/>
        <v>1.4210526298783626</v>
      </c>
      <c r="L15" s="2">
        <f t="shared" si="2"/>
        <v>1.6315789448175437</v>
      </c>
    </row>
    <row r="16" spans="1:12" x14ac:dyDescent="0.15">
      <c r="I16" s="2">
        <v>14</v>
      </c>
      <c r="J16" s="2">
        <f t="shared" si="0"/>
        <v>0.73684210632602343</v>
      </c>
      <c r="K16" s="2">
        <f t="shared" si="1"/>
        <v>1.4210526312246587</v>
      </c>
      <c r="L16" s="2">
        <f t="shared" si="2"/>
        <v>1.6315789468369883</v>
      </c>
    </row>
    <row r="17" spans="9:12" x14ac:dyDescent="0.15">
      <c r="I17" s="2">
        <v>15</v>
      </c>
      <c r="J17" s="2">
        <f t="shared" si="0"/>
        <v>0.73684210548458817</v>
      </c>
      <c r="K17" s="2">
        <f t="shared" si="1"/>
        <v>1.4210526315051371</v>
      </c>
      <c r="L17" s="2">
        <f t="shared" si="2"/>
        <v>1.6315789472577058</v>
      </c>
    </row>
    <row r="18" spans="9:12" x14ac:dyDescent="0.15">
      <c r="I18" s="2">
        <v>16</v>
      </c>
      <c r="J18" s="2">
        <f t="shared" si="0"/>
        <v>0.73684210530928929</v>
      </c>
      <c r="K18" s="2">
        <f t="shared" si="1"/>
        <v>1.4210526315635701</v>
      </c>
      <c r="L18" s="2">
        <f t="shared" si="2"/>
        <v>1.6315789473453552</v>
      </c>
    </row>
    <row r="19" spans="9:12" x14ac:dyDescent="0.15">
      <c r="I19" s="2">
        <v>17</v>
      </c>
      <c r="J19" s="2">
        <f t="shared" si="0"/>
        <v>0.73684210527276872</v>
      </c>
      <c r="K19" s="2">
        <f t="shared" si="1"/>
        <v>1.4210526315757437</v>
      </c>
      <c r="L19" s="2">
        <f t="shared" si="2"/>
        <v>1.6315789473636158</v>
      </c>
    </row>
    <row r="20" spans="9:12" x14ac:dyDescent="0.15">
      <c r="I20" s="2">
        <v>18</v>
      </c>
      <c r="J20" s="2">
        <f t="shared" si="0"/>
        <v>0.73684210526516014</v>
      </c>
      <c r="K20" s="2">
        <f t="shared" si="1"/>
        <v>1.4210526315782799</v>
      </c>
      <c r="L20" s="2">
        <f t="shared" si="2"/>
        <v>1.6315789473674198</v>
      </c>
    </row>
    <row r="21" spans="9:12" x14ac:dyDescent="0.15">
      <c r="I21" s="2">
        <v>19</v>
      </c>
      <c r="J21" s="2">
        <f t="shared" si="0"/>
        <v>0.73684210526357508</v>
      </c>
      <c r="K21" s="2">
        <f t="shared" si="1"/>
        <v>1.4210526315788083</v>
      </c>
      <c r="L21" s="2">
        <f t="shared" si="2"/>
        <v>1.6315789473682125</v>
      </c>
    </row>
    <row r="22" spans="9:12" x14ac:dyDescent="0.15">
      <c r="I22" s="2">
        <v>20</v>
      </c>
      <c r="J22" s="2">
        <f t="shared" si="0"/>
        <v>0.73684210526324478</v>
      </c>
      <c r="K22" s="2">
        <f t="shared" si="1"/>
        <v>1.4210526315789185</v>
      </c>
      <c r="L22" s="2">
        <f t="shared" si="2"/>
        <v>1.6315789473683777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829E-5BA7-4A1D-BE5E-08D491CD5280}">
  <dimension ref="A1:L22"/>
  <sheetViews>
    <sheetView workbookViewId="0">
      <selection activeCell="G19" sqref="G19"/>
    </sheetView>
  </sheetViews>
  <sheetFormatPr defaultRowHeight="16.5" x14ac:dyDescent="0.15"/>
  <cols>
    <col min="1" max="1" width="10.5" style="3" bestFit="1" customWidth="1"/>
    <col min="2" max="5" width="9" style="3"/>
    <col min="6" max="6" width="10.5" style="3" bestFit="1" customWidth="1"/>
    <col min="7" max="16384" width="9" style="3"/>
  </cols>
  <sheetData>
    <row r="1" spans="1:12" x14ac:dyDescent="0.15">
      <c r="A1" s="3" t="s">
        <v>8</v>
      </c>
      <c r="B1" s="2" cm="1">
        <f t="array" ref="B1:D3">Matrix_A</f>
        <v>4</v>
      </c>
      <c r="C1" s="2">
        <v>1</v>
      </c>
      <c r="D1" s="2">
        <v>1</v>
      </c>
      <c r="F1" s="3" t="s">
        <v>23</v>
      </c>
      <c r="G1" s="2" cm="1">
        <f t="array" ref="G1:G3">Vector_b</f>
        <v>6</v>
      </c>
      <c r="I1" s="4" t="s">
        <v>6</v>
      </c>
      <c r="J1" s="4" t="s">
        <v>3</v>
      </c>
      <c r="K1" s="4" t="s">
        <v>4</v>
      </c>
      <c r="L1" s="4" t="s">
        <v>5</v>
      </c>
    </row>
    <row r="2" spans="1:12" x14ac:dyDescent="0.15">
      <c r="B2" s="2">
        <v>1</v>
      </c>
      <c r="C2" s="2">
        <v>3</v>
      </c>
      <c r="D2" s="2">
        <v>0</v>
      </c>
      <c r="G2" s="2">
        <v>5</v>
      </c>
      <c r="I2" s="2">
        <v>0</v>
      </c>
      <c r="J2" s="2">
        <v>0</v>
      </c>
      <c r="K2" s="2">
        <v>0</v>
      </c>
      <c r="L2" s="2">
        <v>0</v>
      </c>
    </row>
    <row r="3" spans="1:12" x14ac:dyDescent="0.15">
      <c r="B3" s="2">
        <v>1</v>
      </c>
      <c r="C3" s="2">
        <v>0</v>
      </c>
      <c r="D3" s="2">
        <v>2</v>
      </c>
      <c r="G3" s="2">
        <v>4</v>
      </c>
      <c r="I3" s="2">
        <v>1</v>
      </c>
      <c r="J3" s="2">
        <f t="shared" ref="J3:J22" si="0">(1-$B$6)*J2+($B$6/$B$1)*($G$1-($C$1*K2+$D$1*L2))</f>
        <v>0.75</v>
      </c>
      <c r="K3" s="2">
        <f t="shared" ref="K3:K22" si="1">(1-$B$6)*K2+($B$6/$C$2)*($G$2-($B$2*J3+$D$2*L2))</f>
        <v>0.70833333333333326</v>
      </c>
      <c r="L3" s="2">
        <f t="shared" ref="L3:L22" si="2">(1-$B$6)*L2+($B$6/$D$3)*($G$3-($B$3*J3+$C$3*K3))</f>
        <v>0.8125</v>
      </c>
    </row>
    <row r="4" spans="1:12" x14ac:dyDescent="0.15">
      <c r="I4" s="2">
        <v>2</v>
      </c>
      <c r="J4" s="2">
        <f t="shared" si="0"/>
        <v>0.93489583333333337</v>
      </c>
      <c r="K4" s="2">
        <f t="shared" si="1"/>
        <v>1.0316840277777777</v>
      </c>
      <c r="L4" s="2">
        <f t="shared" si="2"/>
        <v>1.1725260416666665</v>
      </c>
    </row>
    <row r="5" spans="1:12" x14ac:dyDescent="0.15">
      <c r="I5" s="2">
        <v>3</v>
      </c>
      <c r="J5" s="2">
        <f t="shared" si="0"/>
        <v>0.94192165798611116</v>
      </c>
      <c r="K5" s="2">
        <f t="shared" si="1"/>
        <v>1.192188404224537</v>
      </c>
      <c r="L5" s="2">
        <f t="shared" si="2"/>
        <v>1.3507826063368054</v>
      </c>
    </row>
    <row r="6" spans="1:12" x14ac:dyDescent="0.15">
      <c r="A6" s="2" t="s">
        <v>7</v>
      </c>
      <c r="B6" s="2">
        <v>0.5</v>
      </c>
      <c r="I6" s="2">
        <v>4</v>
      </c>
      <c r="J6" s="2">
        <f t="shared" si="0"/>
        <v>0.90308945267288776</v>
      </c>
      <c r="K6" s="2">
        <f t="shared" si="1"/>
        <v>1.278912626666787</v>
      </c>
      <c r="L6" s="2">
        <f t="shared" si="2"/>
        <v>1.4496189400001809</v>
      </c>
    </row>
    <row r="7" spans="1:12" x14ac:dyDescent="0.15">
      <c r="A7" s="2" t="s">
        <v>3</v>
      </c>
      <c r="B7" s="2">
        <f>J22</f>
        <v>0.73734785994315288</v>
      </c>
      <c r="I7" s="2">
        <v>5</v>
      </c>
      <c r="J7" s="2">
        <f t="shared" si="0"/>
        <v>0.86047828050307285</v>
      </c>
      <c r="K7" s="2">
        <f t="shared" si="1"/>
        <v>1.3293765999162146</v>
      </c>
      <c r="L7" s="2">
        <f t="shared" si="2"/>
        <v>1.5096898998743222</v>
      </c>
    </row>
    <row r="8" spans="1:12" x14ac:dyDescent="0.15">
      <c r="A8" s="2" t="s">
        <v>4</v>
      </c>
      <c r="B8" s="2">
        <f>K22</f>
        <v>1.4207457426525179</v>
      </c>
      <c r="I8" s="2">
        <v>6</v>
      </c>
      <c r="J8" s="2">
        <f t="shared" si="0"/>
        <v>0.82535582777771932</v>
      </c>
      <c r="K8" s="2">
        <f t="shared" si="1"/>
        <v>1.3604623286618207</v>
      </c>
      <c r="L8" s="2">
        <f t="shared" si="2"/>
        <v>1.5485059929927312</v>
      </c>
    </row>
    <row r="9" spans="1:12" x14ac:dyDescent="0.15">
      <c r="A9" s="2" t="s">
        <v>5</v>
      </c>
      <c r="B9" s="2">
        <f>L22</f>
        <v>1.631119090815935</v>
      </c>
      <c r="I9" s="2">
        <v>7</v>
      </c>
      <c r="J9" s="2">
        <f t="shared" si="0"/>
        <v>0.7990568736820407</v>
      </c>
      <c r="K9" s="2">
        <f t="shared" si="1"/>
        <v>1.3803883520505702</v>
      </c>
      <c r="L9" s="2">
        <f t="shared" si="2"/>
        <v>1.5744887780758554</v>
      </c>
    </row>
    <row r="10" spans="1:12" x14ac:dyDescent="0.15">
      <c r="I10" s="2">
        <v>8</v>
      </c>
      <c r="J10" s="2">
        <f t="shared" si="0"/>
        <v>0.78016879557521712</v>
      </c>
      <c r="K10" s="2">
        <f t="shared" si="1"/>
        <v>1.3934993767627488</v>
      </c>
      <c r="L10" s="2">
        <f t="shared" si="2"/>
        <v>1.5922021901441235</v>
      </c>
    </row>
    <row r="11" spans="1:12" x14ac:dyDescent="0.15">
      <c r="I11" s="2">
        <v>9</v>
      </c>
      <c r="J11" s="2">
        <f t="shared" si="0"/>
        <v>0.76687170192424947</v>
      </c>
      <c r="K11" s="2">
        <f t="shared" si="1"/>
        <v>1.4022710713939994</v>
      </c>
      <c r="L11" s="2">
        <f t="shared" si="2"/>
        <v>1.6043831695909994</v>
      </c>
    </row>
    <row r="12" spans="1:12" x14ac:dyDescent="0.15">
      <c r="I12" s="2">
        <v>10</v>
      </c>
      <c r="J12" s="2">
        <f t="shared" si="0"/>
        <v>0.75760407083899994</v>
      </c>
      <c r="K12" s="2">
        <f t="shared" si="1"/>
        <v>1.4082015238904997</v>
      </c>
      <c r="L12" s="2">
        <f t="shared" si="2"/>
        <v>1.6127905670857496</v>
      </c>
    </row>
    <row r="13" spans="1:12" x14ac:dyDescent="0.15">
      <c r="I13" s="2">
        <v>11</v>
      </c>
      <c r="J13" s="2">
        <f t="shared" si="0"/>
        <v>0.75117802404746881</v>
      </c>
      <c r="K13" s="2">
        <f t="shared" si="1"/>
        <v>1.4122377579373384</v>
      </c>
      <c r="L13" s="2">
        <f t="shared" si="2"/>
        <v>1.6186007775310076</v>
      </c>
    </row>
    <row r="14" spans="1:12" x14ac:dyDescent="0.15">
      <c r="I14" s="2">
        <v>12</v>
      </c>
      <c r="J14" s="2">
        <f t="shared" si="0"/>
        <v>0.74673419509019112</v>
      </c>
      <c r="K14" s="2">
        <f t="shared" si="1"/>
        <v>1.4149965131203039</v>
      </c>
      <c r="L14" s="2">
        <f t="shared" si="2"/>
        <v>1.6226168399929559</v>
      </c>
    </row>
    <row r="15" spans="1:12" x14ac:dyDescent="0.15">
      <c r="I15" s="2">
        <v>13</v>
      </c>
      <c r="J15" s="2">
        <f t="shared" si="0"/>
        <v>0.74366542840593808</v>
      </c>
      <c r="K15" s="2">
        <f t="shared" si="1"/>
        <v>1.4168873518258289</v>
      </c>
      <c r="L15" s="2">
        <f t="shared" si="2"/>
        <v>1.6253920628949934</v>
      </c>
    </row>
    <row r="16" spans="1:12" x14ac:dyDescent="0.15">
      <c r="I16" s="2">
        <v>14</v>
      </c>
      <c r="J16" s="2">
        <f t="shared" si="0"/>
        <v>0.7415477873628662</v>
      </c>
      <c r="K16" s="2">
        <f t="shared" si="1"/>
        <v>1.4181857113524368</v>
      </c>
      <c r="L16" s="2">
        <f t="shared" si="2"/>
        <v>1.6273090846067801</v>
      </c>
    </row>
    <row r="17" spans="9:12" x14ac:dyDescent="0.15">
      <c r="I17" s="2">
        <v>15</v>
      </c>
      <c r="J17" s="2">
        <f t="shared" si="0"/>
        <v>0.74008704418653104</v>
      </c>
      <c r="K17" s="2">
        <f t="shared" si="1"/>
        <v>1.4190783483117966</v>
      </c>
      <c r="L17" s="2">
        <f t="shared" si="2"/>
        <v>1.6286327812567574</v>
      </c>
    </row>
    <row r="18" spans="9:12" x14ac:dyDescent="0.15">
      <c r="I18" s="2">
        <v>16</v>
      </c>
      <c r="J18" s="2">
        <f t="shared" si="0"/>
        <v>0.7390796308971963</v>
      </c>
      <c r="K18" s="2">
        <f t="shared" si="1"/>
        <v>1.4196925690063655</v>
      </c>
      <c r="L18" s="2">
        <f t="shared" si="2"/>
        <v>1.6295464829040798</v>
      </c>
    </row>
    <row r="19" spans="9:12" x14ac:dyDescent="0.15">
      <c r="I19" s="2">
        <v>17</v>
      </c>
      <c r="J19" s="2">
        <f t="shared" si="0"/>
        <v>0.73838493395979254</v>
      </c>
      <c r="K19" s="2">
        <f t="shared" si="1"/>
        <v>1.4201154621765506</v>
      </c>
      <c r="L19" s="2">
        <f t="shared" si="2"/>
        <v>1.6301770079620916</v>
      </c>
    </row>
    <row r="20" spans="9:12" x14ac:dyDescent="0.15">
      <c r="I20" s="2">
        <v>18</v>
      </c>
      <c r="J20" s="2">
        <f t="shared" si="0"/>
        <v>0.73790590821256596</v>
      </c>
      <c r="K20" s="2">
        <f t="shared" si="1"/>
        <v>1.4204067463861809</v>
      </c>
      <c r="L20" s="2">
        <f t="shared" si="2"/>
        <v>1.6306120269279043</v>
      </c>
    </row>
    <row r="21" spans="9:12" x14ac:dyDescent="0.15">
      <c r="I21" s="2">
        <v>19</v>
      </c>
      <c r="J21" s="2">
        <f t="shared" si="0"/>
        <v>0.73757560744202233</v>
      </c>
      <c r="K21" s="2">
        <f t="shared" si="1"/>
        <v>1.4206074386194198</v>
      </c>
      <c r="L21" s="2">
        <f t="shared" si="2"/>
        <v>1.6309121116034464</v>
      </c>
    </row>
    <row r="22" spans="9:12" x14ac:dyDescent="0.15">
      <c r="I22" s="2">
        <v>20</v>
      </c>
      <c r="J22" s="2">
        <f t="shared" si="0"/>
        <v>0.73734785994315288</v>
      </c>
      <c r="K22" s="2">
        <f t="shared" si="1"/>
        <v>1.4207457426525179</v>
      </c>
      <c r="L22" s="2">
        <f t="shared" si="2"/>
        <v>1.631119090815935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EB57-E479-46C5-B8AA-C850A00537F6}">
  <dimension ref="A1:Q8"/>
  <sheetViews>
    <sheetView workbookViewId="0">
      <selection activeCell="H14" sqref="H14"/>
    </sheetView>
  </sheetViews>
  <sheetFormatPr defaultRowHeight="13.5" x14ac:dyDescent="0.15"/>
  <cols>
    <col min="6" max="6" width="10" bestFit="1" customWidth="1"/>
  </cols>
  <sheetData>
    <row r="1" spans="1:17" x14ac:dyDescent="0.15">
      <c r="A1" t="s">
        <v>8</v>
      </c>
      <c r="B1" s="1" cm="1">
        <f t="array" ref="B1:D3">Matrix_A</f>
        <v>4</v>
      </c>
      <c r="C1" s="1">
        <v>1</v>
      </c>
      <c r="D1" s="1">
        <v>1</v>
      </c>
      <c r="F1" t="s">
        <v>23</v>
      </c>
      <c r="G1" s="1" cm="1">
        <f t="array" ref="G1:G3">Vector_b</f>
        <v>6</v>
      </c>
      <c r="I1" s="1">
        <f>SQRT(B1)</f>
        <v>2</v>
      </c>
      <c r="J1" s="1">
        <v>0</v>
      </c>
      <c r="K1" s="1">
        <v>0</v>
      </c>
      <c r="L1" s="1">
        <f>G1/I1</f>
        <v>3</v>
      </c>
      <c r="N1" s="1" cm="1">
        <f t="array" ref="N1:P3">TRANSPOSE(I1:K3)</f>
        <v>2</v>
      </c>
      <c r="O1" s="1">
        <v>0.5</v>
      </c>
      <c r="P1" s="1">
        <v>0.5</v>
      </c>
      <c r="Q1" s="1">
        <f>(L1-O1*Q2-P1*Q3)/N1</f>
        <v>0.25409836065573776</v>
      </c>
    </row>
    <row r="2" spans="1:17" x14ac:dyDescent="0.15">
      <c r="B2" s="1">
        <v>1</v>
      </c>
      <c r="C2" s="1">
        <v>3</v>
      </c>
      <c r="D2" s="1">
        <v>0</v>
      </c>
      <c r="G2" s="1">
        <v>5</v>
      </c>
      <c r="I2" s="1">
        <f>(B2/I1)</f>
        <v>0.5</v>
      </c>
      <c r="J2" s="1">
        <f>SQRT(C2-$I$2^2)</f>
        <v>1.6583123951776999</v>
      </c>
      <c r="K2" s="1">
        <v>0</v>
      </c>
      <c r="L2" s="1">
        <f>(G2-I2*L1)/J2</f>
        <v>2.1105794120443453</v>
      </c>
      <c r="N2" s="1">
        <v>0</v>
      </c>
      <c r="O2" s="1">
        <v>1.6583123951776999</v>
      </c>
      <c r="P2" s="1">
        <v>-0.60302268915552726</v>
      </c>
      <c r="Q2" s="1">
        <f>(L2-P2*Q3)/O2</f>
        <v>2.262295081967213</v>
      </c>
    </row>
    <row r="3" spans="1:17" x14ac:dyDescent="0.15">
      <c r="B3" s="1">
        <v>1</v>
      </c>
      <c r="C3" s="1">
        <v>0</v>
      </c>
      <c r="D3" s="1">
        <v>2</v>
      </c>
      <c r="G3" s="1">
        <v>4</v>
      </c>
      <c r="I3" s="1">
        <f>(B3/I1)</f>
        <v>0.5</v>
      </c>
      <c r="J3" s="1">
        <f>(C3-I3/I2)/J2</f>
        <v>-0.60302268915552726</v>
      </c>
      <c r="K3" s="1">
        <f>SQRT(D3-I3^2-J3^2)</f>
        <v>1.177439440635329</v>
      </c>
      <c r="L3" s="1">
        <f>(G3-I3*L1-J3*L2)/K3</f>
        <v>3.204179461401059</v>
      </c>
      <c r="N3" s="1">
        <v>0</v>
      </c>
      <c r="O3" s="1">
        <v>0</v>
      </c>
      <c r="P3" s="1">
        <v>1.177439440635329</v>
      </c>
      <c r="Q3" s="1">
        <f>L3/P3</f>
        <v>2.721311475409836</v>
      </c>
    </row>
    <row r="6" spans="1:17" ht="16.5" x14ac:dyDescent="0.15">
      <c r="A6" s="2" t="s">
        <v>3</v>
      </c>
      <c r="B6" s="2">
        <f>Q1</f>
        <v>0.25409836065573776</v>
      </c>
    </row>
    <row r="7" spans="1:17" ht="16.5" x14ac:dyDescent="0.15">
      <c r="A7" s="2" t="s">
        <v>4</v>
      </c>
      <c r="B7" s="2">
        <f>Q2</f>
        <v>2.262295081967213</v>
      </c>
    </row>
    <row r="8" spans="1:17" ht="16.5" x14ac:dyDescent="0.15">
      <c r="A8" s="2" t="s">
        <v>5</v>
      </c>
      <c r="B8" s="2">
        <f>Q3</f>
        <v>2.721311475409836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5F17-805B-4A98-9E30-153555960847}">
  <dimension ref="A1:R8"/>
  <sheetViews>
    <sheetView workbookViewId="0">
      <selection activeCell="A6" sqref="A6:B8"/>
    </sheetView>
  </sheetViews>
  <sheetFormatPr defaultRowHeight="13.5" x14ac:dyDescent="0.15"/>
  <sheetData>
    <row r="1" spans="1:18" x14ac:dyDescent="0.15">
      <c r="A1" t="s">
        <v>8</v>
      </c>
      <c r="B1" s="1" cm="1">
        <f t="array" ref="B1:D3">Matrix_A</f>
        <v>4</v>
      </c>
      <c r="C1" s="1">
        <v>1</v>
      </c>
      <c r="D1" s="1">
        <v>1</v>
      </c>
      <c r="F1" t="s">
        <v>23</v>
      </c>
      <c r="G1" s="1" cm="1">
        <f t="array" ref="G1:G3">Vector_b</f>
        <v>6</v>
      </c>
      <c r="I1" t="s">
        <v>9</v>
      </c>
      <c r="J1" s="1">
        <v>1</v>
      </c>
      <c r="K1" s="1">
        <v>0</v>
      </c>
      <c r="L1" s="1">
        <v>0</v>
      </c>
      <c r="M1" s="1">
        <f>G1</f>
        <v>6</v>
      </c>
      <c r="O1" t="s">
        <v>10</v>
      </c>
      <c r="P1" s="1">
        <f>B1</f>
        <v>4</v>
      </c>
      <c r="Q1" s="1">
        <f>B2</f>
        <v>1</v>
      </c>
      <c r="R1" s="1">
        <f>B3</f>
        <v>1</v>
      </c>
    </row>
    <row r="2" spans="1:18" x14ac:dyDescent="0.15">
      <c r="B2" s="1">
        <v>1</v>
      </c>
      <c r="C2" s="1">
        <v>3</v>
      </c>
      <c r="D2" s="1">
        <v>0</v>
      </c>
      <c r="G2" s="1">
        <v>5</v>
      </c>
      <c r="J2" s="1">
        <f>B2/P1</f>
        <v>0.25</v>
      </c>
      <c r="K2" s="1">
        <v>1</v>
      </c>
      <c r="L2" s="1">
        <v>0</v>
      </c>
      <c r="M2" s="1">
        <f>G2-J2*M1</f>
        <v>3.5</v>
      </c>
      <c r="P2" s="1">
        <v>0</v>
      </c>
      <c r="Q2" s="1">
        <f>C2-J2*Q1</f>
        <v>2.75</v>
      </c>
      <c r="R2" s="1">
        <f>D2-J2*R1</f>
        <v>-0.25</v>
      </c>
    </row>
    <row r="3" spans="1:18" x14ac:dyDescent="0.15">
      <c r="B3" s="1">
        <v>1</v>
      </c>
      <c r="C3" s="1">
        <v>0</v>
      </c>
      <c r="D3" s="1">
        <v>2</v>
      </c>
      <c r="G3" s="1">
        <v>4</v>
      </c>
      <c r="J3" s="1">
        <f>B3/P1</f>
        <v>0.25</v>
      </c>
      <c r="K3" s="1">
        <f>(C3-J3*Q1)/Q2</f>
        <v>-9.0909090909090912E-2</v>
      </c>
      <c r="L3" s="1">
        <v>1</v>
      </c>
      <c r="M3" s="1">
        <f>G3-J3*M1-K3*M2</f>
        <v>2.8181818181818183</v>
      </c>
      <c r="P3" s="1">
        <v>0</v>
      </c>
      <c r="Q3" s="1">
        <v>0</v>
      </c>
      <c r="R3" s="1">
        <f>D3-J3*R1-K3*R2</f>
        <v>1.7272727272727273</v>
      </c>
    </row>
    <row r="6" spans="1:18" ht="16.5" x14ac:dyDescent="0.15">
      <c r="A6" s="2" t="s">
        <v>3</v>
      </c>
      <c r="B6" s="2">
        <f>(M1-Q1*B7-R1*B8)/P1</f>
        <v>0.73684210526315796</v>
      </c>
    </row>
    <row r="7" spans="1:18" ht="16.5" x14ac:dyDescent="0.15">
      <c r="A7" s="2" t="s">
        <v>4</v>
      </c>
      <c r="B7" s="2">
        <f>(M2-R2*B8)/Q2</f>
        <v>1.4210526315789473</v>
      </c>
    </row>
    <row r="8" spans="1:18" ht="16.5" x14ac:dyDescent="0.15">
      <c r="A8" s="2" t="s">
        <v>5</v>
      </c>
      <c r="B8" s="2">
        <f>M3/R3</f>
        <v>1.631578947368421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97E-B160-4CE3-85E3-49E0ACAA8E1B}">
  <dimension ref="A1:V12"/>
  <sheetViews>
    <sheetView workbookViewId="0">
      <selection activeCell="N27" sqref="N27"/>
    </sheetView>
  </sheetViews>
  <sheetFormatPr defaultRowHeight="16.5" x14ac:dyDescent="0.15"/>
  <cols>
    <col min="1" max="1" width="10.375" style="3" customWidth="1"/>
    <col min="2" max="5" width="9" style="3"/>
    <col min="6" max="6" width="10.5" style="3" customWidth="1"/>
    <col min="7" max="16384" width="9" style="3"/>
  </cols>
  <sheetData>
    <row r="1" spans="1:22" x14ac:dyDescent="0.15">
      <c r="A1" s="3" t="s">
        <v>24</v>
      </c>
      <c r="B1" s="2" cm="1">
        <f t="array" ref="B1:D3">Matrix_A</f>
        <v>4</v>
      </c>
      <c r="C1" s="2">
        <v>1</v>
      </c>
      <c r="D1" s="2">
        <v>1</v>
      </c>
      <c r="F1" s="3" t="s">
        <v>25</v>
      </c>
      <c r="G1" s="2" cm="1">
        <f t="array" ref="G1:G3">Vector_b</f>
        <v>6</v>
      </c>
      <c r="I1" s="2" t="s">
        <v>3</v>
      </c>
      <c r="J1" s="2" t="s">
        <v>4</v>
      </c>
      <c r="K1" s="2" t="s">
        <v>5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15">
      <c r="B2" s="2">
        <v>1</v>
      </c>
      <c r="C2" s="2">
        <v>3</v>
      </c>
      <c r="D2" s="2">
        <v>0</v>
      </c>
      <c r="G2" s="2">
        <v>5</v>
      </c>
      <c r="I2" s="2">
        <v>0</v>
      </c>
      <c r="J2" s="2">
        <v>0</v>
      </c>
      <c r="K2" s="2">
        <v>0</v>
      </c>
      <c r="L2" s="2">
        <f>G1</f>
        <v>6</v>
      </c>
      <c r="M2" s="2">
        <f>G2</f>
        <v>5</v>
      </c>
      <c r="N2" s="2">
        <f>G3</f>
        <v>4</v>
      </c>
      <c r="O2" s="2">
        <f>G1</f>
        <v>6</v>
      </c>
      <c r="P2" s="2">
        <f>G2</f>
        <v>5</v>
      </c>
      <c r="Q2" s="2">
        <f>G3</f>
        <v>4</v>
      </c>
      <c r="R2" s="2"/>
      <c r="S2" s="2"/>
      <c r="T2" s="2"/>
      <c r="U2" s="2"/>
      <c r="V2" s="2"/>
    </row>
    <row r="3" spans="1:22" x14ac:dyDescent="0.15">
      <c r="B3" s="2">
        <v>1</v>
      </c>
      <c r="C3" s="2">
        <v>0</v>
      </c>
      <c r="D3" s="2">
        <v>2</v>
      </c>
      <c r="G3" s="2">
        <v>4</v>
      </c>
      <c r="I3" s="2">
        <f>I2+U3*O2</f>
        <v>1.2869080779944291</v>
      </c>
      <c r="J3" s="2">
        <f>J2+U3*P2</f>
        <v>1.0724233983286908</v>
      </c>
      <c r="K3" s="2">
        <f>K2+U3*Q2</f>
        <v>0.85793871866295268</v>
      </c>
      <c r="L3" s="2">
        <f>L2-U3*R3</f>
        <v>-1.0779944289693599</v>
      </c>
      <c r="M3" s="2">
        <f>M2-U3*S3</f>
        <v>0.49582172701949823</v>
      </c>
      <c r="N3" s="2">
        <f>N2-U3*T3</f>
        <v>0.99721448467966578</v>
      </c>
      <c r="O3" s="2">
        <f>L3+V3*O2</f>
        <v>-0.89079848852817767</v>
      </c>
      <c r="P3" s="2">
        <f>M3+V3*P2</f>
        <v>0.65181834405381678</v>
      </c>
      <c r="Q3" s="2">
        <f>N3+V3*Q2</f>
        <v>1.1220117783071206</v>
      </c>
      <c r="R3" s="2" cm="1">
        <f t="array" ref="R3" xml:space="preserve"> INDEX(MMULT(Matrix_A, TRANSPOSE(O2:Q2)),1,1)</f>
        <v>33</v>
      </c>
      <c r="S3" s="2" cm="1">
        <f t="array" ref="S3" xml:space="preserve"> INDEX(MMULT(Matrix_A, TRANSPOSE(O2:Q2)),2,1)</f>
        <v>21</v>
      </c>
      <c r="T3" s="2" cm="1">
        <f t="array" ref="T3" xml:space="preserve"> INDEX(MMULT(Matrix_A, TRANSPOSE(O2:Q2)),3,1)</f>
        <v>14</v>
      </c>
      <c r="U3" s="2">
        <f>SUMPRODUCT(L2:N2,L2:N2)/SUMPRODUCT(O2:Q2,R3:T3)</f>
        <v>0.21448467966573817</v>
      </c>
      <c r="V3" s="2">
        <f>SUMPRODUCT(L3:N3,L3:N3)/SUMPRODUCT(L2:N2,L2:N2)</f>
        <v>3.1199323406863707E-2</v>
      </c>
    </row>
    <row r="4" spans="1:22" x14ac:dyDescent="0.15">
      <c r="I4" s="2">
        <f>I3+U4*O3</f>
        <v>0.72467427532572448</v>
      </c>
      <c r="J4" s="2">
        <f>J3+U4*P3</f>
        <v>1.4838231828434836</v>
      </c>
      <c r="K4" s="2">
        <f>K3+U4*Q3</f>
        <v>1.5661044338955663</v>
      </c>
      <c r="L4" s="2">
        <f>L3-U4*R4</f>
        <v>5.1375281958052188E-2</v>
      </c>
      <c r="M4" s="2">
        <f>M3-U4*S4</f>
        <v>-0.17614382385617566</v>
      </c>
      <c r="N4" s="2">
        <f>N3-U4*T4</f>
        <v>0.14311685688314335</v>
      </c>
      <c r="O4" s="2">
        <f>L4+V4*O3</f>
        <v>3.1296840029289466E-2</v>
      </c>
      <c r="P4" s="2">
        <f>M4+V4*P3</f>
        <v>-0.16145195253204414</v>
      </c>
      <c r="Q4" s="2">
        <f>N4+V4*Q3</f>
        <v>0.16840680587188672</v>
      </c>
      <c r="R4" s="2" cm="1">
        <f t="array" ref="R4" xml:space="preserve"> INDEX(MMULT(Matrix_A, TRANSPOSE(O3:Q3)),1,1)</f>
        <v>-1.789363831751773</v>
      </c>
      <c r="S4" s="2" cm="1">
        <f t="array" ref="S4" xml:space="preserve"> INDEX(MMULT(Matrix_A, TRANSPOSE(O3:Q3)),2,1)</f>
        <v>1.0646565436332727</v>
      </c>
      <c r="T4" s="2" cm="1">
        <f t="array" ref="T4" xml:space="preserve"> INDEX(MMULT(Matrix_A, TRANSPOSE(O3:Q3)),3,1)</f>
        <v>1.3532250680860636</v>
      </c>
      <c r="U4" s="2">
        <f>SUMPRODUCT(L3:N3,L3:N3)/SUMPRODUCT(O3:Q3,R4:T4)</f>
        <v>0.63115711343163117</v>
      </c>
      <c r="V4" s="2">
        <f>SUMPRODUCT(L4:N4,L4:N4)/SUMPRODUCT(L3:N3,L3:N3)</f>
        <v>2.2539824873229572E-2</v>
      </c>
    </row>
    <row r="5" spans="1:22" x14ac:dyDescent="0.15">
      <c r="I5" s="2">
        <f>I4+U5*O4</f>
        <v>0.73684210526315808</v>
      </c>
      <c r="J5" s="2">
        <f>J4+U5*P4</f>
        <v>1.4210526315789473</v>
      </c>
      <c r="K5" s="2">
        <f>K4+U5*Q4</f>
        <v>1.6315789473684212</v>
      </c>
      <c r="L5" s="2">
        <f>L4-U5*R5</f>
        <v>-7.2164496600635175E-16</v>
      </c>
      <c r="M5" s="2">
        <f>M4-U5*S5</f>
        <v>-3.6082248300317588E-16</v>
      </c>
      <c r="N5" s="2">
        <f>N4-U5*T5</f>
        <v>-2.4980018054066022E-16</v>
      </c>
      <c r="O5" s="2">
        <f>L5+V5*O4</f>
        <v>-7.2164496600635136E-16</v>
      </c>
      <c r="P5" s="2">
        <f>M5+V5*P4</f>
        <v>-3.60822483003178E-16</v>
      </c>
      <c r="Q5" s="2">
        <f>N5+V5*Q4</f>
        <v>-2.49800180540658E-16</v>
      </c>
      <c r="R5" s="2" cm="1">
        <f t="array" ref="R5" xml:space="preserve"> INDEX(MMULT(Matrix_A, TRANSPOSE(O4:Q4)),1,1)</f>
        <v>0.13214221345700045</v>
      </c>
      <c r="S5" s="2" cm="1">
        <f t="array" ref="S5" xml:space="preserve"> INDEX(MMULT(Matrix_A, TRANSPOSE(O4:Q4)),2,1)</f>
        <v>-0.45305901756684297</v>
      </c>
      <c r="T5" s="2" cm="1">
        <f t="array" ref="T5" xml:space="preserve"> INDEX(MMULT(Matrix_A, TRANSPOSE(O4:Q4)),3,1)</f>
        <v>0.3681104517730629</v>
      </c>
      <c r="U5" s="2">
        <f>SUMPRODUCT(L4:N4,L4:N4)/SUMPRODUCT(O4:Q4,R5:T5)</f>
        <v>0.38878781135878743</v>
      </c>
      <c r="V5" s="2">
        <f>SUMPRODUCT(L5:N5,L5:N5)/SUMPRODUCT(L4:N4,L4:N4)</f>
        <v>1.3174223444537936E-29</v>
      </c>
    </row>
    <row r="6" spans="1:22" x14ac:dyDescent="0.15">
      <c r="I6" s="2">
        <f>I5+U6*O5</f>
        <v>0.73684210526315796</v>
      </c>
      <c r="J6" s="2">
        <f>J5+U6*P5</f>
        <v>1.4210526315789473</v>
      </c>
      <c r="K6" s="2">
        <f>K5+U6*Q5</f>
        <v>1.6315789473684212</v>
      </c>
      <c r="L6" s="2">
        <f>L5-U6*R6</f>
        <v>-4.7068343860022525E-18</v>
      </c>
      <c r="M6" s="2">
        <f>M5-U6*S6</f>
        <v>9.0265531501804402E-18</v>
      </c>
      <c r="N6" s="2">
        <f>N5-U6*T6</f>
        <v>5.5916700930224318E-19</v>
      </c>
      <c r="O6" s="2">
        <f>L6+V6*O5</f>
        <v>-4.811986574158652E-18</v>
      </c>
      <c r="P6" s="2">
        <f>M6+V6*P5</f>
        <v>8.9739770561022397E-18</v>
      </c>
      <c r="Q6" s="2">
        <f>N6+V6*Q5</f>
        <v>5.2276817494041298E-19</v>
      </c>
      <c r="R6" s="2" cm="1">
        <f t="array" ref="R6" xml:space="preserve"> INDEX(MMULT(Matrix_A, TRANSPOSE(O5:Q5)),1,1)</f>
        <v>-3.4972025275692411E-15</v>
      </c>
      <c r="S6" s="2" cm="1">
        <f t="array" ref="S6" xml:space="preserve"> INDEX(MMULT(Matrix_A, TRANSPOSE(O5:Q5)),2,1)</f>
        <v>-1.8041124150158853E-15</v>
      </c>
      <c r="T6" s="2" cm="1">
        <f t="array" ref="T6" xml:space="preserve"> INDEX(MMULT(Matrix_A, TRANSPOSE(O5:Q5)),3,1)</f>
        <v>-1.2212453270876675E-15</v>
      </c>
      <c r="U6" s="2">
        <f>SUMPRODUCT(L5:N5,L5:N5)/SUMPRODUCT(O5:Q5,R6:T6)</f>
        <v>0.2050033207881338</v>
      </c>
      <c r="V6" s="2">
        <f>SUMPRODUCT(L6:N6,L6:N6)/SUMPRODUCT(L5:N5,L5:N5)</f>
        <v>1.4571180166103137E-4</v>
      </c>
    </row>
    <row r="7" spans="1:22" x14ac:dyDescent="0.15">
      <c r="I7" s="2">
        <f>I6+U7*O6</f>
        <v>0.73684210526315796</v>
      </c>
      <c r="J7" s="2">
        <f>J6+U7*P6</f>
        <v>1.4210526315789473</v>
      </c>
      <c r="K7" s="2">
        <f>K6+U7*Q6</f>
        <v>1.6315789473684212</v>
      </c>
      <c r="L7" s="2">
        <f>L6-U7*R7</f>
        <v>-5.4196697394037579E-19</v>
      </c>
      <c r="M7" s="2">
        <f>M6-U7*S7</f>
        <v>-4.1689767226148679E-19</v>
      </c>
      <c r="N7" s="2">
        <f>N6-U7*T7</f>
        <v>2.167867895760232E-18</v>
      </c>
      <c r="O7" s="2">
        <f>L7+V7*O6</f>
        <v>-7.8117297179035841E-19</v>
      </c>
      <c r="P7" s="2">
        <f>M7+V7*P6</f>
        <v>2.9202727917437589E-20</v>
      </c>
      <c r="Q7" s="2">
        <f>N7+V7*Q6</f>
        <v>2.1938549347936277E-18</v>
      </c>
      <c r="R7" s="2" cm="1">
        <f t="array" ref="R7" xml:space="preserve"> INDEX(MMULT(Matrix_A, TRANSPOSE(O6:Q6)),1,1)</f>
        <v>-9.7512010655919558E-18</v>
      </c>
      <c r="S7" s="2" cm="1">
        <f t="array" ref="S7" xml:space="preserve"> INDEX(MMULT(Matrix_A, TRANSPOSE(O6:Q6)),2,1)</f>
        <v>2.2109944594148069E-17</v>
      </c>
      <c r="T7" s="2" cm="1">
        <f t="array" ref="T7" xml:space="preserve"> INDEX(MMULT(Matrix_A, TRANSPOSE(O6:Q6)),3,1)</f>
        <v>-3.7664502242778258E-18</v>
      </c>
      <c r="U7" s="2">
        <f>SUMPRODUCT(L6:N6,L6:N6)/SUMPRODUCT(O6:Q6,R7:T7)</f>
        <v>0.42711327394919679</v>
      </c>
      <c r="V7" s="2">
        <f>SUMPRODUCT(L7:N7,L7:N7)/SUMPRODUCT(L6:N6,L6:N6)</f>
        <v>4.9710445813495735E-2</v>
      </c>
    </row>
    <row r="8" spans="1:22" x14ac:dyDescent="0.15">
      <c r="I8" s="2">
        <f>I7+U8*O7</f>
        <v>0.73684210526315796</v>
      </c>
      <c r="J8" s="2">
        <f>J7+U8*P7</f>
        <v>1.4210526315789473</v>
      </c>
      <c r="K8" s="2">
        <f>K7+U8*Q7</f>
        <v>1.6315789473684212</v>
      </c>
      <c r="L8" s="2">
        <f>L7-U8*R8</f>
        <v>3.405044141676633E-31</v>
      </c>
      <c r="M8" s="2">
        <f>M7-U8*S8</f>
        <v>1.8224112098764219E-31</v>
      </c>
      <c r="N8" s="2">
        <f>N7-U8*T8</f>
        <v>1.1825209858537628E-31</v>
      </c>
      <c r="O8" s="2">
        <f>L8+V8*O7</f>
        <v>3.4050441416763864E-31</v>
      </c>
      <c r="P8" s="2">
        <f>M8+V8*P7</f>
        <v>1.8224112098764311E-31</v>
      </c>
      <c r="Q8" s="2">
        <f>N8+V8*Q7</f>
        <v>1.1825209858544554E-31</v>
      </c>
      <c r="R8" s="2" cm="1">
        <f t="array" ref="R8" xml:space="preserve"> INDEX(MMULT(Matrix_A, TRANSPOSE(O7:Q7)),1,1)</f>
        <v>-9.0163422445036849E-19</v>
      </c>
      <c r="S8" s="2" cm="1">
        <f t="array" ref="S8" xml:space="preserve"> INDEX(MMULT(Matrix_A, TRANSPOSE(O7:Q7)),2,1)</f>
        <v>-6.9356478803804565E-19</v>
      </c>
      <c r="T8" s="2" cm="1">
        <f t="array" ref="T8" xml:space="preserve"> INDEX(MMULT(Matrix_A, TRANSPOSE(O7:Q7)),3,1)</f>
        <v>3.6065368977968972E-18</v>
      </c>
      <c r="U8" s="2">
        <f>SUMPRODUCT(L7:N7,L7:N7)/SUMPRODUCT(O7:Q7,R8:T8)</f>
        <v>0.60109405703970087</v>
      </c>
      <c r="V8" s="2">
        <f>SUMPRODUCT(L8:N8,L8:N8)/SUMPRODUCT(L7:N7,L7:N7)</f>
        <v>3.1572065172018582E-26</v>
      </c>
    </row>
    <row r="10" spans="1:22" x14ac:dyDescent="0.15">
      <c r="A10" s="2" t="s">
        <v>3</v>
      </c>
      <c r="B10" s="2">
        <f>I8</f>
        <v>0.73684210526315796</v>
      </c>
    </row>
    <row r="11" spans="1:22" x14ac:dyDescent="0.15">
      <c r="A11" s="2" t="s">
        <v>4</v>
      </c>
      <c r="B11" s="2">
        <f>J8</f>
        <v>1.4210526315789473</v>
      </c>
    </row>
    <row r="12" spans="1:22" x14ac:dyDescent="0.15">
      <c r="A12" s="2" t="s">
        <v>5</v>
      </c>
      <c r="B12" s="2">
        <f>K8</f>
        <v>1.6315789473684212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421D-CF84-4D4D-9C57-36DCF3211109}">
  <dimension ref="A1:R11"/>
  <sheetViews>
    <sheetView workbookViewId="0">
      <selection activeCell="K24" sqref="K24"/>
    </sheetView>
  </sheetViews>
  <sheetFormatPr defaultRowHeight="16.5" x14ac:dyDescent="0.15"/>
  <cols>
    <col min="1" max="1" width="10.5" style="3" bestFit="1" customWidth="1"/>
    <col min="2" max="16384" width="9" style="3"/>
  </cols>
  <sheetData>
    <row r="1" spans="1:18" x14ac:dyDescent="0.15">
      <c r="A1" s="3" t="s">
        <v>8</v>
      </c>
      <c r="B1" s="2" cm="1">
        <f t="array" ref="B1:D3">Matrix_A</f>
        <v>4</v>
      </c>
      <c r="C1" s="2">
        <v>1</v>
      </c>
      <c r="D1" s="2">
        <v>1</v>
      </c>
      <c r="F1" s="3" t="s">
        <v>23</v>
      </c>
      <c r="G1" s="2" cm="1">
        <f t="array" ref="G1:G3">Vector_b</f>
        <v>6</v>
      </c>
      <c r="I1" s="2">
        <v>0</v>
      </c>
      <c r="J1" s="2" cm="1">
        <f t="array" ref="J1">INDEX(Matrix_A, ROW(B1), ROW(B1))</f>
        <v>4</v>
      </c>
      <c r="K1" s="2" cm="1">
        <f t="array" ref="K1">INDEX(Matrix_A, ROW(B1)+1, ROW(B1))</f>
        <v>1</v>
      </c>
      <c r="M1" s="2">
        <f>K1/J1</f>
        <v>0.25</v>
      </c>
      <c r="N1" s="2">
        <f>G1/J1</f>
        <v>1.5</v>
      </c>
      <c r="O1" s="2">
        <f>K2/(J2-I2*M1)</f>
        <v>0</v>
      </c>
      <c r="P1" s="2">
        <f>(G2-I2*N1)/(J2-I2*M1)</f>
        <v>1.2727272727272727</v>
      </c>
      <c r="Q1" s="2">
        <f>K3/(J3-I3*O1)</f>
        <v>0</v>
      </c>
      <c r="R1" s="2">
        <f>(G3-I3*P1)/(J3-I3*O1)</f>
        <v>2</v>
      </c>
    </row>
    <row r="2" spans="1:18" x14ac:dyDescent="0.15">
      <c r="B2" s="2">
        <v>1</v>
      </c>
      <c r="C2" s="2">
        <v>3</v>
      </c>
      <c r="D2" s="2">
        <v>0</v>
      </c>
      <c r="G2" s="2">
        <v>5</v>
      </c>
      <c r="I2" s="2" cm="1">
        <f t="array" ref="I2">INDEX(Matrix_A, ROW(B2)-1, ROW(B2))</f>
        <v>1</v>
      </c>
      <c r="J2" s="2" cm="1">
        <f t="array" ref="J2">INDEX(Matrix_A, ROW(B2), ROW(B2))</f>
        <v>3</v>
      </c>
      <c r="K2" s="2" cm="1">
        <f t="array" ref="K2">INDEX(Matrix_A, ROW(B2)+1, ROW(B2))</f>
        <v>0</v>
      </c>
    </row>
    <row r="3" spans="1:18" x14ac:dyDescent="0.15">
      <c r="B3" s="2">
        <v>1</v>
      </c>
      <c r="C3" s="2">
        <v>0</v>
      </c>
      <c r="D3" s="2">
        <v>2</v>
      </c>
      <c r="G3" s="2">
        <v>4</v>
      </c>
      <c r="I3" s="2" cm="1">
        <f t="array" ref="I3">INDEX(Matrix_A, ROW(B3)-1, ROW(B3))</f>
        <v>0</v>
      </c>
      <c r="J3" s="2" cm="1">
        <f t="array" ref="J3">INDEX(Matrix_A, ROW(B3), ROW(B3))</f>
        <v>2</v>
      </c>
      <c r="K3" s="2">
        <v>0</v>
      </c>
    </row>
    <row r="9" spans="1:18" x14ac:dyDescent="0.15">
      <c r="A9" s="2" t="s">
        <v>3</v>
      </c>
      <c r="B9" s="2">
        <f>N1-M1*B10</f>
        <v>1.1818181818181819</v>
      </c>
    </row>
    <row r="10" spans="1:18" x14ac:dyDescent="0.15">
      <c r="A10" s="2" t="s">
        <v>4</v>
      </c>
      <c r="B10" s="2">
        <f>P1-O1*B11</f>
        <v>1.2727272727272727</v>
      </c>
    </row>
    <row r="11" spans="1:18" x14ac:dyDescent="0.15">
      <c r="A11" s="2" t="s">
        <v>5</v>
      </c>
      <c r="B11" s="2">
        <f>R1</f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</vt:i4>
      </vt:variant>
    </vt:vector>
  </HeadingPairs>
  <TitlesOfParts>
    <vt:vector size="14" baseType="lpstr">
      <vt:lpstr>Matrix</vt:lpstr>
      <vt:lpstr>Vector</vt:lpstr>
      <vt:lpstr>Cramer</vt:lpstr>
      <vt:lpstr>Gauss Elimination</vt:lpstr>
      <vt:lpstr>Gauss-Jordan</vt:lpstr>
      <vt:lpstr>Jacobi</vt:lpstr>
      <vt:lpstr>Gauss-Seidel</vt:lpstr>
      <vt:lpstr>Sucessive Over-Relaxation (SOR)</vt:lpstr>
      <vt:lpstr>Cholesky Decomposition</vt:lpstr>
      <vt:lpstr>LU Factorization</vt:lpstr>
      <vt:lpstr>Conjugate Gradient</vt:lpstr>
      <vt:lpstr>Thomas Algorithm</vt:lpstr>
      <vt:lpstr>Matrix_A</vt:lpstr>
      <vt:lpstr>Vector_b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知花 チアゴ</dc:creator>
  <cp:lastModifiedBy>知花 チアゴ</cp:lastModifiedBy>
  <dcterms:created xsi:type="dcterms:W3CDTF">2025-11-19T00:05:17Z</dcterms:created>
  <dcterms:modified xsi:type="dcterms:W3CDTF">2025-11-20T04:33:39Z</dcterms:modified>
</cp:coreProperties>
</file>