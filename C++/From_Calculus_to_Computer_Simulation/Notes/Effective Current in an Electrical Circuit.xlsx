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Study_Area\C++\From_Calculus_to_Computer_Simulation\Notes\"/>
    </mc:Choice>
  </mc:AlternateContent>
  <xr:revisionPtr revIDLastSave="0" documentId="13_ncr:1_{39101FCB-3674-4808-B106-9A7D1028BDB4}" xr6:coauthVersionLast="47" xr6:coauthVersionMax="47" xr10:uidLastSave="{00000000-0000-0000-0000-000000000000}"/>
  <bookViews>
    <workbookView xWindow="-120" yWindow="-120" windowWidth="29040" windowHeight="15720" xr2:uid="{05AB40C3-332E-4F19-B34C-5BEA854DCC8E}"/>
  </bookViews>
  <sheets>
    <sheet name="Hand Calculation" sheetId="1" r:id="rId1"/>
    <sheet name="Trapezoidal R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F1" i="2"/>
  <c r="B136" i="2"/>
  <c r="C136" i="2" s="1"/>
  <c r="D136" i="2" s="1"/>
  <c r="E136" i="2" s="1"/>
  <c r="B8" i="2"/>
  <c r="B9" i="2" s="1"/>
  <c r="B3" i="2"/>
  <c r="C7" i="2" l="1"/>
  <c r="D7" i="2" s="1"/>
  <c r="E7" i="2" s="1"/>
  <c r="C8" i="2"/>
  <c r="D8" i="2" s="1"/>
  <c r="E8" i="2" s="1"/>
  <c r="C9" i="2"/>
  <c r="D9" i="2" s="1"/>
  <c r="E9" i="2" s="1"/>
  <c r="B10" i="2"/>
  <c r="C10" i="2" l="1"/>
  <c r="D10" i="2" s="1"/>
  <c r="E10" i="2" s="1"/>
  <c r="B11" i="2"/>
  <c r="C11" i="2" l="1"/>
  <c r="D11" i="2" s="1"/>
  <c r="E11" i="2" s="1"/>
  <c r="B12" i="2"/>
  <c r="B1" i="1"/>
  <c r="C12" i="2" l="1"/>
  <c r="D12" i="2" s="1"/>
  <c r="E12" i="2" s="1"/>
  <c r="B13" i="2"/>
  <c r="B14" i="2" l="1"/>
  <c r="C13" i="2"/>
  <c r="D13" i="2" s="1"/>
  <c r="E13" i="2" s="1"/>
  <c r="C14" i="2" l="1"/>
  <c r="D14" i="2" s="1"/>
  <c r="E14" i="2" s="1"/>
  <c r="B15" i="2"/>
  <c r="C15" i="2" l="1"/>
  <c r="D15" i="2" s="1"/>
  <c r="E15" i="2" s="1"/>
  <c r="B16" i="2"/>
  <c r="C16" i="2" l="1"/>
  <c r="D16" i="2" s="1"/>
  <c r="E16" i="2" s="1"/>
  <c r="B17" i="2"/>
  <c r="C17" i="2" l="1"/>
  <c r="D17" i="2" s="1"/>
  <c r="E17" i="2" s="1"/>
  <c r="B18" i="2"/>
  <c r="B19" i="2" l="1"/>
  <c r="C18" i="2"/>
  <c r="D18" i="2" s="1"/>
  <c r="E18" i="2" s="1"/>
  <c r="C19" i="2" l="1"/>
  <c r="D19" i="2" s="1"/>
  <c r="E19" i="2" s="1"/>
  <c r="B20" i="2"/>
  <c r="C20" i="2" l="1"/>
  <c r="D20" i="2" s="1"/>
  <c r="E20" i="2" s="1"/>
  <c r="B21" i="2"/>
  <c r="C21" i="2" l="1"/>
  <c r="D21" i="2" s="1"/>
  <c r="E21" i="2" s="1"/>
  <c r="B22" i="2"/>
  <c r="C22" i="2" l="1"/>
  <c r="D22" i="2" s="1"/>
  <c r="E22" i="2" s="1"/>
  <c r="B23" i="2"/>
  <c r="B24" i="2" l="1"/>
  <c r="C23" i="2"/>
  <c r="D23" i="2" s="1"/>
  <c r="E23" i="2" s="1"/>
  <c r="C24" i="2" l="1"/>
  <c r="D24" i="2" s="1"/>
  <c r="E24" i="2" s="1"/>
  <c r="B25" i="2"/>
  <c r="C25" i="2" l="1"/>
  <c r="D25" i="2" s="1"/>
  <c r="E25" i="2" s="1"/>
  <c r="B26" i="2"/>
  <c r="C26" i="2" l="1"/>
  <c r="D26" i="2" s="1"/>
  <c r="E26" i="2" s="1"/>
  <c r="B27" i="2"/>
  <c r="B28" i="2" l="1"/>
  <c r="C27" i="2"/>
  <c r="D27" i="2" s="1"/>
  <c r="E27" i="2" s="1"/>
  <c r="B29" i="2" l="1"/>
  <c r="C28" i="2"/>
  <c r="D28" i="2" s="1"/>
  <c r="E28" i="2" s="1"/>
  <c r="C29" i="2" l="1"/>
  <c r="D29" i="2" s="1"/>
  <c r="E29" i="2" s="1"/>
  <c r="B30" i="2"/>
  <c r="C30" i="2" l="1"/>
  <c r="D30" i="2" s="1"/>
  <c r="E30" i="2" s="1"/>
  <c r="B31" i="2"/>
  <c r="C31" i="2" l="1"/>
  <c r="D31" i="2" s="1"/>
  <c r="E31" i="2" s="1"/>
  <c r="B32" i="2"/>
  <c r="B33" i="2" l="1"/>
  <c r="C32" i="2"/>
  <c r="D32" i="2" s="1"/>
  <c r="E32" i="2" s="1"/>
  <c r="B34" i="2" l="1"/>
  <c r="C33" i="2"/>
  <c r="D33" i="2" s="1"/>
  <c r="E33" i="2" s="1"/>
  <c r="C34" i="2" l="1"/>
  <c r="D34" i="2" s="1"/>
  <c r="E34" i="2" s="1"/>
  <c r="B35" i="2"/>
  <c r="C35" i="2" l="1"/>
  <c r="D35" i="2" s="1"/>
  <c r="E35" i="2" s="1"/>
  <c r="B36" i="2"/>
  <c r="C36" i="2" l="1"/>
  <c r="D36" i="2" s="1"/>
  <c r="E36" i="2" s="1"/>
  <c r="B37" i="2"/>
  <c r="C37" i="2" l="1"/>
  <c r="D37" i="2" s="1"/>
  <c r="E37" i="2" s="1"/>
  <c r="B38" i="2"/>
  <c r="B39" i="2" l="1"/>
  <c r="C38" i="2"/>
  <c r="D38" i="2" s="1"/>
  <c r="E38" i="2" s="1"/>
  <c r="C39" i="2" l="1"/>
  <c r="D39" i="2" s="1"/>
  <c r="E39" i="2" s="1"/>
  <c r="B40" i="2"/>
  <c r="C40" i="2" l="1"/>
  <c r="D40" i="2" s="1"/>
  <c r="E40" i="2" s="1"/>
  <c r="B41" i="2"/>
  <c r="C41" i="2" l="1"/>
  <c r="D41" i="2" s="1"/>
  <c r="E41" i="2" s="1"/>
  <c r="B42" i="2"/>
  <c r="B43" i="2" l="1"/>
  <c r="C42" i="2"/>
  <c r="D42" i="2" s="1"/>
  <c r="E42" i="2" s="1"/>
  <c r="B44" i="2" l="1"/>
  <c r="C43" i="2"/>
  <c r="D43" i="2" s="1"/>
  <c r="E43" i="2" s="1"/>
  <c r="C44" i="2" l="1"/>
  <c r="D44" i="2" s="1"/>
  <c r="E44" i="2" s="1"/>
  <c r="B45" i="2"/>
  <c r="C45" i="2" l="1"/>
  <c r="D45" i="2" s="1"/>
  <c r="E45" i="2" s="1"/>
  <c r="B46" i="2"/>
  <c r="C46" i="2" l="1"/>
  <c r="D46" i="2" s="1"/>
  <c r="E46" i="2" s="1"/>
  <c r="B47" i="2"/>
  <c r="C47" i="2" l="1"/>
  <c r="D47" i="2" s="1"/>
  <c r="E47" i="2" s="1"/>
  <c r="B48" i="2"/>
  <c r="B49" i="2" l="1"/>
  <c r="C48" i="2"/>
  <c r="D48" i="2" s="1"/>
  <c r="E48" i="2" s="1"/>
  <c r="C49" i="2" l="1"/>
  <c r="D49" i="2" s="1"/>
  <c r="E49" i="2" s="1"/>
  <c r="B50" i="2"/>
  <c r="C50" i="2" l="1"/>
  <c r="D50" i="2" s="1"/>
  <c r="E50" i="2" s="1"/>
  <c r="B51" i="2"/>
  <c r="C51" i="2" l="1"/>
  <c r="D51" i="2" s="1"/>
  <c r="E51" i="2" s="1"/>
  <c r="B52" i="2"/>
  <c r="B53" i="2" l="1"/>
  <c r="C52" i="2"/>
  <c r="D52" i="2" s="1"/>
  <c r="E52" i="2" s="1"/>
  <c r="B54" i="2" l="1"/>
  <c r="C53" i="2"/>
  <c r="D53" i="2" s="1"/>
  <c r="E53" i="2" s="1"/>
  <c r="C54" i="2" l="1"/>
  <c r="D54" i="2" s="1"/>
  <c r="E54" i="2" s="1"/>
  <c r="B55" i="2"/>
  <c r="C55" i="2" l="1"/>
  <c r="D55" i="2" s="1"/>
  <c r="E55" i="2" s="1"/>
  <c r="B56" i="2"/>
  <c r="C56" i="2" l="1"/>
  <c r="D56" i="2" s="1"/>
  <c r="E56" i="2" s="1"/>
  <c r="B57" i="2"/>
  <c r="C57" i="2" l="1"/>
  <c r="D57" i="2" s="1"/>
  <c r="E57" i="2" s="1"/>
  <c r="B58" i="2"/>
  <c r="B59" i="2" l="1"/>
  <c r="C58" i="2"/>
  <c r="D58" i="2" s="1"/>
  <c r="E58" i="2" s="1"/>
  <c r="C59" i="2" l="1"/>
  <c r="D59" i="2" s="1"/>
  <c r="E59" i="2" s="1"/>
  <c r="B60" i="2"/>
  <c r="C60" i="2" l="1"/>
  <c r="D60" i="2" s="1"/>
  <c r="E60" i="2" s="1"/>
  <c r="B61" i="2"/>
  <c r="C61" i="2" l="1"/>
  <c r="D61" i="2" s="1"/>
  <c r="E61" i="2" s="1"/>
  <c r="B62" i="2"/>
  <c r="B63" i="2" l="1"/>
  <c r="C62" i="2"/>
  <c r="D62" i="2" s="1"/>
  <c r="E62" i="2" s="1"/>
  <c r="B64" i="2" l="1"/>
  <c r="C63" i="2"/>
  <c r="D63" i="2" s="1"/>
  <c r="E63" i="2" s="1"/>
  <c r="C64" i="2" l="1"/>
  <c r="D64" i="2" s="1"/>
  <c r="E64" i="2" s="1"/>
  <c r="B65" i="2"/>
  <c r="C65" i="2" l="1"/>
  <c r="D65" i="2" s="1"/>
  <c r="E65" i="2" s="1"/>
  <c r="B66" i="2"/>
  <c r="C66" i="2" l="1"/>
  <c r="D66" i="2" s="1"/>
  <c r="E66" i="2" s="1"/>
  <c r="B67" i="2"/>
  <c r="C67" i="2" l="1"/>
  <c r="D67" i="2" s="1"/>
  <c r="E67" i="2" s="1"/>
  <c r="B68" i="2"/>
  <c r="B69" i="2" l="1"/>
  <c r="C68" i="2"/>
  <c r="D68" i="2" s="1"/>
  <c r="E68" i="2" s="1"/>
  <c r="C69" i="2" l="1"/>
  <c r="D69" i="2" s="1"/>
  <c r="E69" i="2" s="1"/>
  <c r="B70" i="2"/>
  <c r="C70" i="2" l="1"/>
  <c r="D70" i="2" s="1"/>
  <c r="E70" i="2" s="1"/>
  <c r="B71" i="2"/>
  <c r="C71" i="2" l="1"/>
  <c r="D71" i="2" s="1"/>
  <c r="E71" i="2" s="1"/>
  <c r="B72" i="2"/>
  <c r="B73" i="2" l="1"/>
  <c r="C72" i="2"/>
  <c r="D72" i="2" s="1"/>
  <c r="E72" i="2" s="1"/>
  <c r="B74" i="2" l="1"/>
  <c r="C73" i="2"/>
  <c r="D73" i="2" s="1"/>
  <c r="E73" i="2" s="1"/>
  <c r="C74" i="2" l="1"/>
  <c r="D74" i="2" s="1"/>
  <c r="E74" i="2" s="1"/>
  <c r="B75" i="2"/>
  <c r="C75" i="2" l="1"/>
  <c r="D75" i="2" s="1"/>
  <c r="E75" i="2" s="1"/>
  <c r="B76" i="2"/>
  <c r="C76" i="2" l="1"/>
  <c r="D76" i="2" s="1"/>
  <c r="E76" i="2" s="1"/>
  <c r="B77" i="2"/>
  <c r="C77" i="2" l="1"/>
  <c r="D77" i="2" s="1"/>
  <c r="E77" i="2" s="1"/>
  <c r="B78" i="2"/>
  <c r="B79" i="2" l="1"/>
  <c r="C78" i="2"/>
  <c r="D78" i="2" s="1"/>
  <c r="E78" i="2" s="1"/>
  <c r="C79" i="2" l="1"/>
  <c r="D79" i="2" s="1"/>
  <c r="E79" i="2" s="1"/>
  <c r="B80" i="2"/>
  <c r="C80" i="2" l="1"/>
  <c r="D80" i="2" s="1"/>
  <c r="E80" i="2" s="1"/>
  <c r="B81" i="2"/>
  <c r="C81" i="2" l="1"/>
  <c r="D81" i="2" s="1"/>
  <c r="E81" i="2" s="1"/>
  <c r="B82" i="2"/>
  <c r="B83" i="2" l="1"/>
  <c r="C82" i="2"/>
  <c r="D82" i="2" s="1"/>
  <c r="E82" i="2" s="1"/>
  <c r="B84" i="2" l="1"/>
  <c r="C83" i="2"/>
  <c r="D83" i="2" s="1"/>
  <c r="E83" i="2" s="1"/>
  <c r="C84" i="2" l="1"/>
  <c r="D84" i="2" s="1"/>
  <c r="E84" i="2" s="1"/>
  <c r="B85" i="2"/>
  <c r="C85" i="2" l="1"/>
  <c r="D85" i="2" s="1"/>
  <c r="E85" i="2" s="1"/>
  <c r="B86" i="2"/>
  <c r="C86" i="2" l="1"/>
  <c r="D86" i="2" s="1"/>
  <c r="E86" i="2" s="1"/>
  <c r="B87" i="2"/>
  <c r="C87" i="2" l="1"/>
  <c r="D87" i="2" s="1"/>
  <c r="E87" i="2" s="1"/>
  <c r="B88" i="2"/>
  <c r="B89" i="2" l="1"/>
  <c r="C88" i="2"/>
  <c r="D88" i="2" s="1"/>
  <c r="E88" i="2" s="1"/>
  <c r="C89" i="2" l="1"/>
  <c r="D89" i="2" s="1"/>
  <c r="E89" i="2" s="1"/>
  <c r="B90" i="2"/>
  <c r="C90" i="2" l="1"/>
  <c r="D90" i="2" s="1"/>
  <c r="E90" i="2" s="1"/>
  <c r="B91" i="2"/>
  <c r="C91" i="2" l="1"/>
  <c r="D91" i="2" s="1"/>
  <c r="E91" i="2" s="1"/>
  <c r="B92" i="2"/>
  <c r="B93" i="2" l="1"/>
  <c r="C92" i="2"/>
  <c r="D92" i="2" s="1"/>
  <c r="E92" i="2" s="1"/>
  <c r="B94" i="2" l="1"/>
  <c r="C93" i="2"/>
  <c r="D93" i="2" s="1"/>
  <c r="E93" i="2" s="1"/>
  <c r="C94" i="2" l="1"/>
  <c r="D94" i="2" s="1"/>
  <c r="E94" i="2" s="1"/>
  <c r="B95" i="2"/>
  <c r="C95" i="2" l="1"/>
  <c r="D95" i="2" s="1"/>
  <c r="E95" i="2" s="1"/>
  <c r="B96" i="2"/>
  <c r="C96" i="2" l="1"/>
  <c r="D96" i="2" s="1"/>
  <c r="E96" i="2" s="1"/>
  <c r="B97" i="2"/>
  <c r="C97" i="2" l="1"/>
  <c r="D97" i="2" s="1"/>
  <c r="E97" i="2" s="1"/>
  <c r="B98" i="2"/>
  <c r="B99" i="2" l="1"/>
  <c r="C98" i="2"/>
  <c r="D98" i="2" s="1"/>
  <c r="E98" i="2" s="1"/>
  <c r="C99" i="2" l="1"/>
  <c r="D99" i="2" s="1"/>
  <c r="E99" i="2" s="1"/>
  <c r="B100" i="2"/>
  <c r="C100" i="2" l="1"/>
  <c r="D100" i="2" s="1"/>
  <c r="E100" i="2" s="1"/>
  <c r="B101" i="2"/>
  <c r="C101" i="2" l="1"/>
  <c r="D101" i="2" s="1"/>
  <c r="E101" i="2" s="1"/>
  <c r="B102" i="2"/>
  <c r="B103" i="2" l="1"/>
  <c r="C102" i="2"/>
  <c r="D102" i="2" s="1"/>
  <c r="E102" i="2" s="1"/>
  <c r="B104" i="2" l="1"/>
  <c r="C103" i="2"/>
  <c r="D103" i="2" s="1"/>
  <c r="E103" i="2" s="1"/>
  <c r="C104" i="2" l="1"/>
  <c r="D104" i="2" s="1"/>
  <c r="E104" i="2" s="1"/>
  <c r="B105" i="2"/>
  <c r="C105" i="2" l="1"/>
  <c r="D105" i="2" s="1"/>
  <c r="E105" i="2" s="1"/>
  <c r="B106" i="2"/>
  <c r="C106" i="2" l="1"/>
  <c r="D106" i="2" s="1"/>
  <c r="E106" i="2" s="1"/>
  <c r="B107" i="2"/>
  <c r="C107" i="2" l="1"/>
  <c r="D107" i="2" s="1"/>
  <c r="E107" i="2" s="1"/>
  <c r="B108" i="2"/>
  <c r="B109" i="2" l="1"/>
  <c r="C108" i="2"/>
  <c r="D108" i="2" s="1"/>
  <c r="E108" i="2" s="1"/>
  <c r="C109" i="2" l="1"/>
  <c r="D109" i="2" s="1"/>
  <c r="E109" i="2" s="1"/>
  <c r="B110" i="2"/>
  <c r="C110" i="2" l="1"/>
  <c r="D110" i="2" s="1"/>
  <c r="E110" i="2" s="1"/>
  <c r="B111" i="2"/>
  <c r="C111" i="2" l="1"/>
  <c r="D111" i="2" s="1"/>
  <c r="E111" i="2" s="1"/>
  <c r="B112" i="2"/>
  <c r="B113" i="2" l="1"/>
  <c r="C112" i="2"/>
  <c r="D112" i="2" s="1"/>
  <c r="E112" i="2" s="1"/>
  <c r="B114" i="2" l="1"/>
  <c r="C113" i="2"/>
  <c r="D113" i="2" s="1"/>
  <c r="E113" i="2" s="1"/>
  <c r="C114" i="2" l="1"/>
  <c r="D114" i="2" s="1"/>
  <c r="E114" i="2" s="1"/>
  <c r="B115" i="2"/>
  <c r="C115" i="2" l="1"/>
  <c r="D115" i="2" s="1"/>
  <c r="E115" i="2" s="1"/>
  <c r="B116" i="2"/>
  <c r="C116" i="2" l="1"/>
  <c r="D116" i="2" s="1"/>
  <c r="E116" i="2" s="1"/>
  <c r="B117" i="2"/>
  <c r="C117" i="2" l="1"/>
  <c r="D117" i="2" s="1"/>
  <c r="E117" i="2" s="1"/>
  <c r="B118" i="2"/>
  <c r="B119" i="2" l="1"/>
  <c r="C118" i="2"/>
  <c r="D118" i="2" s="1"/>
  <c r="E118" i="2" s="1"/>
  <c r="C119" i="2" l="1"/>
  <c r="D119" i="2" s="1"/>
  <c r="E119" i="2" s="1"/>
  <c r="B120" i="2"/>
  <c r="C120" i="2" l="1"/>
  <c r="D120" i="2" s="1"/>
  <c r="E120" i="2" s="1"/>
  <c r="B121" i="2"/>
  <c r="C121" i="2" l="1"/>
  <c r="D121" i="2" s="1"/>
  <c r="E121" i="2" s="1"/>
  <c r="B122" i="2"/>
  <c r="B123" i="2" l="1"/>
  <c r="C122" i="2"/>
  <c r="D122" i="2" s="1"/>
  <c r="E122" i="2" s="1"/>
  <c r="B124" i="2" l="1"/>
  <c r="C123" i="2"/>
  <c r="D123" i="2" s="1"/>
  <c r="E123" i="2" s="1"/>
  <c r="C124" i="2" l="1"/>
  <c r="D124" i="2" s="1"/>
  <c r="E124" i="2" s="1"/>
  <c r="B125" i="2"/>
  <c r="C125" i="2" l="1"/>
  <c r="D125" i="2" s="1"/>
  <c r="E125" i="2" s="1"/>
  <c r="B126" i="2"/>
  <c r="C126" i="2" l="1"/>
  <c r="D126" i="2" s="1"/>
  <c r="E126" i="2" s="1"/>
  <c r="B127" i="2"/>
  <c r="C127" i="2" l="1"/>
  <c r="D127" i="2" s="1"/>
  <c r="E127" i="2" s="1"/>
  <c r="B128" i="2"/>
  <c r="B129" i="2" l="1"/>
  <c r="C128" i="2"/>
  <c r="D128" i="2" s="1"/>
  <c r="E128" i="2" s="1"/>
  <c r="C129" i="2" l="1"/>
  <c r="D129" i="2" s="1"/>
  <c r="E129" i="2" s="1"/>
  <c r="B130" i="2"/>
  <c r="C130" i="2" l="1"/>
  <c r="D130" i="2" s="1"/>
  <c r="E130" i="2" s="1"/>
  <c r="B131" i="2"/>
  <c r="C131" i="2" l="1"/>
  <c r="D131" i="2" s="1"/>
  <c r="E131" i="2" s="1"/>
  <c r="B132" i="2"/>
  <c r="B133" i="2" l="1"/>
  <c r="C132" i="2"/>
  <c r="D132" i="2" s="1"/>
  <c r="E132" i="2" s="1"/>
  <c r="B134" i="2" l="1"/>
  <c r="C133" i="2"/>
  <c r="D133" i="2" s="1"/>
  <c r="E133" i="2" s="1"/>
  <c r="C134" i="2" l="1"/>
  <c r="D134" i="2" s="1"/>
  <c r="E134" i="2" s="1"/>
  <c r="B135" i="2"/>
  <c r="C135" i="2" l="1"/>
  <c r="D135" i="2" s="1"/>
  <c r="E135" i="2" s="1"/>
  <c r="F2" i="2" s="1"/>
  <c r="F3" i="2" s="1"/>
</calcChain>
</file>

<file path=xl/sharedStrings.xml><?xml version="1.0" encoding="utf-8"?>
<sst xmlns="http://schemas.openxmlformats.org/spreadsheetml/2006/main" count="9" uniqueCount="8">
  <si>
    <t>Effective Current</t>
    <phoneticPr fontId="1"/>
  </si>
  <si>
    <t>t_k</t>
    <phoneticPr fontId="1"/>
  </si>
  <si>
    <t>i(t_k)</t>
    <phoneticPr fontId="1"/>
  </si>
  <si>
    <t>i^2(t_k)</t>
    <phoneticPr fontId="1"/>
  </si>
  <si>
    <t>Points</t>
    <phoneticPr fontId="1"/>
  </si>
  <si>
    <t>Total Points</t>
    <phoneticPr fontId="1"/>
  </si>
  <si>
    <t>Period (T)</t>
    <phoneticPr fontId="1"/>
  </si>
  <si>
    <t>Time (t)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</si>
</sst>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2" fontId="2" fillId="0" borderId="2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563219</xdr:colOff>
      <xdr:row>17</xdr:row>
      <xdr:rowOff>74544</xdr:rowOff>
    </xdr:from>
    <xdr:to>
      <xdr:col>29</xdr:col>
      <xdr:colOff>173936</xdr:colOff>
      <xdr:row>19</xdr:row>
      <xdr:rowOff>58492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D0FFDFD-C0B0-4B12-A2BF-8FD61F2308BE}"/>
            </a:ext>
          </a:extLst>
        </xdr:cNvPr>
        <xdr:cNvSpPr/>
      </xdr:nvSpPr>
      <xdr:spPr>
        <a:xfrm>
          <a:off x="19646349" y="3602935"/>
          <a:ext cx="985630" cy="398079"/>
        </a:xfrm>
        <a:prstGeom prst="rect">
          <a:avLst/>
        </a:prstGeom>
        <a:noFill/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285750</xdr:colOff>
      <xdr:row>1</xdr:row>
      <xdr:rowOff>188092</xdr:rowOff>
    </xdr:from>
    <xdr:to>
      <xdr:col>29</xdr:col>
      <xdr:colOff>565400</xdr:colOff>
      <xdr:row>22</xdr:row>
      <xdr:rowOff>67577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53B7B269-C209-B344-BFA4-3DDFDD5B081C}"/>
            </a:ext>
          </a:extLst>
        </xdr:cNvPr>
        <xdr:cNvGrpSpPr/>
      </xdr:nvGrpSpPr>
      <xdr:grpSpPr>
        <a:xfrm>
          <a:off x="2181225" y="407167"/>
          <a:ext cx="18796250" cy="4280035"/>
          <a:chOff x="2177143" y="405806"/>
          <a:chExt cx="18649293" cy="4165735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A96061EA-17A6-7224-13CC-C599BEE7B0FE}"/>
              </a:ext>
            </a:extLst>
          </xdr:cNvPr>
          <xdr:cNvGrpSpPr/>
        </xdr:nvGrpSpPr>
        <xdr:grpSpPr>
          <a:xfrm>
            <a:off x="2177143" y="405806"/>
            <a:ext cx="18649293" cy="4165735"/>
            <a:chOff x="2177143" y="392199"/>
            <a:chExt cx="18649293" cy="4165735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2" name="テキスト ボックス 1">
                  <a:extLst>
                    <a:ext uri="{FF2B5EF4-FFF2-40B4-BE49-F238E27FC236}">
                      <a16:creationId xmlns:a16="http://schemas.microsoft.com/office/drawing/2014/main" id="{56B1ACFA-C514-127E-C3F6-FEFA6F1EBF7F}"/>
                    </a:ext>
                  </a:extLst>
                </xdr:cNvPr>
                <xdr:cNvSpPr txBox="1"/>
              </xdr:nvSpPr>
              <xdr:spPr>
                <a:xfrm>
                  <a:off x="3401053" y="392199"/>
                  <a:ext cx="1428750" cy="380361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=10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den>
                            </m:f>
                          </m:sup>
                        </m:sSup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𝑠𝑖𝑛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kumimoji="1" lang="ja-JP" altLang="en-US" sz="1100" b="0" i="1">
                                    <a:latin typeface="Cambria Math" panose="02040503050406030204" pitchFamily="18" charset="0"/>
                                  </a:rPr>
                                  <m:t>𝜋</m:t>
                                </m:r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den>
                            </m:f>
                          </m:e>
                        </m:d>
                      </m:oMath>
                    </m:oMathPara>
                  </a14:m>
                  <a:endParaRPr kumimoji="1" lang="ja-JP" altLang="en-US" sz="1100"/>
                </a:p>
              </xdr:txBody>
            </xdr:sp>
          </mc:Choice>
          <mc:Fallback>
            <xdr:sp macro="" textlink="">
              <xdr:nvSpPr>
                <xdr:cNvPr id="2" name="テキスト ボックス 1">
                  <a:extLst>
                    <a:ext uri="{FF2B5EF4-FFF2-40B4-BE49-F238E27FC236}">
                      <a16:creationId xmlns:a16="http://schemas.microsoft.com/office/drawing/2014/main" id="{56B1ACFA-C514-127E-C3F6-FEFA6F1EBF7F}"/>
                    </a:ext>
                  </a:extLst>
                </xdr:cNvPr>
                <xdr:cNvSpPr txBox="1"/>
              </xdr:nvSpPr>
              <xdr:spPr>
                <a:xfrm>
                  <a:off x="3401053" y="392199"/>
                  <a:ext cx="1428750" cy="380361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r>
                    <a:rPr kumimoji="1" lang="en-US" altLang="ja-JP" sz="1100" b="0" i="0">
                      <a:latin typeface="Cambria Math" panose="02040503050406030204" pitchFamily="18" charset="0"/>
                    </a:rPr>
                    <a:t>𝑖(𝑡)=10𝑒^((−𝑡)/𝑇) 𝑠𝑖𝑛(2</a:t>
                  </a:r>
                  <a:r>
                    <a:rPr kumimoji="1" lang="ja-JP" altLang="en-US" sz="1100" b="0" i="0">
                      <a:latin typeface="Cambria Math" panose="02040503050406030204" pitchFamily="18" charset="0"/>
                    </a:rPr>
                    <a:t>𝜋</a:t>
                  </a:r>
                  <a:r>
                    <a:rPr kumimoji="1" lang="en-US" altLang="ja-JP" sz="1100" b="0" i="0">
                      <a:latin typeface="Cambria Math" panose="02040503050406030204" pitchFamily="18" charset="0"/>
                    </a:rPr>
                    <a:t>𝑡/𝑇)</a:t>
                  </a:r>
                  <a:endParaRPr kumimoji="1" lang="ja-JP" altLang="en-US" sz="1100"/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3" name="テキスト ボックス 2">
                  <a:extLst>
                    <a:ext uri="{FF2B5EF4-FFF2-40B4-BE49-F238E27FC236}">
                      <a16:creationId xmlns:a16="http://schemas.microsoft.com/office/drawing/2014/main" id="{B17FAC29-8442-6248-6640-88B3D70271CB}"/>
                    </a:ext>
                  </a:extLst>
                </xdr:cNvPr>
                <xdr:cNvSpPr txBox="1"/>
              </xdr:nvSpPr>
              <xdr:spPr>
                <a:xfrm>
                  <a:off x="2177143" y="1313295"/>
                  <a:ext cx="3990975" cy="145610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𝑅𝑀𝑆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den>
                            </m:f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sup>
                              <m:e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e>
                                </m:d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𝑑𝑡</m:t>
                                </m:r>
                              </m:e>
                            </m:nary>
                          </m:e>
                        </m:rad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den>
                            </m:f>
                            <m:d>
                              <m:dPr>
                                <m:begChr m:val="["/>
                                <m:endChr m:val="]"/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50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−2</m:t>
                                        </m:r>
                                      </m:sup>
                                    </m:sSup>
                                  </m:e>
                                </m:d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den>
                                    </m:f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4+16</m:t>
                                        </m:r>
                                        <m:sSup>
                                          <m:sSup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kumimoji="1" lang="ja-JP" altLang="en-US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𝜋</m:t>
                                            </m:r>
                                          </m:e>
                                          <m:sup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</m:den>
                                    </m:f>
                                  </m:e>
                                </m:d>
                              </m:e>
                            </m:d>
                          </m:e>
                        </m:rad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50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</m:sup>
                                </m:sSup>
                              </m:e>
                            </m:d>
                            <m:d>
                              <m:dPr>
                                <m:begChr m:val="["/>
                                <m:endChr m:val="]"/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4+16</m:t>
                                    </m:r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ja-JP" alt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𝜋</m:t>
                                        </m:r>
                                      </m:e>
                                      <m:sup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den>
                                </m:f>
                              </m:e>
                            </m:d>
                          </m:e>
                        </m:rad>
                      </m:oMath>
                    </m:oMathPara>
                  </a14:m>
                  <a:endParaRPr kumimoji="1" lang="ja-JP" altLang="en-US" sz="1100" b="0" i="1">
                    <a:solidFill>
                      <a:schemeClr val="tx1"/>
                    </a:solidFill>
                    <a:latin typeface="Cambria Math" panose="02040503050406030204" pitchFamily="18" charset="0"/>
                    <a:ea typeface="+mn-ea"/>
                    <a:cs typeface="+mn-cs"/>
                  </a:endParaRPr>
                </a:p>
              </xdr:txBody>
            </xdr:sp>
          </mc:Choice>
          <mc:Fallback>
            <xdr:sp macro="" textlink="">
              <xdr:nvSpPr>
                <xdr:cNvPr id="3" name="テキスト ボックス 2">
                  <a:extLst>
                    <a:ext uri="{FF2B5EF4-FFF2-40B4-BE49-F238E27FC236}">
                      <a16:creationId xmlns:a16="http://schemas.microsoft.com/office/drawing/2014/main" id="{B17FAC29-8442-6248-6640-88B3D70271CB}"/>
                    </a:ext>
                  </a:extLst>
                </xdr:cNvPr>
                <xdr:cNvSpPr txBox="1"/>
              </xdr:nvSpPr>
              <xdr:spPr>
                <a:xfrm>
                  <a:off x="2177143" y="1313295"/>
                  <a:ext cx="3990975" cy="145610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a:t>𝐼_𝑅𝑀𝑆=√(1/𝑇 ∫24_0^𝑇▒〖𝑖^2 (𝑡)𝑑𝑡〗)=√(1/𝑇 [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50𝑇(1−𝑒^(−2) )[1/2−2/(4+16</a:t>
                  </a:r>
                  <a:r>
                    <a:rPr kumimoji="1" lang="ja-JP" alt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^2 )]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] )</a:t>
                  </a:r>
                  <a:endParaRPr kumimoji="1" lang="en-US" altLang="ja-JP" sz="1100" b="0" i="1">
                    <a:solidFill>
                      <a:schemeClr val="tx1"/>
                    </a:solidFill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a:t>=√(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50(1−𝑒^(−2) )[1/2−2/(4+16</a:t>
                  </a:r>
                  <a:r>
                    <a:rPr kumimoji="1" lang="ja-JP" alt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^2 )]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)</a:t>
                  </a:r>
                  <a:endParaRPr kumimoji="1" lang="ja-JP" altLang="en-US" sz="1100" b="0" i="1">
                    <a:solidFill>
                      <a:schemeClr val="tx1"/>
                    </a:solidFill>
                    <a:latin typeface="Cambria Math" panose="02040503050406030204" pitchFamily="18" charset="0"/>
                    <a:ea typeface="+mn-ea"/>
                    <a:cs typeface="+mn-cs"/>
                  </a:endParaRP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4" name="テキスト ボックス 3">
                  <a:extLst>
                    <a:ext uri="{FF2B5EF4-FFF2-40B4-BE49-F238E27FC236}">
                      <a16:creationId xmlns:a16="http://schemas.microsoft.com/office/drawing/2014/main" id="{01207FB7-8BE3-3B7C-10BD-AC9039DCB8C2}"/>
                    </a:ext>
                  </a:extLst>
                </xdr:cNvPr>
                <xdr:cNvSpPr txBox="1"/>
              </xdr:nvSpPr>
              <xdr:spPr>
                <a:xfrm>
                  <a:off x="14087259" y="961852"/>
                  <a:ext cx="4010759" cy="38920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  <m:e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𝑑𝑡</m:t>
                            </m:r>
                          </m:e>
                        </m:nary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sSubSup>
                          <m:sSub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d>
                              <m:dPr>
                                <m:begChr m:val="["/>
                                <m:endChr m:val="]"/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−2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𝑇</m:t>
                                        </m:r>
                                      </m:den>
                                    </m:f>
                                  </m:sup>
                                </m:sSup>
                              </m:e>
                            </m:d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num>
                          <m:den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−2</m:t>
                            </m:r>
                          </m:sup>
                        </m:s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p>
                            </m:sSup>
                          </m:e>
                        </m:d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num>
                          <m:den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1−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</m:e>
                        </m:d>
                      </m:oMath>
                    </m:oMathPara>
                  </a14:m>
                  <a:endParaRPr kumimoji="1" lang="ja-JP" altLang="en-US" sz="1100"/>
                </a:p>
              </xdr:txBody>
            </xdr:sp>
          </mc:Choice>
          <mc:Fallback>
            <xdr:sp macro="" textlink="">
              <xdr:nvSpPr>
                <xdr:cNvPr id="4" name="テキスト ボックス 3">
                  <a:extLst>
                    <a:ext uri="{FF2B5EF4-FFF2-40B4-BE49-F238E27FC236}">
                      <a16:creationId xmlns:a16="http://schemas.microsoft.com/office/drawing/2014/main" id="{01207FB7-8BE3-3B7C-10BD-AC9039DCB8C2}"/>
                    </a:ext>
                  </a:extLst>
                </xdr:cNvPr>
                <xdr:cNvSpPr txBox="1"/>
              </xdr:nvSpPr>
              <xdr:spPr>
                <a:xfrm>
                  <a:off x="14087259" y="961852"/>
                  <a:ext cx="4010759" cy="38920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∫_0^𝑇▒〖𝑒^((−2𝑡)/𝑇) 𝑑𝑡〗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=[−𝑇/2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𝑒^((−2𝑡)/𝑇)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]_0^𝑇=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−𝑇/2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𝑒^(−2)−(−𝑇/2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𝑒^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0 )=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𝑇/2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(1−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𝑒^(−2)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)</a:t>
                  </a:r>
                  <a:endParaRPr kumimoji="1" lang="ja-JP" altLang="en-US" sz="1100"/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" name="テキスト ボックス 4">
                  <a:extLst>
                    <a:ext uri="{FF2B5EF4-FFF2-40B4-BE49-F238E27FC236}">
                      <a16:creationId xmlns:a16="http://schemas.microsoft.com/office/drawing/2014/main" id="{EE35297C-5EE4-A9D2-72C8-E23D67E21EAD}"/>
                    </a:ext>
                  </a:extLst>
                </xdr:cNvPr>
                <xdr:cNvSpPr txBox="1"/>
              </xdr:nvSpPr>
              <xdr:spPr>
                <a:xfrm>
                  <a:off x="14134023" y="2228704"/>
                  <a:ext cx="6692413" cy="232923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𝐶𝑜𝑛𝑠𝑖𝑑𝑒𝑟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: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=−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num>
                          <m:den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den>
                        </m:f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 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4</m:t>
                            </m:r>
                            <m:r>
                              <a:rPr kumimoji="1" lang="ja-JP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𝜋</m:t>
                            </m:r>
                          </m:num>
                          <m:den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den>
                        </m:f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  <m:e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𝑐𝑜𝑠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4</m:t>
                                    </m:r>
                                    <m:r>
                                      <a:rPr kumimoji="1" lang="ja-JP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den>
                                </m:f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𝑑𝑡</m:t>
                            </m:r>
                          </m:e>
                        </m:nary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sSubSup>
                          <m:sSub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d>
                              <m:dPr>
                                <m:begChr m:val="["/>
                                <m:endChr m:val="]"/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𝑎𝑡</m:t>
                                        </m:r>
                                      </m:sup>
                                    </m:sSup>
                                  </m:num>
                                  <m:den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𝑎</m:t>
                                        </m:r>
                                      </m:e>
                                      <m:sup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den>
                                </m:f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unc>
                                      <m:func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uncPr>
                                      <m:fName>
                                        <m:r>
                                          <m:rPr>
                                            <m:sty m:val="p"/>
                                          </m:rPr>
                                          <a:rPr kumimoji="1" lang="en-US" altLang="ja-JP" sz="1100" b="0" i="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acos</m:t>
                                        </m:r>
                                      </m:fName>
                                      <m:e>
                                        <m:d>
                                          <m:d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𝑏𝑡</m:t>
                                            </m:r>
                                          </m:e>
                                        </m:d>
                                      </m:e>
                                    </m:func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𝑏𝑠𝑖𝑛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𝑏𝑡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)</m:t>
                                    </m:r>
                                  </m:e>
                                </m:d>
                              </m:e>
                            </m:d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sSubSup>
                          <m:sSub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d>
                              <m:dPr>
                                <m:begChr m:val="["/>
                                <m:endChr m:val="]"/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𝑡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</m:sup>
                                    </m:sSup>
                                  </m:num>
                                  <m:den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d>
                                          <m:d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−</m:t>
                                            </m:r>
                                            <m:f>
                                              <m:fPr>
                                                <m:ctrlP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  <m:t>2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  <m:t>𝑇</m:t>
                                                </m:r>
                                              </m:den>
                                            </m:f>
                                          </m:e>
                                        </m:d>
                                      </m:e>
                                      <m:sup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d>
                                          <m:d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f>
                                              <m:fPr>
                                                <m:ctrlP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  <m:t>4</m:t>
                                                </m:r>
                                                <m:r>
                                                  <a:rPr kumimoji="1" lang="ja-JP" altLang="en-US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  <m:t>𝜋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  <m:t>𝑇</m:t>
                                                </m:r>
                                              </m:den>
                                            </m:f>
                                          </m:e>
                                        </m:d>
                                      </m:e>
                                      <m:sup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den>
                                </m:f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unc>
                                      <m:func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uncPr>
                                      <m:fNam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  <m:r>
                                          <m:rPr>
                                            <m:sty m:val="p"/>
                                          </m:rPr>
                                          <a:rPr kumimoji="1" lang="en-US" altLang="ja-JP" sz="1100" b="0" i="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cos</m:t>
                                        </m:r>
                                      </m:fName>
                                      <m:e>
                                        <m:d>
                                          <m:d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f>
                                              <m:fPr>
                                                <m:ctrlP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  <m:t>4</m:t>
                                                </m:r>
                                                <m:r>
                                                  <a:rPr kumimoji="1" lang="ja-JP" altLang="en-US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  <m:t>𝜋</m:t>
                                                </m:r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𝑡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+mn-lt"/>
                                                    <a:ea typeface="+mn-ea"/>
                                                    <a:cs typeface="+mn-cs"/>
                                                  </a:rPr>
                                                  <m:t>𝑇</m:t>
                                                </m:r>
                                              </m:den>
                                            </m:f>
                                          </m:e>
                                        </m:d>
                                      </m:e>
                                    </m:func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4</m:t>
                                        </m:r>
                                        <m:r>
                                          <a:rPr kumimoji="1" lang="ja-JP" alt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𝜋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𝑇</m:t>
                                        </m:r>
                                      </m:den>
                                    </m:f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𝑠𝑖𝑛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4</m:t>
                                        </m:r>
                                        <m:r>
                                          <a:rPr kumimoji="1" lang="ja-JP" alt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𝜋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𝑇</m:t>
                                        </m:r>
                                      </m:den>
                                    </m:f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)</m:t>
                                    </m:r>
                                  </m:e>
                                </m:d>
                              </m:e>
                            </m:d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</m:sSubSup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</m:sup>
                                </m:sSup>
                              </m:num>
                              <m:den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4</m:t>
                                            </m:r>
                                            <m:r>
                                              <a:rPr kumimoji="1" lang="ja-JP" altLang="en-US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𝜋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unc>
                                  <m:func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</m:fName>
                                  <m:e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𝑇</m:t>
                                        </m:r>
                                      </m:den>
                                    </m:f>
                                  </m:e>
                                </m:func>
                              </m:e>
                            </m:d>
                          </m:e>
                        </m:d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4</m:t>
                                            </m:r>
                                            <m:r>
                                              <a:rPr kumimoji="1" lang="ja-JP" altLang="en-US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𝜋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d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unc>
                              <m:func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</m:fName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den>
                                </m:f>
                              </m:e>
                            </m:func>
                          </m:e>
                        </m:d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e>
                        </m:d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4+16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ja-JP" alt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d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</m:sup>
                                </m:sSup>
                              </m:e>
                            </m:d>
                          </m:num>
                          <m:den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4+16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ja-JP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𝜋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oMath>
                    </m:oMathPara>
                  </a14:m>
                  <a:endParaRPr kumimoji="1" lang="ja-JP" altLang="en-US" sz="1100"/>
                </a:p>
              </xdr:txBody>
            </xdr:sp>
          </mc:Choice>
          <mc:Fallback>
            <xdr:sp macro="" textlink="">
              <xdr:nvSpPr>
                <xdr:cNvPr id="5" name="テキスト ボックス 4">
                  <a:extLst>
                    <a:ext uri="{FF2B5EF4-FFF2-40B4-BE49-F238E27FC236}">
                      <a16:creationId xmlns:a16="http://schemas.microsoft.com/office/drawing/2014/main" id="{EE35297C-5EE4-A9D2-72C8-E23D67E21EAD}"/>
                    </a:ext>
                  </a:extLst>
                </xdr:cNvPr>
                <xdr:cNvSpPr txBox="1"/>
              </xdr:nvSpPr>
              <xdr:spPr>
                <a:xfrm>
                  <a:off x="14134023" y="2228704"/>
                  <a:ext cx="6692413" cy="232923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𝐶𝑜𝑛𝑠𝑖𝑑𝑒𝑟:𝑎=−2/𝑇,  𝑏=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4</a:t>
                  </a:r>
                  <a:r>
                    <a:rPr kumimoji="1" lang="ja-JP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/𝑇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∫_0^𝑇▒〖𝑒^((−2𝑡)/𝑇) 𝑐𝑜𝑠(4</a:t>
                  </a:r>
                  <a:r>
                    <a:rPr kumimoji="1" lang="ja-JP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𝑡/𝑇)𝑑𝑡〗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=[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𝑒^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𝑎𝑡/(𝑎^2+𝑏^2 ) (acos⁡(𝑏𝑡)+𝑏𝑠𝑖𝑛(𝑏𝑡))]_0^𝑇=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[𝑒^(−2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𝑡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/𝑇)/(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−2/𝑇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)^2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+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4</a:t>
                  </a:r>
                  <a:r>
                    <a:rPr kumimoji="1" lang="ja-JP" alt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/𝑇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)^2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) (〖−2/𝑇 cos〗⁡(4</a:t>
                  </a:r>
                  <a:r>
                    <a:rPr kumimoji="1" lang="ja-JP" alt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𝑡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/𝑇)+4</a:t>
                  </a:r>
                  <a:r>
                    <a:rPr kumimoji="1" lang="ja-JP" alt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/𝑇 𝑠𝑖𝑛(4</a:t>
                  </a:r>
                  <a:r>
                    <a:rPr kumimoji="1" lang="ja-JP" alt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𝑡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/𝑇))]_0^𝑇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𝑒^(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−2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)/((−2/𝑇)^2+(4</a:t>
                  </a:r>
                  <a:r>
                    <a:rPr kumimoji="1" lang="ja-JP" alt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/𝑇)^2 ) (−⁡〖2/𝑇〗 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)−(1/(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(−2/𝑇)^2+(4</a:t>
                  </a:r>
                  <a:r>
                    <a:rPr kumimoji="1" lang="ja-JP" alt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/𝑇)^2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))=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(−⁡〖2/𝑇〗 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𝑒^(−2)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−1)(𝑇^2/(4+16</a:t>
                  </a:r>
                  <a:r>
                    <a:rPr kumimoji="1" lang="ja-JP" alt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^2 ))=2𝑇(1−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𝑒^(−2)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/(4+16</a:t>
                  </a:r>
                  <a:r>
                    <a:rPr kumimoji="1" lang="ja-JP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^2 )</a:t>
                  </a:r>
                  <a:endParaRPr kumimoji="1" lang="ja-JP" altLang="en-US" sz="1100"/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" name="テキスト ボックス 5">
                  <a:extLst>
                    <a:ext uri="{FF2B5EF4-FFF2-40B4-BE49-F238E27FC236}">
                      <a16:creationId xmlns:a16="http://schemas.microsoft.com/office/drawing/2014/main" id="{ACFE0D65-DD71-F384-9977-BE45BAD2235B}"/>
                    </a:ext>
                  </a:extLst>
                </xdr:cNvPr>
                <xdr:cNvSpPr txBox="1"/>
              </xdr:nvSpPr>
              <xdr:spPr>
                <a:xfrm>
                  <a:off x="6880421" y="1208965"/>
                  <a:ext cx="6202847" cy="204994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  <m:e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𝑑𝑡</m:t>
                            </m:r>
                          </m:e>
                        </m:nary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  <m:e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10</m:t>
                                    </m:r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−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𝑡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</m:sup>
                                    </m:s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𝑠𝑖𝑛</m:t>
                                    </m:r>
                                    <m:d>
                                      <m:d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  <m:r>
                                              <a:rPr kumimoji="1" lang="ja-JP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𝜋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𝑡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</m:d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𝑑𝑡</m:t>
                            </m:r>
                          </m:e>
                        </m:nary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100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den>
                                </m:f>
                              </m:sup>
                            </m:sSup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𝑠𝑖𝑛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kumimoji="1" lang="ja-JP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den>
                                </m:f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𝑑𝑡</m:t>
                            </m:r>
                          </m:e>
                        </m:nary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=100</m:t>
                        </m:r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  <m:e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den>
                                </m:f>
                              </m:sup>
                            </m:sSup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𝑠𝑖𝑛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kumimoji="1" lang="ja-JP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den>
                                </m:f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𝑑𝑡</m:t>
                            </m:r>
                          </m:e>
                        </m:nary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</m:t>
                        </m:r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  <m:e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den>
                                </m:f>
                              </m:sup>
                            </m:sSup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𝑐𝑜𝑠</m:t>
                                    </m:r>
                                    <m:d>
                                      <m:d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4</m:t>
                                            </m:r>
                                            <m:r>
                                              <a:rPr kumimoji="1" lang="ja-JP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𝜋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𝑡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𝑑𝑡</m:t>
                            </m:r>
                          </m:e>
                        </m:nary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=50</m:t>
                        </m:r>
                        <m:d>
                          <m:dPr>
                            <m:begChr m:val="["/>
                            <m:endChr m:val="]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sup>
                              <m:e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−2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𝑇</m:t>
                                        </m:r>
                                      </m:den>
                                    </m:f>
                                  </m:sup>
                                </m:s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𝑑𝑡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nary>
                                  <m:nary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>
                                    <m:r>
                                      <m:rPr>
                                        <m:brk m:alnAt="23"/>
                                      </m:r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sup>
                                  <m:e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−2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𝑡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</m:sup>
                                    </m:s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𝑐𝑜𝑠</m:t>
                                    </m:r>
                                    <m:d>
                                      <m:d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4</m:t>
                                            </m:r>
                                            <m:r>
                                              <a:rPr kumimoji="1" lang="ja-JP" altLang="en-US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𝜋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𝑡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</m:nary>
                              </m:e>
                            </m:nary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𝑑𝑡</m:t>
                            </m:r>
                          </m:e>
                        </m:d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50</m:t>
                        </m:r>
                        <m:d>
                          <m:dPr>
                            <m:begChr m:val="["/>
                            <m:endChr m:val="]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−2</m:t>
                                        </m:r>
                                      </m:sup>
                                    </m:sSup>
                                  </m:e>
                                </m:d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  <m:d>
                                      <m:d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1−</m:t>
                                        </m:r>
                                        <m:sSup>
                                          <m:sSup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𝑒</m:t>
                                            </m:r>
                                          </m:e>
                                          <m:sup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−2</m:t>
                                            </m:r>
                                          </m:sup>
                                        </m:sSup>
                                      </m:e>
                                    </m:d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4+16</m:t>
                                    </m:r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ja-JP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𝜋</m:t>
                                        </m:r>
                                      </m:e>
                                      <m:sup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=50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1−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</m:e>
                        </m:d>
                        <m:d>
                          <m:dPr>
                            <m:begChr m:val="["/>
                            <m:endChr m:val="]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den>
                            </m:f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4+16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ja-JP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d>
                      </m:oMath>
                    </m:oMathPara>
                  </a14:m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</xdr:txBody>
            </xdr:sp>
          </mc:Choice>
          <mc:Fallback>
            <xdr:sp macro="" textlink="">
              <xdr:nvSpPr>
                <xdr:cNvPr id="6" name="テキスト ボックス 5">
                  <a:extLst>
                    <a:ext uri="{FF2B5EF4-FFF2-40B4-BE49-F238E27FC236}">
                      <a16:creationId xmlns:a16="http://schemas.microsoft.com/office/drawing/2014/main" id="{ACFE0D65-DD71-F384-9977-BE45BAD2235B}"/>
                    </a:ext>
                  </a:extLst>
                </xdr:cNvPr>
                <xdr:cNvSpPr txBox="1"/>
              </xdr:nvSpPr>
              <xdr:spPr>
                <a:xfrm>
                  <a:off x="6880421" y="1208965"/>
                  <a:ext cx="6202847" cy="204994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∫_0^𝑇▒〖𝑖^2 (𝑡)𝑑𝑡〗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∫_0^𝑇▒〖(10𝑒^((−𝑡)/𝑇) 𝑠𝑖𝑛(2</a:t>
                  </a:r>
                  <a:r>
                    <a:rPr kumimoji="1" lang="ja-JP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𝑡/𝑇))^2 𝑑𝑡〗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∫_0^𝑇▒〖100𝑒^((−2𝑡)/𝑇) 〖𝑠𝑖𝑛〗^2 (2</a:t>
                  </a:r>
                  <a:r>
                    <a:rPr kumimoji="1" lang="ja-JP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𝑡/𝑇)𝑑𝑡〗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=100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∫_0^𝑇▒〖𝑒^((−2𝑡)/𝑇) 〖𝑠𝑖𝑛〗^2 (2</a:t>
                  </a:r>
                  <a:r>
                    <a:rPr kumimoji="1" lang="ja-JP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𝑡/𝑇)𝑑𝑡〗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=100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∫_0^𝑇▒〖𝑒^((−2𝑡)/𝑇) ((1−𝑐𝑜𝑠(4</a:t>
                  </a:r>
                  <a:r>
                    <a:rPr kumimoji="1" lang="ja-JP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𝑡/𝑇))/2)𝑑𝑡〗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=50[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∫_0^𝑇▒〖𝑒^((−2𝑡)/𝑇) 𝑑𝑡−∫_0^𝑇▒〖𝑒^((−2𝑡)/𝑇) 𝑐𝑜𝑠(4</a:t>
                  </a:r>
                  <a:r>
                    <a:rPr kumimoji="1" lang="ja-JP" alt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𝑡/𝑇) 〗〗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𝑑𝑡]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50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[(𝑇/2 (1−𝑒^(−2) ))−(2𝑇(1−𝑒^(−2) )/(4+16</a:t>
                  </a:r>
                  <a:r>
                    <a:rPr kumimoji="1" lang="ja-JP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^2 ))]=50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𝑇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(1−𝑒^(−2) )[1/2−2/(4+16</a:t>
                  </a:r>
                  <a:r>
                    <a:rPr kumimoji="1" lang="ja-JP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𝜋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^2 )]</a:t>
                  </a:r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</xdr:txBody>
            </xdr:sp>
          </mc:Fallback>
        </mc:AlternateContent>
      </xdr:grp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831EEC0D-1BB4-434D-A67C-7DA4E8FD057A}"/>
              </a:ext>
            </a:extLst>
          </xdr:cNvPr>
          <xdr:cNvSpPr/>
        </xdr:nvSpPr>
        <xdr:spPr>
          <a:xfrm>
            <a:off x="3091188" y="1942271"/>
            <a:ext cx="2184242" cy="591219"/>
          </a:xfrm>
          <a:prstGeom prst="rect">
            <a:avLst/>
          </a:prstGeom>
          <a:noFill/>
          <a:ln w="2857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82FD870-222B-4E0B-967B-13966593857F}"/>
              </a:ext>
            </a:extLst>
          </xdr:cNvPr>
          <xdr:cNvSpPr/>
        </xdr:nvSpPr>
        <xdr:spPr>
          <a:xfrm>
            <a:off x="10341427" y="2422072"/>
            <a:ext cx="1864179" cy="596262"/>
          </a:xfrm>
          <a:prstGeom prst="rect">
            <a:avLst/>
          </a:prstGeom>
          <a:noFill/>
          <a:ln w="28575" cap="flat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74089200-33F6-43A5-90DC-25E30BE2DA5F}"/>
              </a:ext>
            </a:extLst>
          </xdr:cNvPr>
          <xdr:cNvSpPr/>
        </xdr:nvSpPr>
        <xdr:spPr>
          <a:xfrm>
            <a:off x="17031767" y="962912"/>
            <a:ext cx="913689" cy="391295"/>
          </a:xfrm>
          <a:prstGeom prst="rect">
            <a:avLst/>
          </a:prstGeom>
          <a:noFill/>
          <a:ln w="2857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7E2E-5F77-468C-BD7D-8625BCAB265E}">
  <dimension ref="A1:B1"/>
  <sheetViews>
    <sheetView showGridLines="0" tabSelected="1" zoomScaleNormal="100" workbookViewId="0">
      <selection activeCell="H24" sqref="H24"/>
    </sheetView>
  </sheetViews>
  <sheetFormatPr defaultRowHeight="16.5" x14ac:dyDescent="0.15"/>
  <cols>
    <col min="1" max="1" width="15.875" style="1" bestFit="1" customWidth="1"/>
    <col min="2" max="16384" width="9" style="1"/>
  </cols>
  <sheetData>
    <row r="1" spans="1:2" ht="17.25" thickBot="1" x14ac:dyDescent="0.2">
      <c r="A1" s="2" t="s">
        <v>0</v>
      </c>
      <c r="B1" s="3">
        <f>SQRT((50*(1-EXP(-2)))*(1/2-(2/(4+16*PI()^2))))</f>
        <v>4.5915781256373922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E8D8-44B4-4BBC-B06C-DA0D618F4803}">
  <dimension ref="A1:F136"/>
  <sheetViews>
    <sheetView workbookViewId="0">
      <selection activeCell="J7" sqref="J7"/>
    </sheetView>
  </sheetViews>
  <sheetFormatPr defaultRowHeight="16.5" x14ac:dyDescent="0.15"/>
  <cols>
    <col min="1" max="1" width="15.875" style="1" bestFit="1" customWidth="1"/>
    <col min="2" max="16384" width="9" style="1"/>
  </cols>
  <sheetData>
    <row r="1" spans="1:6" x14ac:dyDescent="0.15">
      <c r="A1" s="1" t="s">
        <v>6</v>
      </c>
      <c r="B1" s="1">
        <v>1</v>
      </c>
      <c r="F1" s="1">
        <f>SUM(E8:E135)</f>
        <v>2719.6540427023092</v>
      </c>
    </row>
    <row r="2" spans="1:6" x14ac:dyDescent="0.15">
      <c r="A2" s="1" t="s">
        <v>5</v>
      </c>
      <c r="B2" s="1">
        <v>129</v>
      </c>
      <c r="F2" s="1">
        <f>$B$3/2*(E7 + 2*F1 + E135)</f>
        <v>21.082715766122718</v>
      </c>
    </row>
    <row r="3" spans="1:6" x14ac:dyDescent="0.15">
      <c r="A3" s="1" t="s">
        <v>7</v>
      </c>
      <c r="B3" s="1">
        <f>B1/B2</f>
        <v>7.7519379844961239E-3</v>
      </c>
      <c r="F3" s="1">
        <f>SQRT(F2/$B$1)</f>
        <v>4.591591855350682</v>
      </c>
    </row>
    <row r="4" spans="1:6" x14ac:dyDescent="0.15">
      <c r="A4" s="1" t="s">
        <v>0</v>
      </c>
      <c r="B4" s="1">
        <f>F3</f>
        <v>4.591591855350682</v>
      </c>
    </row>
    <row r="6" spans="1:6" x14ac:dyDescent="0.15">
      <c r="B6" s="1" t="s">
        <v>4</v>
      </c>
      <c r="C6" s="1" t="s">
        <v>1</v>
      </c>
      <c r="D6" s="1" t="s">
        <v>2</v>
      </c>
      <c r="E6" s="1" t="s">
        <v>3</v>
      </c>
    </row>
    <row r="7" spans="1:6" x14ac:dyDescent="0.15">
      <c r="B7" s="1">
        <v>0</v>
      </c>
      <c r="C7" s="1">
        <f>B7*$B$3</f>
        <v>0</v>
      </c>
      <c r="D7" s="1">
        <f>10*EXP(-C7/$B$1)*SIN(2*PI()*C7/$B$1)</f>
        <v>0</v>
      </c>
      <c r="E7" s="1">
        <f>D7^2</f>
        <v>0</v>
      </c>
    </row>
    <row r="8" spans="1:6" x14ac:dyDescent="0.15">
      <c r="B8" s="1">
        <f>B7+1</f>
        <v>1</v>
      </c>
      <c r="C8" s="1">
        <f>B8*$B$3</f>
        <v>7.7519379844961239E-3</v>
      </c>
      <c r="D8" s="1">
        <f>10*EXP(-C8/$B$1)*SIN(2*PI()*C8/$B$1)</f>
        <v>0.48311642573999253</v>
      </c>
      <c r="E8" s="1">
        <f>D8^2</f>
        <v>0.23340148081978571</v>
      </c>
    </row>
    <row r="9" spans="1:6" x14ac:dyDescent="0.15">
      <c r="B9" s="1">
        <f t="shared" ref="B9:B72" si="0">B8+1</f>
        <v>2</v>
      </c>
      <c r="C9" s="1">
        <f t="shared" ref="C9:C72" si="1">B9*$B$3</f>
        <v>1.5503875968992248E-2</v>
      </c>
      <c r="D9" s="1">
        <f t="shared" ref="D9:D72" si="2">10*EXP(-C9/$B$1)*SIN(2*PI()*C9/$B$1)</f>
        <v>0.95763458096772169</v>
      </c>
      <c r="E9" s="1">
        <f t="shared" ref="E9:E72" si="3">D9^2</f>
        <v>0.91706399066522393</v>
      </c>
    </row>
    <row r="10" spans="1:6" x14ac:dyDescent="0.15">
      <c r="B10" s="1">
        <f t="shared" si="0"/>
        <v>3</v>
      </c>
      <c r="C10" s="1">
        <f t="shared" si="1"/>
        <v>2.3255813953488372E-2</v>
      </c>
      <c r="D10" s="1">
        <f t="shared" si="2"/>
        <v>1.4225416356600984</v>
      </c>
      <c r="E10" s="1">
        <f t="shared" si="3"/>
        <v>2.0236247051865082</v>
      </c>
    </row>
    <row r="11" spans="1:6" x14ac:dyDescent="0.15">
      <c r="B11" s="1">
        <f t="shared" si="0"/>
        <v>4</v>
      </c>
      <c r="C11" s="1">
        <f t="shared" si="1"/>
        <v>3.1007751937984496E-2</v>
      </c>
      <c r="D11" s="1">
        <f t="shared" si="2"/>
        <v>1.8768635350181384</v>
      </c>
      <c r="E11" s="1">
        <f t="shared" si="3"/>
        <v>3.522616729080783</v>
      </c>
    </row>
    <row r="12" spans="1:6" x14ac:dyDescent="0.15">
      <c r="B12" s="1">
        <f t="shared" si="0"/>
        <v>5</v>
      </c>
      <c r="C12" s="1">
        <f t="shared" si="1"/>
        <v>3.875968992248062E-2</v>
      </c>
      <c r="D12" s="1">
        <f t="shared" si="2"/>
        <v>2.3196667535285522</v>
      </c>
      <c r="E12" s="1">
        <f t="shared" si="3"/>
        <v>5.3808538474256933</v>
      </c>
    </row>
    <row r="13" spans="1:6" x14ac:dyDescent="0.15">
      <c r="B13" s="1">
        <f t="shared" si="0"/>
        <v>6</v>
      </c>
      <c r="C13" s="1">
        <f t="shared" si="1"/>
        <v>4.6511627906976744E-2</v>
      </c>
      <c r="D13" s="1">
        <f t="shared" si="2"/>
        <v>2.7500599242349266</v>
      </c>
      <c r="E13" s="1">
        <f t="shared" si="3"/>
        <v>7.5628295868830104</v>
      </c>
    </row>
    <row r="14" spans="1:6" x14ac:dyDescent="0.15">
      <c r="B14" s="1">
        <f t="shared" si="0"/>
        <v>7</v>
      </c>
      <c r="C14" s="1">
        <f t="shared" si="1"/>
        <v>5.4263565891472867E-2</v>
      </c>
      <c r="D14" s="1">
        <f t="shared" si="2"/>
        <v>3.1671953412065492</v>
      </c>
      <c r="E14" s="1">
        <f t="shared" si="3"/>
        <v>10.03112632936047</v>
      </c>
    </row>
    <row r="15" spans="1:6" x14ac:dyDescent="0.15">
      <c r="B15" s="1">
        <f t="shared" si="0"/>
        <v>8</v>
      </c>
      <c r="C15" s="1">
        <f t="shared" si="1"/>
        <v>6.2015503875968991E-2</v>
      </c>
      <c r="D15" s="1">
        <f t="shared" si="2"/>
        <v>3.5702703335298893</v>
      </c>
      <c r="E15" s="1">
        <f t="shared" si="3"/>
        <v>12.746830254483626</v>
      </c>
    </row>
    <row r="16" spans="1:6" x14ac:dyDescent="0.15">
      <c r="B16" s="1">
        <f t="shared" si="0"/>
        <v>9</v>
      </c>
      <c r="C16" s="1">
        <f t="shared" si="1"/>
        <v>6.9767441860465115E-2</v>
      </c>
      <c r="D16" s="1">
        <f t="shared" si="2"/>
        <v>3.9585285094835396</v>
      </c>
      <c r="E16" s="1">
        <f t="shared" si="3"/>
        <v>15.669947960393975</v>
      </c>
    </row>
    <row r="17" spans="2:5" x14ac:dyDescent="0.15">
      <c r="B17" s="1">
        <f t="shared" si="0"/>
        <v>10</v>
      </c>
      <c r="C17" s="1">
        <f t="shared" si="1"/>
        <v>7.7519379844961239E-2</v>
      </c>
      <c r="D17" s="1">
        <f t="shared" si="2"/>
        <v>4.3312608698913193</v>
      </c>
      <c r="E17" s="1">
        <f t="shared" si="3"/>
        <v>18.759820723051707</v>
      </c>
    </row>
    <row r="18" spans="2:5" x14ac:dyDescent="0.15">
      <c r="B18" s="1">
        <f t="shared" si="0"/>
        <v>11</v>
      </c>
      <c r="C18" s="1">
        <f t="shared" si="1"/>
        <v>8.5271317829457363E-2</v>
      </c>
      <c r="D18" s="1">
        <f t="shared" si="2"/>
        <v>4.6878067899793878</v>
      </c>
      <c r="E18" s="1">
        <f t="shared" si="3"/>
        <v>21.975532500176854</v>
      </c>
    </row>
    <row r="19" spans="2:5" x14ac:dyDescent="0.15">
      <c r="B19" s="1">
        <f t="shared" si="0"/>
        <v>12</v>
      </c>
      <c r="C19" s="1">
        <f t="shared" si="1"/>
        <v>9.3023255813953487E-2</v>
      </c>
      <c r="D19" s="1">
        <f t="shared" si="2"/>
        <v>5.0275548693909338</v>
      </c>
      <c r="E19" s="1">
        <f t="shared" si="3"/>
        <v>25.276307964736489</v>
      </c>
    </row>
    <row r="20" spans="2:5" x14ac:dyDescent="0.15">
      <c r="B20" s="1">
        <f t="shared" si="0"/>
        <v>13</v>
      </c>
      <c r="C20" s="1">
        <f t="shared" si="1"/>
        <v>0.10077519379844961</v>
      </c>
      <c r="D20" s="1">
        <f t="shared" si="2"/>
        <v>5.3499436503354696</v>
      </c>
      <c r="E20" s="1">
        <f t="shared" si="3"/>
        <v>28.621897061764809</v>
      </c>
    </row>
    <row r="21" spans="2:5" x14ac:dyDescent="0.15">
      <c r="B21" s="1">
        <f t="shared" si="0"/>
        <v>14</v>
      </c>
      <c r="C21" s="1">
        <f t="shared" si="1"/>
        <v>0.10852713178294573</v>
      </c>
      <c r="D21" s="1">
        <f t="shared" si="2"/>
        <v>5.6544622041683761</v>
      </c>
      <c r="E21" s="1">
        <f t="shared" si="3"/>
        <v>31.97294281836869</v>
      </c>
    </row>
    <row r="22" spans="2:5" x14ac:dyDescent="0.15">
      <c r="B22" s="1">
        <f t="shared" si="0"/>
        <v>15</v>
      </c>
      <c r="C22" s="1">
        <f t="shared" si="1"/>
        <v>0.11627906976744186</v>
      </c>
      <c r="D22" s="1">
        <f t="shared" si="2"/>
        <v>5.9406505870092445</v>
      </c>
      <c r="E22" s="1">
        <f t="shared" si="3"/>
        <v>35.291329396933278</v>
      </c>
    </row>
    <row r="23" spans="2:5" x14ac:dyDescent="0.15">
      <c r="B23" s="1">
        <f t="shared" si="0"/>
        <v>16</v>
      </c>
      <c r="C23" s="1">
        <f t="shared" si="1"/>
        <v>0.12403100775193798</v>
      </c>
      <c r="D23" s="1">
        <f t="shared" si="2"/>
        <v>6.2081001653142724</v>
      </c>
      <c r="E23" s="1">
        <f t="shared" si="3"/>
        <v>38.540507662575095</v>
      </c>
    </row>
    <row r="24" spans="2:5" x14ac:dyDescent="0.15">
      <c r="B24" s="1">
        <f t="shared" si="0"/>
        <v>17</v>
      </c>
      <c r="C24" s="1">
        <f t="shared" si="1"/>
        <v>0.13178294573643412</v>
      </c>
      <c r="D24" s="1">
        <f t="shared" si="2"/>
        <v>6.4564538126177338</v>
      </c>
      <c r="E24" s="1">
        <f t="shared" si="3"/>
        <v>41.68579583446607</v>
      </c>
    </row>
    <row r="25" spans="2:5" x14ac:dyDescent="0.15">
      <c r="B25" s="1">
        <f t="shared" si="0"/>
        <v>18</v>
      </c>
      <c r="C25" s="1">
        <f t="shared" si="1"/>
        <v>0.13953488372093023</v>
      </c>
      <c r="D25" s="1">
        <f t="shared" si="2"/>
        <v>6.6854059789496612</v>
      </c>
      <c r="E25" s="1">
        <f t="shared" si="3"/>
        <v>44.694653103375877</v>
      </c>
    </row>
    <row r="26" spans="2:5" x14ac:dyDescent="0.15">
      <c r="B26" s="1">
        <f t="shared" si="0"/>
        <v>19</v>
      </c>
      <c r="C26" s="1">
        <f t="shared" si="1"/>
        <v>0.14728682170542634</v>
      </c>
      <c r="D26" s="1">
        <f t="shared" si="2"/>
        <v>6.8947026347210967</v>
      </c>
      <c r="E26" s="1">
        <f t="shared" si="3"/>
        <v>47.536924421230033</v>
      </c>
    </row>
    <row r="27" spans="2:5" x14ac:dyDescent="0.15">
      <c r="B27" s="1">
        <f t="shared" si="0"/>
        <v>20</v>
      </c>
      <c r="C27" s="1">
        <f t="shared" si="1"/>
        <v>0.15503875968992248</v>
      </c>
      <c r="D27" s="1">
        <f t="shared" si="2"/>
        <v>7.0841410911434615</v>
      </c>
      <c r="E27" s="1">
        <f t="shared" si="3"/>
        <v>50.185054999227276</v>
      </c>
    </row>
    <row r="28" spans="2:5" x14ac:dyDescent="0.15">
      <c r="B28" s="1">
        <f t="shared" si="0"/>
        <v>21</v>
      </c>
      <c r="C28" s="1">
        <f t="shared" si="1"/>
        <v>0.16279069767441862</v>
      </c>
      <c r="D28" s="1">
        <f t="shared" si="2"/>
        <v>7.2535696995149177</v>
      </c>
      <c r="E28" s="1">
        <f t="shared" si="3"/>
        <v>52.614273385720935</v>
      </c>
    </row>
    <row r="29" spans="2:5" x14ac:dyDescent="0.15">
      <c r="B29" s="1">
        <f t="shared" si="0"/>
        <v>22</v>
      </c>
      <c r="C29" s="1">
        <f t="shared" si="1"/>
        <v>0.17054263565891473</v>
      </c>
      <c r="D29" s="1">
        <f t="shared" si="2"/>
        <v>7.4028874319629328</v>
      </c>
      <c r="E29" s="1">
        <f t="shared" si="3"/>
        <v>54.802742330314743</v>
      </c>
    </row>
    <row r="30" spans="2:5" x14ac:dyDescent="0.15">
      <c r="B30" s="1">
        <f t="shared" si="0"/>
        <v>23</v>
      </c>
      <c r="C30" s="1">
        <f t="shared" si="1"/>
        <v>0.17829457364341084</v>
      </c>
      <c r="D30" s="1">
        <f t="shared" si="2"/>
        <v>7.5320433464784946</v>
      </c>
      <c r="E30" s="1">
        <f t="shared" si="3"/>
        <v>56.731676973230961</v>
      </c>
    </row>
    <row r="31" spans="2:5" x14ac:dyDescent="0.15">
      <c r="B31" s="1">
        <f t="shared" si="0"/>
        <v>24</v>
      </c>
      <c r="C31" s="1">
        <f t="shared" si="1"/>
        <v>0.18604651162790697</v>
      </c>
      <c r="D31" s="1">
        <f t="shared" si="2"/>
        <v>7.6410359393130696</v>
      </c>
      <c r="E31" s="1">
        <f t="shared" si="3"/>
        <v>58.385430225873961</v>
      </c>
    </row>
    <row r="32" spans="2:5" x14ac:dyDescent="0.15">
      <c r="B32" s="1">
        <f t="shared" si="0"/>
        <v>25</v>
      </c>
      <c r="C32" s="1">
        <f t="shared" si="1"/>
        <v>0.19379844961240311</v>
      </c>
      <c r="D32" s="1">
        <f t="shared" si="2"/>
        <v>7.7299123880339549</v>
      </c>
      <c r="E32" s="1">
        <f t="shared" si="3"/>
        <v>59.7515455266808</v>
      </c>
    </row>
    <row r="33" spans="2:5" x14ac:dyDescent="0.15">
      <c r="B33" s="1">
        <f t="shared" si="0"/>
        <v>26</v>
      </c>
      <c r="C33" s="1">
        <f t="shared" si="1"/>
        <v>0.20155038759689922</v>
      </c>
      <c r="D33" s="1">
        <f t="shared" si="2"/>
        <v>7.7987676887468096</v>
      </c>
      <c r="E33" s="1">
        <f t="shared" si="3"/>
        <v>60.820777463041253</v>
      </c>
    </row>
    <row r="34" spans="2:5" x14ac:dyDescent="0.15">
      <c r="B34" s="1">
        <f t="shared" si="0"/>
        <v>27</v>
      </c>
      <c r="C34" s="1">
        <f t="shared" si="1"/>
        <v>0.20930232558139533</v>
      </c>
      <c r="D34" s="1">
        <f t="shared" si="2"/>
        <v>7.847743691195598</v>
      </c>
      <c r="E34" s="1">
        <f t="shared" si="3"/>
        <v>61.587081042700312</v>
      </c>
    </row>
    <row r="35" spans="2:5" x14ac:dyDescent="0.15">
      <c r="B35" s="1">
        <f t="shared" si="0"/>
        <v>28</v>
      </c>
      <c r="C35" s="1">
        <f t="shared" si="1"/>
        <v>0.21705426356589147</v>
      </c>
      <c r="D35" s="1">
        <f t="shared" si="2"/>
        <v>7.8770280356395368</v>
      </c>
      <c r="E35" s="1">
        <f t="shared" si="3"/>
        <v>62.047570674251261</v>
      </c>
    </row>
    <row r="36" spans="2:5" x14ac:dyDescent="0.15">
      <c r="B36" s="1">
        <f t="shared" si="0"/>
        <v>29</v>
      </c>
      <c r="C36" s="1">
        <f t="shared" si="1"/>
        <v>0.22480620155038761</v>
      </c>
      <c r="D36" s="1">
        <f t="shared" si="2"/>
        <v>7.8868529955836539</v>
      </c>
      <c r="E36" s="1">
        <f t="shared" si="3"/>
        <v>62.202450173946858</v>
      </c>
    </row>
    <row r="37" spans="2:5" x14ac:dyDescent="0.15">
      <c r="B37" s="1">
        <f t="shared" si="0"/>
        <v>30</v>
      </c>
      <c r="C37" s="1">
        <f t="shared" si="1"/>
        <v>0.23255813953488372</v>
      </c>
      <c r="D37" s="1">
        <f t="shared" si="2"/>
        <v>7.8774942306040723</v>
      </c>
      <c r="E37" s="1">
        <f t="shared" si="3"/>
        <v>62.054915353200442</v>
      </c>
    </row>
    <row r="38" spans="2:5" x14ac:dyDescent="0.15">
      <c r="B38" s="1">
        <f t="shared" si="0"/>
        <v>31</v>
      </c>
      <c r="C38" s="1">
        <f t="shared" si="1"/>
        <v>0.24031007751937983</v>
      </c>
      <c r="D38" s="1">
        <f t="shared" si="2"/>
        <v>7.8492694536608401</v>
      </c>
      <c r="E38" s="1">
        <f t="shared" si="3"/>
        <v>61.611030956173146</v>
      </c>
    </row>
    <row r="39" spans="2:5" x14ac:dyDescent="0.15">
      <c r="B39" s="1">
        <f t="shared" si="0"/>
        <v>32</v>
      </c>
      <c r="C39" s="1">
        <f t="shared" si="1"/>
        <v>0.24806201550387597</v>
      </c>
      <c r="D39" s="1">
        <f t="shared" si="2"/>
        <v>7.8025370174298914</v>
      </c>
      <c r="E39" s="1">
        <f t="shared" si="3"/>
        <v>60.879583908363742</v>
      </c>
    </row>
    <row r="40" spans="2:5" x14ac:dyDescent="0.15">
      <c r="B40" s="1">
        <f t="shared" si="0"/>
        <v>33</v>
      </c>
      <c r="C40" s="1">
        <f t="shared" si="1"/>
        <v>0.2558139534883721</v>
      </c>
      <c r="D40" s="1">
        <f t="shared" si="2"/>
        <v>7.737694424311429</v>
      </c>
      <c r="E40" s="1">
        <f t="shared" si="3"/>
        <v>59.871915004020174</v>
      </c>
    </row>
    <row r="41" spans="2:5" x14ac:dyDescent="0.15">
      <c r="B41" s="1">
        <f t="shared" si="0"/>
        <v>34</v>
      </c>
      <c r="C41" s="1">
        <f t="shared" si="1"/>
        <v>0.26356589147286824</v>
      </c>
      <c r="D41" s="1">
        <f t="shared" si="2"/>
        <v>7.655176764884609</v>
      </c>
      <c r="E41" s="1">
        <f t="shared" si="3"/>
        <v>58.601731301629187</v>
      </c>
    </row>
    <row r="42" spans="2:5" x14ac:dyDescent="0.15">
      <c r="B42" s="1">
        <f t="shared" si="0"/>
        <v>35</v>
      </c>
      <c r="C42" s="1">
        <f t="shared" si="1"/>
        <v>0.27131782945736432</v>
      </c>
      <c r="D42" s="1">
        <f t="shared" si="2"/>
        <v>7.5554550896776016</v>
      </c>
      <c r="E42" s="1">
        <f t="shared" si="3"/>
        <v>57.084901612135177</v>
      </c>
    </row>
    <row r="43" spans="2:5" x14ac:dyDescent="0.15">
      <c r="B43" s="1">
        <f t="shared" si="0"/>
        <v>36</v>
      </c>
      <c r="C43" s="1">
        <f t="shared" si="1"/>
        <v>0.27906976744186046</v>
      </c>
      <c r="D43" s="1">
        <f t="shared" si="2"/>
        <v>7.4390347192082116</v>
      </c>
      <c r="E43" s="1">
        <f t="shared" si="3"/>
        <v>55.339237553585193</v>
      </c>
    </row>
    <row r="44" spans="2:5" x14ac:dyDescent="0.15">
      <c r="B44" s="1">
        <f t="shared" si="0"/>
        <v>37</v>
      </c>
      <c r="C44" s="1">
        <f t="shared" si="1"/>
        <v>0.2868217054263566</v>
      </c>
      <c r="D44" s="1">
        <f t="shared" si="2"/>
        <v>7.306453497322928</v>
      </c>
      <c r="E44" s="1">
        <f t="shared" si="3"/>
        <v>53.384262708542444</v>
      </c>
    </row>
    <row r="45" spans="2:5" x14ac:dyDescent="0.15">
      <c r="B45" s="1">
        <f t="shared" si="0"/>
        <v>38</v>
      </c>
      <c r="C45" s="1">
        <f t="shared" si="1"/>
        <v>0.29457364341085268</v>
      </c>
      <c r="D45" s="1">
        <f t="shared" si="2"/>
        <v>7.1582799929217611</v>
      </c>
      <c r="E45" s="1">
        <f t="shared" si="3"/>
        <v>51.240972457063968</v>
      </c>
    </row>
    <row r="46" spans="2:5" x14ac:dyDescent="0.15">
      <c r="B46" s="1">
        <f t="shared" si="0"/>
        <v>39</v>
      </c>
      <c r="C46" s="1">
        <f t="shared" si="1"/>
        <v>0.30232558139534882</v>
      </c>
      <c r="D46" s="1">
        <f t="shared" si="2"/>
        <v>6.995111655202515</v>
      </c>
      <c r="E46" s="1">
        <f t="shared" si="3"/>
        <v>48.931587068750069</v>
      </c>
    </row>
    <row r="47" spans="2:5" x14ac:dyDescent="0.15">
      <c r="B47" s="1">
        <f t="shared" si="0"/>
        <v>40</v>
      </c>
      <c r="C47" s="1">
        <f t="shared" si="1"/>
        <v>0.31007751937984496</v>
      </c>
      <c r="D47" s="1">
        <f t="shared" si="2"/>
        <v>6.817572927591355</v>
      </c>
      <c r="E47" s="1">
        <f t="shared" si="3"/>
        <v>46.47930062302656</v>
      </c>
    </row>
    <row r="48" spans="2:5" x14ac:dyDescent="0.15">
      <c r="B48" s="1">
        <f t="shared" si="0"/>
        <v>41</v>
      </c>
      <c r="C48" s="1">
        <f t="shared" si="1"/>
        <v>0.31782945736434109</v>
      </c>
      <c r="D48" s="1">
        <f t="shared" si="2"/>
        <v>6.6263133255466897</v>
      </c>
      <c r="E48" s="1">
        <f t="shared" si="3"/>
        <v>43.908028288317631</v>
      </c>
    </row>
    <row r="49" spans="2:5" x14ac:dyDescent="0.15">
      <c r="B49" s="1">
        <f t="shared" si="0"/>
        <v>42</v>
      </c>
      <c r="C49" s="1">
        <f t="shared" si="1"/>
        <v>0.32558139534883723</v>
      </c>
      <c r="D49" s="1">
        <f t="shared" si="2"/>
        <v>6.4220054834308336</v>
      </c>
      <c r="E49" s="1">
        <f t="shared" si="3"/>
        <v>41.242154429215695</v>
      </c>
    </row>
    <row r="50" spans="2:5" x14ac:dyDescent="0.15">
      <c r="B50" s="1">
        <f t="shared" si="0"/>
        <v>43</v>
      </c>
      <c r="C50" s="1">
        <f t="shared" si="1"/>
        <v>0.33333333333333331</v>
      </c>
      <c r="D50" s="1">
        <f t="shared" si="2"/>
        <v>6.2053431756385891</v>
      </c>
      <c r="E50" s="1">
        <f t="shared" si="3"/>
        <v>38.506283927444407</v>
      </c>
    </row>
    <row r="51" spans="2:5" x14ac:dyDescent="0.15">
      <c r="B51" s="1">
        <f t="shared" si="0"/>
        <v>44</v>
      </c>
      <c r="C51" s="1">
        <f t="shared" si="1"/>
        <v>0.34108527131782945</v>
      </c>
      <c r="D51" s="1">
        <f t="shared" si="2"/>
        <v>5.9770393171542233</v>
      </c>
      <c r="E51" s="1">
        <f t="shared" si="3"/>
        <v>35.724998998807422</v>
      </c>
    </row>
    <row r="52" spans="2:5" x14ac:dyDescent="0.15">
      <c r="B52" s="1">
        <f t="shared" si="0"/>
        <v>45</v>
      </c>
      <c r="C52" s="1">
        <f t="shared" si="1"/>
        <v>0.34883720930232559</v>
      </c>
      <c r="D52" s="1">
        <f t="shared" si="2"/>
        <v>5.7378239486783711</v>
      </c>
      <c r="E52" s="1">
        <f t="shared" si="3"/>
        <v>32.922623666027057</v>
      </c>
    </row>
    <row r="53" spans="2:5" x14ac:dyDescent="0.15">
      <c r="B53" s="1">
        <f t="shared" si="0"/>
        <v>46</v>
      </c>
      <c r="C53" s="1">
        <f t="shared" si="1"/>
        <v>0.35658914728682167</v>
      </c>
      <c r="D53" s="1">
        <f t="shared" si="2"/>
        <v>5.4884422114245437</v>
      </c>
      <c r="E53" s="1">
        <f t="shared" si="3"/>
        <v>30.122997908146736</v>
      </c>
    </row>
    <row r="54" spans="2:5" x14ac:dyDescent="0.15">
      <c r="B54" s="1">
        <f t="shared" si="0"/>
        <v>47</v>
      </c>
      <c r="C54" s="1">
        <f t="shared" si="1"/>
        <v>0.36434108527131781</v>
      </c>
      <c r="D54" s="1">
        <f t="shared" si="2"/>
        <v>5.2296523166313964</v>
      </c>
      <c r="E54" s="1">
        <f t="shared" si="3"/>
        <v>27.34926335284813</v>
      </c>
    </row>
    <row r="55" spans="2:5" x14ac:dyDescent="0.15">
      <c r="B55" s="1">
        <f t="shared" si="0"/>
        <v>48</v>
      </c>
      <c r="C55" s="1">
        <f t="shared" si="1"/>
        <v>0.37209302325581395</v>
      </c>
      <c r="D55" s="1">
        <f t="shared" si="2"/>
        <v>4.9622235147720408</v>
      </c>
      <c r="E55" s="1">
        <f t="shared" si="3"/>
        <v>24.623662210556585</v>
      </c>
    </row>
    <row r="56" spans="2:5" x14ac:dyDescent="0.15">
      <c r="B56" s="1">
        <f t="shared" si="0"/>
        <v>49</v>
      </c>
      <c r="C56" s="1">
        <f t="shared" si="1"/>
        <v>0.37984496124031009</v>
      </c>
      <c r="D56" s="1">
        <f t="shared" si="2"/>
        <v>4.6869340693657389</v>
      </c>
      <c r="E56" s="1">
        <f t="shared" si="3"/>
        <v>21.967350970581286</v>
      </c>
    </row>
    <row r="57" spans="2:5" x14ac:dyDescent="0.15">
      <c r="B57" s="1">
        <f t="shared" si="0"/>
        <v>50</v>
      </c>
      <c r="C57" s="1">
        <f t="shared" si="1"/>
        <v>0.38759689922480622</v>
      </c>
      <c r="D57" s="1">
        <f t="shared" si="2"/>
        <v>4.4045692402108045</v>
      </c>
      <c r="E57" s="1">
        <f t="shared" si="3"/>
        <v>19.400230191811183</v>
      </c>
    </row>
    <row r="58" spans="2:5" x14ac:dyDescent="0.15">
      <c r="B58" s="1">
        <f t="shared" si="0"/>
        <v>51</v>
      </c>
      <c r="C58" s="1">
        <f t="shared" si="1"/>
        <v>0.39534883720930231</v>
      </c>
      <c r="D58" s="1">
        <f t="shared" si="2"/>
        <v>4.1159192807606626</v>
      </c>
      <c r="E58" s="1">
        <f t="shared" si="3"/>
        <v>16.940791525737371</v>
      </c>
    </row>
    <row r="59" spans="2:5" x14ac:dyDescent="0.15">
      <c r="B59" s="1">
        <f t="shared" si="0"/>
        <v>52</v>
      </c>
      <c r="C59" s="1">
        <f t="shared" si="1"/>
        <v>0.40310077519379844</v>
      </c>
      <c r="D59" s="1">
        <f t="shared" si="2"/>
        <v>3.8217774542581382</v>
      </c>
      <c r="E59" s="1">
        <f t="shared" si="3"/>
        <v>14.605982909875815</v>
      </c>
    </row>
    <row r="60" spans="2:5" x14ac:dyDescent="0.15">
      <c r="B60" s="1">
        <f t="shared" si="0"/>
        <v>53</v>
      </c>
      <c r="C60" s="1">
        <f t="shared" si="1"/>
        <v>0.41085271317829458</v>
      </c>
      <c r="D60" s="1">
        <f t="shared" si="2"/>
        <v>3.5229380731269782</v>
      </c>
      <c r="E60" s="1">
        <f t="shared" si="3"/>
        <v>12.411092667087626</v>
      </c>
    </row>
    <row r="61" spans="2:5" x14ac:dyDescent="0.15">
      <c r="B61" s="1">
        <f t="shared" si="0"/>
        <v>54</v>
      </c>
      <c r="C61" s="1">
        <f t="shared" si="1"/>
        <v>0.41860465116279066</v>
      </c>
      <c r="D61" s="1">
        <f t="shared" si="2"/>
        <v>3.2201945659940483</v>
      </c>
      <c r="E61" s="1">
        <f t="shared" si="3"/>
        <v>10.369653042857598</v>
      </c>
    </row>
    <row r="62" spans="2:5" x14ac:dyDescent="0.15">
      <c r="B62" s="1">
        <f t="shared" si="0"/>
        <v>55</v>
      </c>
      <c r="C62" s="1">
        <f t="shared" si="1"/>
        <v>0.4263565891472868</v>
      </c>
      <c r="D62" s="1">
        <f t="shared" si="2"/>
        <v>2.9143375765818607</v>
      </c>
      <c r="E62" s="1">
        <f t="shared" si="3"/>
        <v>8.4933635102770317</v>
      </c>
    </row>
    <row r="63" spans="2:5" x14ac:dyDescent="0.15">
      <c r="B63" s="1">
        <f t="shared" si="0"/>
        <v>56</v>
      </c>
      <c r="C63" s="1">
        <f t="shared" si="1"/>
        <v>0.43410852713178294</v>
      </c>
      <c r="D63" s="1">
        <f t="shared" si="2"/>
        <v>2.6061530985688757</v>
      </c>
      <c r="E63" s="1">
        <f t="shared" si="3"/>
        <v>6.7920339731801516</v>
      </c>
    </row>
    <row r="64" spans="2:5" x14ac:dyDescent="0.15">
      <c r="B64" s="1">
        <f t="shared" si="0"/>
        <v>57</v>
      </c>
      <c r="C64" s="1">
        <f t="shared" si="1"/>
        <v>0.44186046511627908</v>
      </c>
      <c r="D64" s="1">
        <f t="shared" si="2"/>
        <v>2.2964206503651585</v>
      </c>
      <c r="E64" s="1">
        <f t="shared" si="3"/>
        <v>5.2735478034235372</v>
      </c>
    </row>
    <row r="65" spans="2:5" x14ac:dyDescent="0.15">
      <c r="B65" s="1">
        <f t="shared" si="0"/>
        <v>58</v>
      </c>
      <c r="C65" s="1">
        <f t="shared" si="1"/>
        <v>0.44961240310077522</v>
      </c>
      <c r="D65" s="1">
        <f t="shared" si="2"/>
        <v>1.9859114935940185</v>
      </c>
      <c r="E65" s="1">
        <f t="shared" si="3"/>
        <v>3.9438444603888256</v>
      </c>
    </row>
    <row r="66" spans="2:5" x14ac:dyDescent="0.15">
      <c r="B66" s="1">
        <f t="shared" si="0"/>
        <v>59</v>
      </c>
      <c r="C66" s="1">
        <f t="shared" si="1"/>
        <v>0.4573643410852713</v>
      </c>
      <c r="D66" s="1">
        <f t="shared" si="2"/>
        <v>1.6753868989063634</v>
      </c>
      <c r="E66" s="1">
        <f t="shared" si="3"/>
        <v>2.8069212610270813</v>
      </c>
    </row>
    <row r="67" spans="2:5" x14ac:dyDescent="0.15">
      <c r="B67" s="1">
        <f t="shared" si="0"/>
        <v>60</v>
      </c>
      <c r="C67" s="1">
        <f t="shared" si="1"/>
        <v>0.46511627906976744</v>
      </c>
      <c r="D67" s="1">
        <f t="shared" si="2"/>
        <v>1.3655964625845372</v>
      </c>
      <c r="E67" s="1">
        <f t="shared" si="3"/>
        <v>1.8648536986234012</v>
      </c>
    </row>
    <row r="68" spans="2:5" x14ac:dyDescent="0.15">
      <c r="B68" s="1">
        <f t="shared" si="0"/>
        <v>61</v>
      </c>
      <c r="C68" s="1">
        <f t="shared" si="1"/>
        <v>0.47286821705426357</v>
      </c>
      <c r="D68" s="1">
        <f t="shared" si="2"/>
        <v>1.0572764772166752</v>
      </c>
      <c r="E68" s="1">
        <f t="shared" si="3"/>
        <v>1.1178335492757026</v>
      </c>
    </row>
    <row r="69" spans="2:5" x14ac:dyDescent="0.15">
      <c r="B69" s="1">
        <f t="shared" si="0"/>
        <v>62</v>
      </c>
      <c r="C69" s="1">
        <f t="shared" si="1"/>
        <v>0.48062015503875966</v>
      </c>
      <c r="D69" s="1">
        <f t="shared" si="2"/>
        <v>0.75114835954162718</v>
      </c>
      <c r="E69" s="1">
        <f t="shared" si="3"/>
        <v>0.56422385804207764</v>
      </c>
    </row>
    <row r="70" spans="2:5" x14ac:dyDescent="0.15">
      <c r="B70" s="1">
        <f t="shared" si="0"/>
        <v>63</v>
      </c>
      <c r="C70" s="1">
        <f t="shared" si="1"/>
        <v>0.48837209302325579</v>
      </c>
      <c r="D70" s="1">
        <f t="shared" si="2"/>
        <v>0.44791713837881003</v>
      </c>
      <c r="E70" s="1">
        <f t="shared" si="3"/>
        <v>0.20062976285346207</v>
      </c>
    </row>
    <row r="71" spans="2:5" x14ac:dyDescent="0.15">
      <c r="B71" s="1">
        <f t="shared" si="0"/>
        <v>64</v>
      </c>
      <c r="C71" s="1">
        <f t="shared" si="1"/>
        <v>0.49612403100775193</v>
      </c>
      <c r="D71" s="1">
        <f t="shared" si="2"/>
        <v>0.14827000536761387</v>
      </c>
      <c r="E71" s="1">
        <f t="shared" si="3"/>
        <v>2.1983994491712244E-2</v>
      </c>
    </row>
    <row r="72" spans="2:5" x14ac:dyDescent="0.15">
      <c r="B72" s="1">
        <f t="shared" si="0"/>
        <v>65</v>
      </c>
      <c r="C72" s="1">
        <f t="shared" si="1"/>
        <v>0.50387596899224807</v>
      </c>
      <c r="D72" s="1">
        <f t="shared" si="2"/>
        <v>-0.14712506895259039</v>
      </c>
      <c r="E72" s="1">
        <f t="shared" si="3"/>
        <v>2.1645785914304477E-2</v>
      </c>
    </row>
    <row r="73" spans="2:5" x14ac:dyDescent="0.15">
      <c r="B73" s="1">
        <f t="shared" ref="B73:B135" si="4">B72+1</f>
        <v>66</v>
      </c>
      <c r="C73" s="1">
        <f t="shared" ref="C73:C136" si="5">B73*$B$3</f>
        <v>0.51162790697674421</v>
      </c>
      <c r="D73" s="1">
        <f t="shared" ref="D73:D136" si="6">10*EXP(-C73/$B$1)*SIN(2*PI()*C73/$B$1)</f>
        <v>-0.43762065138739437</v>
      </c>
      <c r="E73" s="1">
        <f t="shared" ref="E73:E136" si="7">D73^2</f>
        <v>0.19151183452072734</v>
      </c>
    </row>
    <row r="74" spans="2:5" x14ac:dyDescent="0.15">
      <c r="B74" s="1">
        <f t="shared" si="4"/>
        <v>67</v>
      </c>
      <c r="C74" s="1">
        <f t="shared" si="5"/>
        <v>0.51937984496124034</v>
      </c>
      <c r="D74" s="1">
        <f t="shared" si="6"/>
        <v>-0.72259109252198617</v>
      </c>
      <c r="E74" s="1">
        <f t="shared" si="7"/>
        <v>0.52213788699211761</v>
      </c>
    </row>
    <row r="75" spans="2:5" x14ac:dyDescent="0.15">
      <c r="B75" s="1">
        <f t="shared" si="4"/>
        <v>68</v>
      </c>
      <c r="C75" s="1">
        <f t="shared" si="5"/>
        <v>0.52713178294573648</v>
      </c>
      <c r="D75" s="1">
        <f t="shared" si="6"/>
        <v>-1.0014337014115899</v>
      </c>
      <c r="E75" s="1">
        <f t="shared" si="7"/>
        <v>1.0028694583229174</v>
      </c>
    </row>
    <row r="76" spans="2:5" x14ac:dyDescent="0.15">
      <c r="B76" s="1">
        <f t="shared" si="4"/>
        <v>69</v>
      </c>
      <c r="C76" s="1">
        <f t="shared" si="5"/>
        <v>0.53488372093023251</v>
      </c>
      <c r="D76" s="1">
        <f t="shared" si="6"/>
        <v>-1.2735698467966285</v>
      </c>
      <c r="E76" s="1">
        <f t="shared" si="7"/>
        <v>1.621980154669588</v>
      </c>
    </row>
    <row r="77" spans="2:5" x14ac:dyDescent="0.15">
      <c r="B77" s="1">
        <f t="shared" si="4"/>
        <v>70</v>
      </c>
      <c r="C77" s="1">
        <f t="shared" si="5"/>
        <v>0.54263565891472865</v>
      </c>
      <c r="D77" s="1">
        <f t="shared" si="6"/>
        <v>-1.5384459833156117</v>
      </c>
      <c r="E77" s="1">
        <f t="shared" si="7"/>
        <v>2.3668160435799392</v>
      </c>
    </row>
    <row r="78" spans="2:5" x14ac:dyDescent="0.15">
      <c r="B78" s="1">
        <f t="shared" si="4"/>
        <v>71</v>
      </c>
      <c r="C78" s="1">
        <f t="shared" si="5"/>
        <v>0.55038759689922478</v>
      </c>
      <c r="D78" s="1">
        <f t="shared" si="6"/>
        <v>-1.7955346013930176</v>
      </c>
      <c r="E78" s="1">
        <f t="shared" si="7"/>
        <v>3.2239445047995825</v>
      </c>
    </row>
    <row r="79" spans="2:5" x14ac:dyDescent="0.15">
      <c r="B79" s="1">
        <f t="shared" si="4"/>
        <v>72</v>
      </c>
      <c r="C79" s="1">
        <f t="shared" si="5"/>
        <v>0.55813953488372092</v>
      </c>
      <c r="D79" s="1">
        <f t="shared" si="6"/>
        <v>-2.0443350996842504</v>
      </c>
      <c r="E79" s="1">
        <f t="shared" si="7"/>
        <v>4.1793059998010138</v>
      </c>
    </row>
    <row r="80" spans="2:5" x14ac:dyDescent="0.15">
      <c r="B80" s="1">
        <f t="shared" si="4"/>
        <v>73</v>
      </c>
      <c r="C80" s="1">
        <f t="shared" si="5"/>
        <v>0.56589147286821706</v>
      </c>
      <c r="D80" s="1">
        <f t="shared" si="6"/>
        <v>-2.2843745791635621</v>
      </c>
      <c r="E80" s="1">
        <f t="shared" si="7"/>
        <v>5.2183672179287015</v>
      </c>
    </row>
    <row r="81" spans="2:5" x14ac:dyDescent="0.15">
      <c r="B81" s="1">
        <f t="shared" si="4"/>
        <v>74</v>
      </c>
      <c r="C81" s="1">
        <f t="shared" si="5"/>
        <v>0.5736434108527132</v>
      </c>
      <c r="D81" s="1">
        <f t="shared" si="6"/>
        <v>-2.5152085581442059</v>
      </c>
      <c r="E81" s="1">
        <f t="shared" si="7"/>
        <v>6.3262740909618547</v>
      </c>
    </row>
    <row r="82" spans="2:5" x14ac:dyDescent="0.15">
      <c r="B82" s="1">
        <f t="shared" si="4"/>
        <v>75</v>
      </c>
      <c r="C82" s="1">
        <f t="shared" si="5"/>
        <v>0.58139534883720934</v>
      </c>
      <c r="D82" s="1">
        <f t="shared" si="6"/>
        <v>-2.7364216077216921</v>
      </c>
      <c r="E82" s="1">
        <f t="shared" si="7"/>
        <v>7.4880032152061702</v>
      </c>
    </row>
    <row r="83" spans="2:5" x14ac:dyDescent="0.15">
      <c r="B83" s="1">
        <f t="shared" si="4"/>
        <v>76</v>
      </c>
      <c r="C83" s="1">
        <f t="shared" si="5"/>
        <v>0.58914728682170536</v>
      </c>
      <c r="D83" s="1">
        <f t="shared" si="6"/>
        <v>-2.9476279073309124</v>
      </c>
      <c r="E83" s="1">
        <f t="shared" si="7"/>
        <v>8.6885102800760148</v>
      </c>
    </row>
    <row r="84" spans="2:5" x14ac:dyDescent="0.15">
      <c r="B84" s="1">
        <f t="shared" si="4"/>
        <v>77</v>
      </c>
      <c r="C84" s="1">
        <f t="shared" si="5"/>
        <v>0.5968992248062015</v>
      </c>
      <c r="D84" s="1">
        <f t="shared" si="6"/>
        <v>-3.1484717203055266</v>
      </c>
      <c r="E84" s="1">
        <f t="shared" si="7"/>
        <v>9.9128741735636421</v>
      </c>
    </row>
    <row r="85" spans="2:5" x14ac:dyDescent="0.15">
      <c r="B85" s="1">
        <f t="shared" si="4"/>
        <v>78</v>
      </c>
      <c r="C85" s="1">
        <f t="shared" si="5"/>
        <v>0.60465116279069764</v>
      </c>
      <c r="D85" s="1">
        <f t="shared" si="6"/>
        <v>-3.3386277895225938</v>
      </c>
      <c r="E85" s="1">
        <f t="shared" si="7"/>
        <v>11.14643551697252</v>
      </c>
    </row>
    <row r="86" spans="2:5" x14ac:dyDescent="0.15">
      <c r="B86" s="1">
        <f t="shared" si="4"/>
        <v>79</v>
      </c>
      <c r="C86" s="1">
        <f t="shared" si="5"/>
        <v>0.61240310077519378</v>
      </c>
      <c r="D86" s="1">
        <f t="shared" si="6"/>
        <v>-3.5178016534072207</v>
      </c>
      <c r="E86" s="1">
        <f t="shared" si="7"/>
        <v>12.374928472714576</v>
      </c>
    </row>
    <row r="87" spans="2:5" x14ac:dyDescent="0.15">
      <c r="B87" s="1">
        <f t="shared" si="4"/>
        <v>80</v>
      </c>
      <c r="C87" s="1">
        <f t="shared" si="5"/>
        <v>0.62015503875968991</v>
      </c>
      <c r="D87" s="1">
        <f t="shared" si="6"/>
        <v>-3.6857298827597567</v>
      </c>
      <c r="E87" s="1">
        <f t="shared" si="7"/>
        <v>13.58460476866825</v>
      </c>
    </row>
    <row r="88" spans="2:5" x14ac:dyDescent="0.15">
      <c r="B88" s="1">
        <f t="shared" si="4"/>
        <v>81</v>
      </c>
      <c r="C88" s="1">
        <f t="shared" si="5"/>
        <v>0.62790697674418605</v>
      </c>
      <c r="D88" s="1">
        <f t="shared" si="6"/>
        <v>-3.8421802390521851</v>
      </c>
      <c r="E88" s="1">
        <f t="shared" si="7"/>
        <v>14.762348989363106</v>
      </c>
    </row>
    <row r="89" spans="2:5" x14ac:dyDescent="0.15">
      <c r="B89" s="1">
        <f t="shared" si="4"/>
        <v>82</v>
      </c>
      <c r="C89" s="1">
        <f t="shared" si="5"/>
        <v>0.63565891472868219</v>
      </c>
      <c r="D89" s="1">
        <f t="shared" si="6"/>
        <v>-3.9869517550198066</v>
      </c>
      <c r="E89" s="1">
        <f t="shared" si="7"/>
        <v>15.895784296855515</v>
      </c>
    </row>
    <row r="90" spans="2:5" x14ac:dyDescent="0.15">
      <c r="B90" s="1">
        <f t="shared" si="4"/>
        <v>83</v>
      </c>
      <c r="C90" s="1">
        <f t="shared" si="5"/>
        <v>0.64341085271317833</v>
      </c>
      <c r="D90" s="1">
        <f t="shared" si="6"/>
        <v>-4.1198747385491812</v>
      </c>
      <c r="E90" s="1">
        <f t="shared" si="7"/>
        <v>16.973367861335685</v>
      </c>
    </row>
    <row r="91" spans="2:5" x14ac:dyDescent="0.15">
      <c r="B91" s="1">
        <f t="shared" si="4"/>
        <v>84</v>
      </c>
      <c r="C91" s="1">
        <f t="shared" si="5"/>
        <v>0.65116279069767447</v>
      </c>
      <c r="D91" s="1">
        <f t="shared" si="6"/>
        <v>-4.2408107010329816</v>
      </c>
      <c r="E91" s="1">
        <f t="shared" si="7"/>
        <v>17.984475401995848</v>
      </c>
    </row>
    <row r="92" spans="2:5" x14ac:dyDescent="0.15">
      <c r="B92" s="1">
        <f t="shared" si="4"/>
        <v>85</v>
      </c>
      <c r="C92" s="1">
        <f t="shared" si="5"/>
        <v>0.65891472868217049</v>
      </c>
      <c r="D92" s="1">
        <f t="shared" si="6"/>
        <v>-4.3496522115266671</v>
      </c>
      <c r="E92" s="1">
        <f t="shared" si="7"/>
        <v>18.919474361238827</v>
      </c>
    </row>
    <row r="93" spans="2:5" x14ac:dyDescent="0.15">
      <c r="B93" s="1">
        <f t="shared" si="4"/>
        <v>86</v>
      </c>
      <c r="C93" s="1">
        <f t="shared" si="5"/>
        <v>0.66666666666666663</v>
      </c>
      <c r="D93" s="1">
        <f t="shared" si="6"/>
        <v>-4.4463226782004357</v>
      </c>
      <c r="E93" s="1">
        <f t="shared" si="7"/>
        <v>19.769785358679496</v>
      </c>
    </row>
    <row r="94" spans="2:5" x14ac:dyDescent="0.15">
      <c r="B94" s="1">
        <f t="shared" si="4"/>
        <v>87</v>
      </c>
      <c r="C94" s="1">
        <f t="shared" si="5"/>
        <v>0.67441860465116277</v>
      </c>
      <c r="D94" s="1">
        <f t="shared" si="6"/>
        <v>-4.5307760587323314</v>
      </c>
      <c r="E94" s="1">
        <f t="shared" si="7"/>
        <v>20.52793169438208</v>
      </c>
    </row>
    <row r="95" spans="2:5" x14ac:dyDescent="0.15">
      <c r="B95" s="1">
        <f t="shared" si="4"/>
        <v>88</v>
      </c>
      <c r="C95" s="1">
        <f t="shared" si="5"/>
        <v>0.68217054263565891</v>
      </c>
      <c r="D95" s="1">
        <f t="shared" si="6"/>
        <v>-4.6029965014346184</v>
      </c>
      <c r="E95" s="1">
        <f t="shared" si="7"/>
        <v>21.187576792219335</v>
      </c>
    </row>
    <row r="96" spans="2:5" x14ac:dyDescent="0.15">
      <c r="B96" s="1">
        <f t="shared" si="4"/>
        <v>89</v>
      </c>
      <c r="C96" s="1">
        <f t="shared" si="5"/>
        <v>0.68992248062015504</v>
      </c>
      <c r="D96" s="1">
        <f t="shared" si="6"/>
        <v>-4.6629979190450515</v>
      </c>
      <c r="E96" s="1">
        <f t="shared" si="7"/>
        <v>21.743549593018479</v>
      </c>
    </row>
    <row r="97" spans="2:5" x14ac:dyDescent="0.15">
      <c r="B97" s="1">
        <f t="shared" si="4"/>
        <v>90</v>
      </c>
      <c r="C97" s="1">
        <f t="shared" si="5"/>
        <v>0.69767441860465118</v>
      </c>
      <c r="D97" s="1">
        <f t="shared" si="6"/>
        <v>-4.7108234972474863</v>
      </c>
      <c r="E97" s="1">
        <f t="shared" si="7"/>
        <v>22.191858022219037</v>
      </c>
    </row>
    <row r="98" spans="2:5" x14ac:dyDescent="0.15">
      <c r="B98" s="1">
        <f t="shared" si="4"/>
        <v>91</v>
      </c>
      <c r="C98" s="1">
        <f t="shared" si="5"/>
        <v>0.70542635658914732</v>
      </c>
      <c r="D98" s="1">
        <f t="shared" si="6"/>
        <v>-4.7465451401119996</v>
      </c>
      <c r="E98" s="1">
        <f t="shared" si="7"/>
        <v>22.52969076712084</v>
      </c>
    </row>
    <row r="99" spans="2:5" x14ac:dyDescent="0.15">
      <c r="B99" s="1">
        <f t="shared" si="4"/>
        <v>92</v>
      </c>
      <c r="C99" s="1">
        <f t="shared" si="5"/>
        <v>0.71317829457364335</v>
      </c>
      <c r="D99" s="1">
        <f t="shared" si="6"/>
        <v>-4.7702628547632582</v>
      </c>
      <c r="E99" s="1">
        <f t="shared" si="7"/>
        <v>22.755407703534111</v>
      </c>
    </row>
    <row r="100" spans="2:5" x14ac:dyDescent="0.15">
      <c r="B100" s="1">
        <f t="shared" si="4"/>
        <v>93</v>
      </c>
      <c r="C100" s="1">
        <f t="shared" si="5"/>
        <v>0.72093023255813948</v>
      </c>
      <c r="D100" s="1">
        <f t="shared" si="6"/>
        <v>-4.7821040776969603</v>
      </c>
      <c r="E100" s="1">
        <f t="shared" si="7"/>
        <v>22.868519409925895</v>
      </c>
    </row>
    <row r="101" spans="2:5" x14ac:dyDescent="0.15">
      <c r="B101" s="1">
        <f t="shared" si="4"/>
        <v>94</v>
      </c>
      <c r="C101" s="1">
        <f t="shared" si="5"/>
        <v>0.72868217054263562</v>
      </c>
      <c r="D101" s="1">
        <f t="shared" si="6"/>
        <v>-4.7822229452678124</v>
      </c>
      <c r="E101" s="1">
        <f t="shared" si="7"/>
        <v>22.86965629824595</v>
      </c>
    </row>
    <row r="102" spans="2:5" x14ac:dyDescent="0.15">
      <c r="B102" s="1">
        <f t="shared" si="4"/>
        <v>95</v>
      </c>
      <c r="C102" s="1">
        <f t="shared" si="5"/>
        <v>0.73643410852713176</v>
      </c>
      <c r="D102" s="1">
        <f t="shared" si="6"/>
        <v>-4.7707995109683639</v>
      </c>
      <c r="E102" s="1">
        <f t="shared" si="7"/>
        <v>22.760527973855979</v>
      </c>
    </row>
    <row r="103" spans="2:5" x14ac:dyDescent="0.15">
      <c r="B103" s="1">
        <f t="shared" si="4"/>
        <v>96</v>
      </c>
      <c r="C103" s="1">
        <f t="shared" si="5"/>
        <v>0.7441860465116279</v>
      </c>
      <c r="D103" s="1">
        <f t="shared" si="6"/>
        <v>-4.748038912206173</v>
      </c>
      <c r="E103" s="1">
        <f t="shared" si="7"/>
        <v>22.543873511823978</v>
      </c>
    </row>
    <row r="104" spans="2:5" x14ac:dyDescent="0.15">
      <c r="B104" s="1">
        <f t="shared" si="4"/>
        <v>97</v>
      </c>
      <c r="C104" s="1">
        <f t="shared" si="5"/>
        <v>0.75193798449612403</v>
      </c>
      <c r="D104" s="1">
        <f t="shared" si="6"/>
        <v>-4.7141704893669498</v>
      </c>
      <c r="E104" s="1">
        <f t="shared" si="7"/>
        <v>22.223403402818228</v>
      </c>
    </row>
    <row r="105" spans="2:5" x14ac:dyDescent="0.15">
      <c r="B105" s="1">
        <f t="shared" si="4"/>
        <v>98</v>
      </c>
      <c r="C105" s="1">
        <f t="shared" si="5"/>
        <v>0.75968992248062017</v>
      </c>
      <c r="D105" s="1">
        <f t="shared" si="6"/>
        <v>-4.669446860023613</v>
      </c>
      <c r="E105" s="1">
        <f t="shared" si="7"/>
        <v>21.803733978584379</v>
      </c>
    </row>
    <row r="106" spans="2:5" x14ac:dyDescent="0.15">
      <c r="B106" s="1">
        <f t="shared" si="4"/>
        <v>99</v>
      </c>
      <c r="C106" s="1">
        <f t="shared" si="5"/>
        <v>0.76744186046511631</v>
      </c>
      <c r="D106" s="1">
        <f t="shared" si="6"/>
        <v>-4.6141429512154426</v>
      </c>
      <c r="E106" s="1">
        <f t="shared" si="7"/>
        <v>21.290315174251155</v>
      </c>
    </row>
    <row r="107" spans="2:5" x14ac:dyDescent="0.15">
      <c r="B107" s="1">
        <f t="shared" si="4"/>
        <v>100</v>
      </c>
      <c r="C107" s="1">
        <f t="shared" si="5"/>
        <v>0.77519379844961245</v>
      </c>
      <c r="D107" s="1">
        <f t="shared" si="6"/>
        <v>-4.5485549927776674</v>
      </c>
      <c r="E107" s="1">
        <f t="shared" si="7"/>
        <v>20.689352522322647</v>
      </c>
    </row>
    <row r="108" spans="2:5" x14ac:dyDescent="0.15">
      <c r="B108" s="1">
        <f t="shared" si="4"/>
        <v>101</v>
      </c>
      <c r="C108" s="1">
        <f t="shared" si="5"/>
        <v>0.78294573643410847</v>
      </c>
      <c r="D108" s="1">
        <f t="shared" si="6"/>
        <v>-4.4729994747500372</v>
      </c>
      <c r="E108" s="1">
        <f t="shared" si="7"/>
        <v>20.007724301114109</v>
      </c>
    </row>
    <row r="109" spans="2:5" x14ac:dyDescent="0.15">
      <c r="B109" s="1">
        <f t="shared" si="4"/>
        <v>102</v>
      </c>
      <c r="C109" s="1">
        <f t="shared" si="5"/>
        <v>0.79069767441860461</v>
      </c>
      <c r="D109" s="1">
        <f t="shared" si="6"/>
        <v>-4.3878120719329461</v>
      </c>
      <c r="E109" s="1">
        <f t="shared" si="7"/>
        <v>19.252894778600492</v>
      </c>
    </row>
    <row r="110" spans="2:5" x14ac:dyDescent="0.15">
      <c r="B110" s="1">
        <f t="shared" si="4"/>
        <v>103</v>
      </c>
      <c r="C110" s="1">
        <f t="shared" si="5"/>
        <v>0.79844961240310075</v>
      </c>
      <c r="D110" s="1">
        <f t="shared" si="6"/>
        <v>-4.2933465386918197</v>
      </c>
      <c r="E110" s="1">
        <f t="shared" si="7"/>
        <v>18.432824501297031</v>
      </c>
    </row>
    <row r="111" spans="2:5" x14ac:dyDescent="0.15">
      <c r="B111" s="1">
        <f t="shared" si="4"/>
        <v>104</v>
      </c>
      <c r="C111" s="1">
        <f t="shared" si="5"/>
        <v>0.80620155038759689</v>
      </c>
      <c r="D111" s="1">
        <f t="shared" si="6"/>
        <v>-4.1899735771345039</v>
      </c>
      <c r="E111" s="1">
        <f t="shared" si="7"/>
        <v>17.555878577085309</v>
      </c>
    </row>
    <row r="112" spans="2:5" x14ac:dyDescent="0.15">
      <c r="B112" s="1">
        <f t="shared" si="4"/>
        <v>105</v>
      </c>
      <c r="C112" s="1">
        <f t="shared" si="5"/>
        <v>0.81395348837209303</v>
      </c>
      <c r="D112" s="1">
        <f t="shared" si="6"/>
        <v>-4.0780796818026417</v>
      </c>
      <c r="E112" s="1">
        <f t="shared" si="7"/>
        <v>16.630733891131534</v>
      </c>
    </row>
    <row r="113" spans="2:5" x14ac:dyDescent="0.15">
      <c r="B113" s="1">
        <f t="shared" si="4"/>
        <v>106</v>
      </c>
      <c r="C113" s="1">
        <f t="shared" si="5"/>
        <v>0.82170542635658916</v>
      </c>
      <c r="D113" s="1">
        <f t="shared" si="6"/>
        <v>-3.9580659640263067</v>
      </c>
      <c r="E113" s="1">
        <f t="shared" si="7"/>
        <v>15.666286175583497</v>
      </c>
    </row>
    <row r="114" spans="2:5" x14ac:dyDescent="0.15">
      <c r="B114" s="1">
        <f t="shared" si="4"/>
        <v>107</v>
      </c>
      <c r="C114" s="1">
        <f t="shared" si="5"/>
        <v>0.8294573643410853</v>
      </c>
      <c r="D114" s="1">
        <f t="shared" si="6"/>
        <v>-3.8303469590918908</v>
      </c>
      <c r="E114" s="1">
        <f t="shared" si="7"/>
        <v>14.671557827024495</v>
      </c>
    </row>
    <row r="115" spans="2:5" x14ac:dyDescent="0.15">
      <c r="B115" s="1">
        <f t="shared" si="4"/>
        <v>108</v>
      </c>
      <c r="C115" s="1">
        <f t="shared" si="5"/>
        <v>0.83720930232558133</v>
      </c>
      <c r="D115" s="1">
        <f t="shared" si="6"/>
        <v>-3.6953494193661354</v>
      </c>
      <c r="E115" s="1">
        <f t="shared" si="7"/>
        <v>13.655607331209634</v>
      </c>
    </row>
    <row r="116" spans="2:5" x14ac:dyDescent="0.15">
      <c r="B116" s="1">
        <f t="shared" si="4"/>
        <v>109</v>
      </c>
      <c r="C116" s="1">
        <f t="shared" si="5"/>
        <v>0.84496124031007747</v>
      </c>
      <c r="D116" s="1">
        <f t="shared" si="6"/>
        <v>-3.5535110965048293</v>
      </c>
      <c r="E116" s="1">
        <f t="shared" si="7"/>
        <v>12.627441112982954</v>
      </c>
    </row>
    <row r="117" spans="2:5" x14ac:dyDescent="0.15">
      <c r="B117" s="1">
        <f t="shared" si="4"/>
        <v>110</v>
      </c>
      <c r="C117" s="1">
        <f t="shared" si="5"/>
        <v>0.8527131782945736</v>
      </c>
      <c r="D117" s="1">
        <f t="shared" si="6"/>
        <v>-3.4052795158528877</v>
      </c>
      <c r="E117" s="1">
        <f t="shared" si="7"/>
        <v>11.595928581087277</v>
      </c>
    </row>
    <row r="118" spans="2:5" x14ac:dyDescent="0.15">
      <c r="B118" s="1">
        <f t="shared" si="4"/>
        <v>111</v>
      </c>
      <c r="C118" s="1">
        <f t="shared" si="5"/>
        <v>0.86046511627906974</v>
      </c>
      <c r="D118" s="1">
        <f t="shared" si="6"/>
        <v>-3.2511107461135311</v>
      </c>
      <c r="E118" s="1">
        <f t="shared" si="7"/>
        <v>10.569721083494882</v>
      </c>
    </row>
    <row r="119" spans="2:5" x14ac:dyDescent="0.15">
      <c r="B119" s="1">
        <f t="shared" si="4"/>
        <v>112</v>
      </c>
      <c r="C119" s="1">
        <f t="shared" si="5"/>
        <v>0.86821705426356588</v>
      </c>
      <c r="D119" s="1">
        <f t="shared" si="6"/>
        <v>-3.0914681673284057</v>
      </c>
      <c r="E119" s="1">
        <f t="shared" si="7"/>
        <v>9.5571754296048521</v>
      </c>
    </row>
    <row r="120" spans="2:5" x14ac:dyDescent="0.15">
      <c r="B120" s="1">
        <f t="shared" si="4"/>
        <v>113</v>
      </c>
      <c r="C120" s="1">
        <f t="shared" si="5"/>
        <v>0.87596899224806202</v>
      </c>
      <c r="D120" s="1">
        <f t="shared" si="6"/>
        <v>-2.9268212401677274</v>
      </c>
      <c r="E120" s="1">
        <f t="shared" si="7"/>
        <v>8.566282571896954</v>
      </c>
    </row>
    <row r="121" spans="2:5" x14ac:dyDescent="0.15">
      <c r="B121" s="1">
        <f t="shared" si="4"/>
        <v>114</v>
      </c>
      <c r="C121" s="1">
        <f t="shared" si="5"/>
        <v>0.88372093023255816</v>
      </c>
      <c r="D121" s="1">
        <f t="shared" si="6"/>
        <v>-2.7576442794802833</v>
      </c>
      <c r="E121" s="1">
        <f t="shared" si="7"/>
        <v>7.6046019721503315</v>
      </c>
    </row>
    <row r="122" spans="2:5" x14ac:dyDescent="0.15">
      <c r="B122" s="1">
        <f t="shared" si="4"/>
        <v>115</v>
      </c>
      <c r="C122" s="1">
        <f t="shared" si="5"/>
        <v>0.89147286821705429</v>
      </c>
      <c r="D122" s="1">
        <f t="shared" si="6"/>
        <v>-2.584415234997373</v>
      </c>
      <c r="E122" s="1">
        <f t="shared" si="7"/>
        <v>6.6792021068865273</v>
      </c>
    </row>
    <row r="123" spans="2:5" x14ac:dyDescent="0.15">
      <c r="B123" s="1">
        <f t="shared" si="4"/>
        <v>116</v>
      </c>
      <c r="C123" s="1">
        <f t="shared" si="5"/>
        <v>0.89922480620155043</v>
      </c>
      <c r="D123" s="1">
        <f t="shared" si="6"/>
        <v>-2.4076144820230914</v>
      </c>
      <c r="E123" s="1">
        <f t="shared" si="7"/>
        <v>5.7966074940473185</v>
      </c>
    </row>
    <row r="124" spans="2:5" x14ac:dyDescent="0.15">
      <c r="B124" s="1">
        <f t="shared" si="4"/>
        <v>117</v>
      </c>
      <c r="C124" s="1">
        <f t="shared" si="5"/>
        <v>0.90697674418604646</v>
      </c>
      <c r="D124" s="1">
        <f t="shared" si="6"/>
        <v>-2.2277236248755985</v>
      </c>
      <c r="E124" s="1">
        <f t="shared" si="7"/>
        <v>4.9627525488288766</v>
      </c>
    </row>
    <row r="125" spans="2:5" x14ac:dyDescent="0.15">
      <c r="B125" s="1">
        <f t="shared" si="4"/>
        <v>118</v>
      </c>
      <c r="C125" s="1">
        <f t="shared" si="5"/>
        <v>0.9147286821705426</v>
      </c>
      <c r="D125" s="1">
        <f t="shared" si="6"/>
        <v>-2.0452243157707493</v>
      </c>
      <c r="E125" s="1">
        <f t="shared" si="7"/>
        <v>4.1829425018199293</v>
      </c>
    </row>
    <row r="126" spans="2:5" x14ac:dyDescent="0.15">
      <c r="B126" s="1">
        <f t="shared" si="4"/>
        <v>119</v>
      </c>
      <c r="C126" s="1">
        <f t="shared" si="5"/>
        <v>0.92248062015503873</v>
      </c>
      <c r="D126" s="1">
        <f t="shared" si="6"/>
        <v>-1.8605970917608314</v>
      </c>
      <c r="E126" s="1">
        <f t="shared" si="7"/>
        <v>3.4618215378688637</v>
      </c>
    </row>
    <row r="127" spans="2:5" x14ac:dyDescent="0.15">
      <c r="B127" s="1">
        <f t="shared" si="4"/>
        <v>120</v>
      </c>
      <c r="C127" s="1">
        <f t="shared" si="5"/>
        <v>0.93023255813953487</v>
      </c>
      <c r="D127" s="1">
        <f t="shared" si="6"/>
        <v>-1.6743202322572635</v>
      </c>
      <c r="E127" s="1">
        <f t="shared" si="7"/>
        <v>2.8033482401460166</v>
      </c>
    </row>
    <row r="128" spans="2:5" x14ac:dyDescent="0.15">
      <c r="B128" s="1">
        <f t="shared" si="4"/>
        <v>121</v>
      </c>
      <c r="C128" s="1">
        <f t="shared" si="5"/>
        <v>0.93798449612403101</v>
      </c>
      <c r="D128" s="1">
        <f t="shared" si="6"/>
        <v>-1.4868686395777106</v>
      </c>
      <c r="E128" s="1">
        <f t="shared" si="7"/>
        <v>2.2107783513596719</v>
      </c>
    </row>
    <row r="129" spans="2:5" x14ac:dyDescent="0.15">
      <c r="B129" s="1">
        <f t="shared" si="4"/>
        <v>122</v>
      </c>
      <c r="C129" s="1">
        <f t="shared" si="5"/>
        <v>0.94573643410852715</v>
      </c>
      <c r="D129" s="1">
        <f t="shared" si="6"/>
        <v>-1.2987127448647877</v>
      </c>
      <c r="E129" s="1">
        <f t="shared" si="7"/>
        <v>1.6866547936742311</v>
      </c>
    </row>
    <row r="130" spans="2:5" x14ac:dyDescent="0.15">
      <c r="B130" s="1">
        <f t="shared" si="4"/>
        <v>123</v>
      </c>
      <c r="C130" s="1">
        <f t="shared" si="5"/>
        <v>0.95348837209302328</v>
      </c>
      <c r="D130" s="1">
        <f t="shared" si="6"/>
        <v>-1.1103174416263157</v>
      </c>
      <c r="E130" s="1">
        <f t="shared" si="7"/>
        <v>1.232804821179607</v>
      </c>
    </row>
    <row r="131" spans="2:5" x14ac:dyDescent="0.15">
      <c r="B131" s="1">
        <f t="shared" si="4"/>
        <v>124</v>
      </c>
      <c r="C131" s="1">
        <f t="shared" si="5"/>
        <v>0.96124031007751931</v>
      </c>
      <c r="D131" s="1">
        <f t="shared" si="6"/>
        <v>-0.92214104904575767</v>
      </c>
      <c r="E131" s="1">
        <f t="shared" si="7"/>
        <v>0.8503441143352104</v>
      </c>
    </row>
    <row r="132" spans="2:5" x14ac:dyDescent="0.15">
      <c r="B132" s="1">
        <f t="shared" si="4"/>
        <v>125</v>
      </c>
      <c r="C132" s="1">
        <f t="shared" si="5"/>
        <v>0.96899224806201545</v>
      </c>
      <c r="D132" s="1">
        <f t="shared" si="6"/>
        <v>-0.73463430710657074</v>
      </c>
      <c r="E132" s="1">
        <f t="shared" si="7"/>
        <v>0.53968756517795125</v>
      </c>
    </row>
    <row r="133" spans="2:5" x14ac:dyDescent="0.15">
      <c r="B133" s="1">
        <f t="shared" si="4"/>
        <v>126</v>
      </c>
      <c r="C133" s="1">
        <f t="shared" si="5"/>
        <v>0.97674418604651159</v>
      </c>
      <c r="D133" s="1">
        <f t="shared" si="6"/>
        <v>-0.54823940546605798</v>
      </c>
      <c r="E133" s="1">
        <f t="shared" si="7"/>
        <v>0.30056644570577673</v>
      </c>
    </row>
    <row r="134" spans="2:5" x14ac:dyDescent="0.15">
      <c r="B134" s="1">
        <f t="shared" si="4"/>
        <v>127</v>
      </c>
      <c r="C134" s="1">
        <f t="shared" si="5"/>
        <v>0.98449612403100772</v>
      </c>
      <c r="D134" s="1">
        <f t="shared" si="6"/>
        <v>-0.36338904790294535</v>
      </c>
      <c r="E134" s="1">
        <f t="shared" si="7"/>
        <v>0.13205160013580911</v>
      </c>
    </row>
    <row r="135" spans="2:5" x14ac:dyDescent="0.15">
      <c r="B135" s="1">
        <f t="shared" si="4"/>
        <v>128</v>
      </c>
      <c r="C135" s="1">
        <f t="shared" si="5"/>
        <v>0.99224806201550386</v>
      </c>
      <c r="D135" s="1">
        <f t="shared" si="6"/>
        <v>-0.18050555404918345</v>
      </c>
      <c r="E135" s="1">
        <f t="shared" si="7"/>
        <v>3.258225504260269E-2</v>
      </c>
    </row>
    <row r="136" spans="2:5" x14ac:dyDescent="0.15">
      <c r="B136" s="1">
        <f t="shared" ref="B136" si="8">B135+1</f>
        <v>129</v>
      </c>
      <c r="C136" s="1">
        <f t="shared" si="5"/>
        <v>1</v>
      </c>
      <c r="D136" s="1">
        <f t="shared" si="6"/>
        <v>-9.0141385788767828E-16</v>
      </c>
      <c r="E136" s="1">
        <f t="shared" si="7"/>
        <v>8.1254694319194752E-31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Hand Calculation</vt:lpstr>
      <vt:lpstr>Trapezoidal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知花 チアゴ</dc:creator>
  <cp:lastModifiedBy>知花 チアゴ</cp:lastModifiedBy>
  <dcterms:created xsi:type="dcterms:W3CDTF">2025-11-27T08:02:32Z</dcterms:created>
  <dcterms:modified xsi:type="dcterms:W3CDTF">2025-11-27T10:43:49Z</dcterms:modified>
</cp:coreProperties>
</file>