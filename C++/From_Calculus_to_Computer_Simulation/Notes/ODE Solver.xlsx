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GitHub\Study_Area\C++\From_Calculus_to_Computer_Simulation\Notes\"/>
    </mc:Choice>
  </mc:AlternateContent>
  <xr:revisionPtr revIDLastSave="0" documentId="13_ncr:1_{26860CDE-96AC-4017-B826-DE046661C062}" xr6:coauthVersionLast="47" xr6:coauthVersionMax="47" xr10:uidLastSave="{00000000-0000-0000-0000-000000000000}"/>
  <bookViews>
    <workbookView xWindow="-120" yWindow="-120" windowWidth="29040" windowHeight="15720" activeTab="2" xr2:uid="{49F75804-1839-44C1-BD15-304E0EEB41D2}"/>
  </bookViews>
  <sheets>
    <sheet name="Euler Method" sheetId="1" r:id="rId1"/>
    <sheet name="Leapfrog Method" sheetId="2" r:id="rId2"/>
    <sheet name="Runge-Kutta (RK4)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4" l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B9" i="4"/>
  <c r="B10" i="4" s="1"/>
  <c r="C8" i="4"/>
  <c r="C9" i="2"/>
  <c r="A11" i="2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10" i="2"/>
  <c r="B9" i="2"/>
  <c r="B10" i="2" s="1"/>
  <c r="B11" i="2" s="1"/>
  <c r="D8" i="2"/>
  <c r="C8" i="2"/>
  <c r="A10" i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9" i="1"/>
  <c r="C8" i="1"/>
  <c r="D8" i="1" s="1"/>
  <c r="E8" i="1" s="1"/>
  <c r="C9" i="1" s="1"/>
  <c r="B9" i="1"/>
  <c r="B10" i="1" s="1"/>
  <c r="D8" i="4" l="1"/>
  <c r="E8" i="4"/>
  <c r="F8" i="4" s="1"/>
  <c r="G8" i="4" s="1"/>
  <c r="B11" i="4"/>
  <c r="D9" i="2"/>
  <c r="C10" i="2" s="1"/>
  <c r="D10" i="2" s="1"/>
  <c r="C11" i="2" s="1"/>
  <c r="D11" i="2" s="1"/>
  <c r="C12" i="2" s="1"/>
  <c r="B12" i="2"/>
  <c r="B11" i="1"/>
  <c r="D9" i="1"/>
  <c r="E9" i="1" s="1"/>
  <c r="C10" i="1" s="1"/>
  <c r="H8" i="4" l="1"/>
  <c r="C9" i="4" s="1"/>
  <c r="D9" i="4"/>
  <c r="E9" i="4" s="1"/>
  <c r="B12" i="4"/>
  <c r="B13" i="2"/>
  <c r="D12" i="2"/>
  <c r="C13" i="2" s="1"/>
  <c r="D10" i="1"/>
  <c r="E10" i="1" s="1"/>
  <c r="C11" i="1" s="1"/>
  <c r="B12" i="1"/>
  <c r="F9" i="4" l="1"/>
  <c r="G9" i="4" s="1"/>
  <c r="B13" i="4"/>
  <c r="D13" i="2"/>
  <c r="C14" i="2" s="1"/>
  <c r="B14" i="2"/>
  <c r="D11" i="1"/>
  <c r="E11" i="1" s="1"/>
  <c r="C12" i="1" s="1"/>
  <c r="B13" i="1"/>
  <c r="H9" i="4" l="1"/>
  <c r="C10" i="4" s="1"/>
  <c r="D10" i="4" s="1"/>
  <c r="E10" i="4"/>
  <c r="F10" i="4" s="1"/>
  <c r="G10" i="4" s="1"/>
  <c r="B14" i="4"/>
  <c r="D14" i="2"/>
  <c r="C15" i="2" s="1"/>
  <c r="B15" i="2"/>
  <c r="D12" i="1"/>
  <c r="E12" i="1" s="1"/>
  <c r="C13" i="1" s="1"/>
  <c r="B14" i="1"/>
  <c r="H10" i="4" l="1"/>
  <c r="C11" i="4" s="1"/>
  <c r="B15" i="4"/>
  <c r="B16" i="2"/>
  <c r="D15" i="2"/>
  <c r="C16" i="2" s="1"/>
  <c r="D13" i="1"/>
  <c r="E13" i="1" s="1"/>
  <c r="C14" i="1" s="1"/>
  <c r="B15" i="1"/>
  <c r="D11" i="4" l="1"/>
  <c r="E11" i="4" s="1"/>
  <c r="F11" i="4" s="1"/>
  <c r="G11" i="4"/>
  <c r="H11" i="4" s="1"/>
  <c r="C12" i="4" s="1"/>
  <c r="B16" i="4"/>
  <c r="D16" i="2"/>
  <c r="C17" i="2" s="1"/>
  <c r="B17" i="2"/>
  <c r="D14" i="1"/>
  <c r="E14" i="1" s="1"/>
  <c r="C15" i="1" s="1"/>
  <c r="B16" i="1"/>
  <c r="D12" i="4" l="1"/>
  <c r="E12" i="4"/>
  <c r="F12" i="4"/>
  <c r="G12" i="4"/>
  <c r="H12" i="4" s="1"/>
  <c r="C13" i="4" s="1"/>
  <c r="B17" i="4"/>
  <c r="D17" i="2"/>
  <c r="C18" i="2" s="1"/>
  <c r="B18" i="2"/>
  <c r="D15" i="1"/>
  <c r="E15" i="1" s="1"/>
  <c r="C16" i="1" s="1"/>
  <c r="B17" i="1"/>
  <c r="D13" i="4" l="1"/>
  <c r="E13" i="4"/>
  <c r="F13" i="4" s="1"/>
  <c r="G13" i="4" s="1"/>
  <c r="B18" i="4"/>
  <c r="D18" i="2"/>
  <c r="C19" i="2" s="1"/>
  <c r="B19" i="2"/>
  <c r="D16" i="1"/>
  <c r="E16" i="1" s="1"/>
  <c r="C17" i="1" s="1"/>
  <c r="B18" i="1"/>
  <c r="H13" i="4" l="1"/>
  <c r="C14" i="4" s="1"/>
  <c r="D14" i="4"/>
  <c r="E14" i="4"/>
  <c r="F14" i="4" s="1"/>
  <c r="G14" i="4" s="1"/>
  <c r="H14" i="4"/>
  <c r="C15" i="4" s="1"/>
  <c r="B19" i="4"/>
  <c r="D19" i="2"/>
  <c r="C20" i="2" s="1"/>
  <c r="B20" i="2"/>
  <c r="D17" i="1"/>
  <c r="E17" i="1" s="1"/>
  <c r="C18" i="1" s="1"/>
  <c r="B19" i="1"/>
  <c r="B20" i="4" l="1"/>
  <c r="D15" i="4"/>
  <c r="B21" i="2"/>
  <c r="D20" i="2"/>
  <c r="C21" i="2" s="1"/>
  <c r="D18" i="1"/>
  <c r="E18" i="1" s="1"/>
  <c r="C19" i="1" s="1"/>
  <c r="B20" i="1"/>
  <c r="B21" i="4" l="1"/>
  <c r="E15" i="4"/>
  <c r="F15" i="4" s="1"/>
  <c r="G15" i="4" s="1"/>
  <c r="D21" i="2"/>
  <c r="C22" i="2" s="1"/>
  <c r="B22" i="2"/>
  <c r="D19" i="1"/>
  <c r="E19" i="1" s="1"/>
  <c r="C20" i="1" s="1"/>
  <c r="B21" i="1"/>
  <c r="B22" i="4" l="1"/>
  <c r="H15" i="4"/>
  <c r="C16" i="4" s="1"/>
  <c r="D22" i="2"/>
  <c r="C23" i="2" s="1"/>
  <c r="B23" i="2"/>
  <c r="D20" i="1"/>
  <c r="E20" i="1" s="1"/>
  <c r="C21" i="1" s="1"/>
  <c r="B22" i="1"/>
  <c r="D16" i="4" l="1"/>
  <c r="E16" i="4"/>
  <c r="F16" i="4" s="1"/>
  <c r="G16" i="4" s="1"/>
  <c r="B23" i="4"/>
  <c r="D23" i="2"/>
  <c r="C24" i="2" s="1"/>
  <c r="B24" i="2"/>
  <c r="D21" i="1"/>
  <c r="E21" i="1" s="1"/>
  <c r="C22" i="1" s="1"/>
  <c r="B23" i="1"/>
  <c r="H16" i="4" l="1"/>
  <c r="C17" i="4" s="1"/>
  <c r="B24" i="4"/>
  <c r="D24" i="2"/>
  <c r="C25" i="2" s="1"/>
  <c r="B25" i="2"/>
  <c r="D22" i="1"/>
  <c r="E22" i="1" s="1"/>
  <c r="C23" i="1" s="1"/>
  <c r="B24" i="1"/>
  <c r="B25" i="4" l="1"/>
  <c r="D17" i="4"/>
  <c r="B26" i="2"/>
  <c r="D25" i="2"/>
  <c r="C26" i="2" s="1"/>
  <c r="D23" i="1"/>
  <c r="E23" i="1" s="1"/>
  <c r="C24" i="1" s="1"/>
  <c r="B25" i="1"/>
  <c r="B26" i="4" l="1"/>
  <c r="E17" i="4"/>
  <c r="F17" i="4" s="1"/>
  <c r="G17" i="4" s="1"/>
  <c r="D26" i="2"/>
  <c r="C27" i="2" s="1"/>
  <c r="B27" i="2"/>
  <c r="D24" i="1"/>
  <c r="E24" i="1" s="1"/>
  <c r="C25" i="1" s="1"/>
  <c r="B26" i="1"/>
  <c r="B27" i="4" l="1"/>
  <c r="H17" i="4"/>
  <c r="C18" i="4" s="1"/>
  <c r="D27" i="2"/>
  <c r="C28" i="2" s="1"/>
  <c r="B28" i="2"/>
  <c r="D25" i="1"/>
  <c r="E25" i="1" s="1"/>
  <c r="C26" i="1" s="1"/>
  <c r="B27" i="1"/>
  <c r="D18" i="4" l="1"/>
  <c r="E18" i="4"/>
  <c r="F18" i="4" s="1"/>
  <c r="G18" i="4" s="1"/>
  <c r="B28" i="4"/>
  <c r="D28" i="2"/>
  <c r="C29" i="2" s="1"/>
  <c r="B29" i="2"/>
  <c r="D26" i="1"/>
  <c r="E26" i="1" s="1"/>
  <c r="C27" i="1" s="1"/>
  <c r="B28" i="1"/>
  <c r="H18" i="4" l="1"/>
  <c r="C19" i="4" s="1"/>
  <c r="B29" i="4"/>
  <c r="D29" i="2"/>
  <c r="C30" i="2" s="1"/>
  <c r="B30" i="2"/>
  <c r="D27" i="1"/>
  <c r="E27" i="1" s="1"/>
  <c r="C28" i="1" s="1"/>
  <c r="B29" i="1"/>
  <c r="B30" i="4" l="1"/>
  <c r="D19" i="4"/>
  <c r="E19" i="4"/>
  <c r="F19" i="4" s="1"/>
  <c r="G19" i="4" s="1"/>
  <c r="B31" i="2"/>
  <c r="D30" i="2"/>
  <c r="C31" i="2" s="1"/>
  <c r="D28" i="1"/>
  <c r="E28" i="1" s="1"/>
  <c r="C29" i="1" s="1"/>
  <c r="D29" i="1" s="1"/>
  <c r="E29" i="1" s="1"/>
  <c r="C30" i="1" s="1"/>
  <c r="B30" i="1"/>
  <c r="H19" i="4" l="1"/>
  <c r="C20" i="4" s="1"/>
  <c r="B31" i="4"/>
  <c r="D31" i="2"/>
  <c r="C32" i="2" s="1"/>
  <c r="B32" i="2"/>
  <c r="B31" i="1"/>
  <c r="D30" i="1"/>
  <c r="E30" i="1" s="1"/>
  <c r="C31" i="1" s="1"/>
  <c r="B32" i="4" l="1"/>
  <c r="D20" i="4"/>
  <c r="D32" i="2"/>
  <c r="C33" i="2" s="1"/>
  <c r="B33" i="2"/>
  <c r="B32" i="1"/>
  <c r="D31" i="1"/>
  <c r="E31" i="1" s="1"/>
  <c r="C32" i="1" s="1"/>
  <c r="E20" i="4" l="1"/>
  <c r="F20" i="4" s="1"/>
  <c r="G20" i="4" s="1"/>
  <c r="B33" i="4"/>
  <c r="D33" i="2"/>
  <c r="C34" i="2" s="1"/>
  <c r="B34" i="2"/>
  <c r="B33" i="1"/>
  <c r="D32" i="1"/>
  <c r="E32" i="1" s="1"/>
  <c r="C33" i="1" s="1"/>
  <c r="B34" i="4" l="1"/>
  <c r="H20" i="4"/>
  <c r="C21" i="4" s="1"/>
  <c r="D34" i="2"/>
  <c r="C35" i="2" s="1"/>
  <c r="B35" i="2"/>
  <c r="B34" i="1"/>
  <c r="D33" i="1"/>
  <c r="E33" i="1" s="1"/>
  <c r="C34" i="1" s="1"/>
  <c r="D21" i="4" l="1"/>
  <c r="E21" i="4"/>
  <c r="F21" i="4" s="1"/>
  <c r="G21" i="4" s="1"/>
  <c r="B35" i="4"/>
  <c r="B36" i="2"/>
  <c r="D35" i="2"/>
  <c r="C36" i="2" s="1"/>
  <c r="B35" i="1"/>
  <c r="D34" i="1"/>
  <c r="E34" i="1" s="1"/>
  <c r="C35" i="1" s="1"/>
  <c r="H21" i="4" l="1"/>
  <c r="C22" i="4" s="1"/>
  <c r="B36" i="4"/>
  <c r="D36" i="2"/>
  <c r="C37" i="2" s="1"/>
  <c r="B37" i="2"/>
  <c r="B36" i="1"/>
  <c r="D35" i="1"/>
  <c r="E35" i="1" s="1"/>
  <c r="C36" i="1" s="1"/>
  <c r="B37" i="4" l="1"/>
  <c r="D22" i="4"/>
  <c r="D37" i="2"/>
  <c r="C38" i="2" s="1"/>
  <c r="B38" i="2"/>
  <c r="B37" i="1"/>
  <c r="D36" i="1"/>
  <c r="E36" i="1" s="1"/>
  <c r="C37" i="1" s="1"/>
  <c r="E22" i="4" l="1"/>
  <c r="F22" i="4" s="1"/>
  <c r="G22" i="4" s="1"/>
  <c r="B38" i="4"/>
  <c r="D38" i="2"/>
  <c r="C39" i="2" s="1"/>
  <c r="B39" i="2"/>
  <c r="B38" i="1"/>
  <c r="D37" i="1"/>
  <c r="E37" i="1" s="1"/>
  <c r="C38" i="1" s="1"/>
  <c r="B39" i="4" l="1"/>
  <c r="H22" i="4"/>
  <c r="C23" i="4" s="1"/>
  <c r="D39" i="2"/>
  <c r="C40" i="2" s="1"/>
  <c r="B40" i="2"/>
  <c r="B39" i="1"/>
  <c r="D38" i="1"/>
  <c r="E38" i="1" s="1"/>
  <c r="C39" i="1" s="1"/>
  <c r="B40" i="4" l="1"/>
  <c r="D23" i="4"/>
  <c r="B41" i="2"/>
  <c r="D40" i="2"/>
  <c r="C41" i="2" s="1"/>
  <c r="B40" i="1"/>
  <c r="D39" i="1"/>
  <c r="E39" i="1" s="1"/>
  <c r="C40" i="1" s="1"/>
  <c r="E23" i="4" l="1"/>
  <c r="F23" i="4" s="1"/>
  <c r="G23" i="4" s="1"/>
  <c r="B41" i="4"/>
  <c r="D41" i="2"/>
  <c r="C42" i="2" s="1"/>
  <c r="B42" i="2"/>
  <c r="B41" i="1"/>
  <c r="D40" i="1"/>
  <c r="E40" i="1" s="1"/>
  <c r="C41" i="1" s="1"/>
  <c r="B42" i="4" l="1"/>
  <c r="H23" i="4"/>
  <c r="C24" i="4" s="1"/>
  <c r="D42" i="2"/>
  <c r="C43" i="2" s="1"/>
  <c r="B43" i="2"/>
  <c r="B42" i="1"/>
  <c r="D41" i="1"/>
  <c r="E41" i="1" s="1"/>
  <c r="C42" i="1" s="1"/>
  <c r="D24" i="4" l="1"/>
  <c r="E24" i="4" s="1"/>
  <c r="F24" i="4" s="1"/>
  <c r="G24" i="4" s="1"/>
  <c r="B43" i="4"/>
  <c r="D43" i="2"/>
  <c r="C44" i="2" s="1"/>
  <c r="B44" i="2"/>
  <c r="B43" i="1"/>
  <c r="D42" i="1"/>
  <c r="E42" i="1" s="1"/>
  <c r="C43" i="1" s="1"/>
  <c r="H24" i="4" l="1"/>
  <c r="C25" i="4" s="1"/>
  <c r="B44" i="4"/>
  <c r="D44" i="2"/>
  <c r="C45" i="2" s="1"/>
  <c r="B45" i="2"/>
  <c r="B44" i="1"/>
  <c r="D43" i="1"/>
  <c r="E43" i="1" s="1"/>
  <c r="C44" i="1" s="1"/>
  <c r="B45" i="4" l="1"/>
  <c r="D25" i="4"/>
  <c r="B46" i="2"/>
  <c r="D45" i="2"/>
  <c r="C46" i="2" s="1"/>
  <c r="B45" i="1"/>
  <c r="D44" i="1"/>
  <c r="E44" i="1" s="1"/>
  <c r="C45" i="1" s="1"/>
  <c r="E25" i="4" l="1"/>
  <c r="F25" i="4" s="1"/>
  <c r="G25" i="4" s="1"/>
  <c r="B46" i="4"/>
  <c r="D46" i="2"/>
  <c r="C47" i="2" s="1"/>
  <c r="B47" i="2"/>
  <c r="B46" i="1"/>
  <c r="D45" i="1"/>
  <c r="E45" i="1" s="1"/>
  <c r="C46" i="1" s="1"/>
  <c r="B47" i="4" l="1"/>
  <c r="H25" i="4"/>
  <c r="C26" i="4" s="1"/>
  <c r="D47" i="2"/>
  <c r="C48" i="2" s="1"/>
  <c r="B48" i="2"/>
  <c r="D48" i="2" s="1"/>
  <c r="B47" i="1"/>
  <c r="D46" i="1"/>
  <c r="E46" i="1" s="1"/>
  <c r="C47" i="1" s="1"/>
  <c r="B48" i="4" l="1"/>
  <c r="D26" i="4"/>
  <c r="B48" i="1"/>
  <c r="D47" i="1"/>
  <c r="E47" i="1" s="1"/>
  <c r="C48" i="1" s="1"/>
  <c r="E26" i="4" l="1"/>
  <c r="F26" i="4" s="1"/>
  <c r="G26" i="4" s="1"/>
  <c r="D48" i="1"/>
  <c r="E48" i="1" s="1"/>
  <c r="H26" i="4" l="1"/>
  <c r="C27" i="4" s="1"/>
  <c r="D27" i="4" l="1"/>
  <c r="E27" i="4" l="1"/>
  <c r="F27" i="4" s="1"/>
  <c r="G27" i="4" s="1"/>
  <c r="H27" i="4" l="1"/>
  <c r="C28" i="4" s="1"/>
  <c r="D28" i="4" l="1"/>
  <c r="E28" i="4"/>
  <c r="F28" i="4" s="1"/>
  <c r="G28" i="4" s="1"/>
  <c r="H28" i="4" l="1"/>
  <c r="C29" i="4" s="1"/>
  <c r="D29" i="4" l="1"/>
  <c r="E29" i="4"/>
  <c r="F29" i="4" s="1"/>
  <c r="G29" i="4" s="1"/>
  <c r="H29" i="4" l="1"/>
  <c r="C30" i="4" s="1"/>
  <c r="D30" i="4" l="1"/>
  <c r="E30" i="4"/>
  <c r="F30" i="4"/>
  <c r="G30" i="4" s="1"/>
  <c r="H30" i="4" l="1"/>
  <c r="C31" i="4" s="1"/>
  <c r="D31" i="4" l="1"/>
  <c r="E31" i="4"/>
  <c r="F31" i="4" s="1"/>
  <c r="G31" i="4" s="1"/>
  <c r="H31" i="4" l="1"/>
  <c r="C32" i="4" s="1"/>
  <c r="D32" i="4" l="1"/>
  <c r="E32" i="4"/>
  <c r="F32" i="4" s="1"/>
  <c r="G32" i="4" s="1"/>
  <c r="H32" i="4" l="1"/>
  <c r="C33" i="4" s="1"/>
  <c r="D33" i="4" l="1"/>
  <c r="E33" i="4"/>
  <c r="F33" i="4" s="1"/>
  <c r="G33" i="4" s="1"/>
  <c r="H33" i="4" l="1"/>
  <c r="C34" i="4" s="1"/>
  <c r="D34" i="4" l="1"/>
  <c r="E34" i="4"/>
  <c r="F34" i="4" s="1"/>
  <c r="G34" i="4" s="1"/>
  <c r="H34" i="4" l="1"/>
  <c r="C35" i="4" s="1"/>
  <c r="D35" i="4" l="1"/>
  <c r="E35" i="4" l="1"/>
  <c r="F35" i="4" s="1"/>
  <c r="G35" i="4" s="1"/>
  <c r="H35" i="4" l="1"/>
  <c r="C36" i="4" s="1"/>
  <c r="D36" i="4" l="1"/>
  <c r="E36" i="4" l="1"/>
  <c r="F36" i="4" s="1"/>
  <c r="G36" i="4" s="1"/>
  <c r="H36" i="4" l="1"/>
  <c r="C37" i="4" s="1"/>
  <c r="D37" i="4" l="1"/>
  <c r="E37" i="4"/>
  <c r="F37" i="4" s="1"/>
  <c r="G37" i="4" s="1"/>
  <c r="H37" i="4" l="1"/>
  <c r="C38" i="4" s="1"/>
  <c r="D38" i="4" l="1"/>
  <c r="E38" i="4"/>
  <c r="F38" i="4" s="1"/>
  <c r="G38" i="4" s="1"/>
  <c r="H38" i="4" l="1"/>
  <c r="C39" i="4" s="1"/>
  <c r="D39" i="4" l="1"/>
  <c r="E39" i="4" l="1"/>
  <c r="F39" i="4" s="1"/>
  <c r="G39" i="4" s="1"/>
  <c r="H39" i="4" l="1"/>
  <c r="C40" i="4" s="1"/>
  <c r="D40" i="4" l="1"/>
  <c r="E40" i="4"/>
  <c r="F40" i="4"/>
  <c r="G40" i="4"/>
  <c r="H40" i="4" l="1"/>
  <c r="C41" i="4" s="1"/>
  <c r="D41" i="4"/>
  <c r="E41" i="4"/>
  <c r="F41" i="4" s="1"/>
  <c r="G41" i="4" s="1"/>
  <c r="H41" i="4" l="1"/>
  <c r="C42" i="4" s="1"/>
  <c r="D42" i="4" l="1"/>
  <c r="E42" i="4"/>
  <c r="F42" i="4" s="1"/>
  <c r="G42" i="4" s="1"/>
  <c r="H42" i="4" l="1"/>
  <c r="C43" i="4" s="1"/>
  <c r="D43" i="4" l="1"/>
  <c r="E43" i="4"/>
  <c r="F43" i="4" s="1"/>
  <c r="G43" i="4" s="1"/>
  <c r="H43" i="4" l="1"/>
  <c r="C44" i="4" s="1"/>
  <c r="D44" i="4" l="1"/>
  <c r="E44" i="4"/>
  <c r="F44" i="4" s="1"/>
  <c r="G44" i="4" s="1"/>
  <c r="H44" i="4" l="1"/>
  <c r="C45" i="4" s="1"/>
  <c r="D45" i="4" l="1"/>
  <c r="E45" i="4"/>
  <c r="F45" i="4"/>
  <c r="G45" i="4"/>
  <c r="H45" i="4" l="1"/>
  <c r="C46" i="4" s="1"/>
  <c r="D46" i="4"/>
  <c r="E46" i="4"/>
  <c r="F46" i="4"/>
  <c r="G46" i="4" s="1"/>
  <c r="H46" i="4" l="1"/>
  <c r="C47" i="4" s="1"/>
  <c r="D47" i="4" l="1"/>
  <c r="E47" i="4" s="1"/>
  <c r="F47" i="4" s="1"/>
  <c r="G47" i="4" s="1"/>
  <c r="H47" i="4" l="1"/>
  <c r="C48" i="4" s="1"/>
  <c r="D48" i="4" l="1"/>
  <c r="E48" i="4" l="1"/>
  <c r="F48" i="4" s="1"/>
  <c r="G48" i="4" s="1"/>
  <c r="H48" i="4" l="1"/>
</calcChain>
</file>

<file path=xl/sharedStrings.xml><?xml version="1.0" encoding="utf-8"?>
<sst xmlns="http://schemas.openxmlformats.org/spreadsheetml/2006/main" count="40" uniqueCount="19">
  <si>
    <t>Initial Condition</t>
    <phoneticPr fontId="1"/>
  </si>
  <si>
    <t>Superior Limit</t>
    <phoneticPr fontId="1"/>
  </si>
  <si>
    <t>Inferior Limit</t>
    <phoneticPr fontId="1"/>
  </si>
  <si>
    <t>Pitch</t>
    <phoneticPr fontId="1"/>
  </si>
  <si>
    <t>Iteration</t>
    <phoneticPr fontId="1"/>
  </si>
  <si>
    <t>f(y_n)</t>
    <phoneticPr fontId="1"/>
  </si>
  <si>
    <t>y_n+1</t>
    <phoneticPr fontId="1"/>
  </si>
  <si>
    <t>Initial Condition y(0) =</t>
    <phoneticPr fontId="1"/>
  </si>
  <si>
    <t>Equation dy/dx =</t>
    <phoneticPr fontId="1"/>
  </si>
  <si>
    <t>sin(t)-0.1y^2</t>
    <phoneticPr fontId="1"/>
  </si>
  <si>
    <t>Time(t)</t>
    <phoneticPr fontId="1"/>
  </si>
  <si>
    <t>y_n</t>
    <phoneticPr fontId="1"/>
  </si>
  <si>
    <t>Leapfrog start</t>
    <phoneticPr fontId="1"/>
  </si>
  <si>
    <t>Euler</t>
    <phoneticPr fontId="1"/>
  </si>
  <si>
    <t>Euler start</t>
    <phoneticPr fontId="1"/>
  </si>
  <si>
    <t>k1</t>
    <phoneticPr fontId="1"/>
  </si>
  <si>
    <t>k2</t>
    <phoneticPr fontId="1"/>
  </si>
  <si>
    <t>k3</t>
    <phoneticPr fontId="1"/>
  </si>
  <si>
    <t>k4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</si>
</sst>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color theme="1"/>
      <name val="Arial Unicode MS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'Euler Method'!$B$1</c:f>
              <c:strCache>
                <c:ptCount val="1"/>
                <c:pt idx="0">
                  <c:v>sin(t)-0.1y^2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'Euler Method'!$A$8:$A$48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'Euler Method'!$C$8:$C$48</c:f>
              <c:numCache>
                <c:formatCode>0.00</c:formatCode>
                <c:ptCount val="41"/>
                <c:pt idx="0">
                  <c:v>2</c:v>
                </c:pt>
                <c:pt idx="1">
                  <c:v>1.96</c:v>
                </c:pt>
                <c:pt idx="2">
                  <c:v>1.9315673416646828</c:v>
                </c:pt>
                <c:pt idx="3">
                  <c:v>1.9141247507903332</c:v>
                </c:pt>
                <c:pt idx="4">
                  <c:v>1.9070380358405856</c:v>
                </c:pt>
                <c:pt idx="5">
                  <c:v>1.9096119293700236</c:v>
                </c:pt>
                <c:pt idx="6">
                  <c:v>1.9210883060225208</c:v>
                </c:pt>
                <c:pt idx="7">
                  <c:v>1.9406467505666596</c:v>
                </c:pt>
                <c:pt idx="8">
                  <c:v>1.9674074211855794</c:v>
                </c:pt>
                <c:pt idx="9">
                  <c:v>2.000436110666171</c:v>
                </c:pt>
                <c:pt idx="10">
                  <c:v>2.0387513553003473</c:v>
                </c:pt>
                <c:pt idx="11">
                  <c:v>2.0813333828937468</c:v>
                </c:pt>
                <c:pt idx="12">
                  <c:v>2.1271346323924112</c:v>
                </c:pt>
                <c:pt idx="13">
                  <c:v>2.1750915235459019</c:v>
                </c:pt>
                <c:pt idx="14">
                  <c:v>2.2241371107296088</c:v>
                </c:pt>
                <c:pt idx="15">
                  <c:v>2.2732142248552085</c:v>
                </c:pt>
                <c:pt idx="16">
                  <c:v>2.3212886943947733</c:v>
                </c:pt>
                <c:pt idx="17">
                  <c:v>2.3673622426716738</c:v>
                </c:pt>
                <c:pt idx="18">
                  <c:v>2.4104846838366463</c:v>
                </c:pt>
                <c:pt idx="19">
                  <c:v>2.4497650828143551</c:v>
                </c:pt>
                <c:pt idx="20">
                  <c:v>2.4843816019733325</c:v>
                </c:pt>
                <c:pt idx="21">
                  <c:v>2.5135898252136646</c:v>
                </c:pt>
                <c:pt idx="22">
                  <c:v>2.5367294237843754</c:v>
                </c:pt>
                <c:pt idx="23">
                  <c:v>2.5532291024714002</c:v>
                </c:pt>
                <c:pt idx="24">
                  <c:v>2.5626098351920032</c:v>
                </c:pt>
                <c:pt idx="25">
                  <c:v>2.5644864615728906</c:v>
                </c:pt>
                <c:pt idx="26">
                  <c:v>2.5585677678673799</c:v>
                </c:pt>
                <c:pt idx="27">
                  <c:v>2.5446552148218275</c:v>
                </c:pt>
                <c:pt idx="28">
                  <c:v>2.5226405012220114</c:v>
                </c:pt>
                <c:pt idx="29">
                  <c:v>2.4925021652535455</c:v>
                </c:pt>
                <c:pt idx="30">
                  <c:v>2.4543014277370077</c:v>
                </c:pt>
                <c:pt idx="31">
                  <c:v>2.408177473561075</c:v>
                </c:pt>
                <c:pt idx="32">
                  <c:v>2.354342352362734</c:v>
                </c:pt>
                <c:pt idx="33">
                  <c:v>2.2930756588986871</c:v>
                </c:pt>
                <c:pt idx="34">
                  <c:v>2.2247191297100257</c:v>
                </c:pt>
                <c:pt idx="35">
                  <c:v>2.1496712674463652</c:v>
                </c:pt>
                <c:pt idx="36">
                  <c:v>2.0683820790965584</c:v>
                </c:pt>
                <c:pt idx="37">
                  <c:v>1.9813479905157949</c:v>
                </c:pt>
                <c:pt idx="38">
                  <c:v>1.8891069778297356</c:v>
                </c:pt>
                <c:pt idx="39">
                  <c:v>1.7922339369986136</c:v>
                </c:pt>
                <c:pt idx="40">
                  <c:v>1.6913362962309204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56-42B2-A81E-04711E1AE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5990360"/>
        <c:axId val="975992160"/>
      </c:scatterChart>
      <c:valAx>
        <c:axId val="975990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75992160"/>
        <c:crosses val="autoZero"/>
        <c:crossBetween val="midCat"/>
      </c:valAx>
      <c:valAx>
        <c:axId val="97599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75990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'Leapfrog Method'!$B$1</c:f>
              <c:strCache>
                <c:ptCount val="1"/>
                <c:pt idx="0">
                  <c:v>sin(t)-0.1y^2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'Leapfrog Method'!$A$8:$A$48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'Leapfrog Method'!$C$8:$C$48</c:f>
              <c:numCache>
                <c:formatCode>0.00</c:formatCode>
                <c:ptCount val="41"/>
                <c:pt idx="0">
                  <c:v>2</c:v>
                </c:pt>
                <c:pt idx="1">
                  <c:v>1.96</c:v>
                </c:pt>
                <c:pt idx="2">
                  <c:v>1.9431346833293657</c:v>
                </c:pt>
                <c:pt idx="3">
                  <c:v>1.9242184182078619</c:v>
                </c:pt>
                <c:pt idx="4">
                  <c:v>1.9281863942422264</c:v>
                </c:pt>
                <c:pt idx="5">
                  <c:v>1.9277440312507752</c:v>
                </c:pt>
                <c:pt idx="6">
                  <c:v>1.9497475609626072</c:v>
                </c:pt>
                <c:pt idx="7">
                  <c:v>1.9646422149001896</c:v>
                </c:pt>
                <c:pt idx="8">
                  <c:v>2.001394717758787</c:v>
                </c:pt>
                <c:pt idx="9">
                  <c:v>2.0280018167546388</c:v>
                </c:pt>
                <c:pt idx="10">
                  <c:v>2.0758042723090813</c:v>
                </c:pt>
                <c:pt idx="11">
                  <c:v>2.1101167461774852</c:v>
                </c:pt>
                <c:pt idx="12">
                  <c:v>2.1649938906713952</c:v>
                </c:pt>
                <c:pt idx="13">
                  <c:v>2.202780592438041</c:v>
                </c:pt>
                <c:pt idx="14">
                  <c:v>2.2606606809864003</c:v>
                </c:pt>
                <c:pt idx="15">
                  <c:v>2.2976588041445751</c:v>
                </c:pt>
                <c:pt idx="16">
                  <c:v>2.3545749587019498</c:v>
                </c:pt>
                <c:pt idx="17">
                  <c:v>2.3866930600299505</c:v>
                </c:pt>
                <c:pt idx="18">
                  <c:v>2.4389818455365408</c:v>
                </c:pt>
                <c:pt idx="19">
                  <c:v>2.4624899373484528</c:v>
                </c:pt>
                <c:pt idx="20">
                  <c:v>2.506964729243176</c:v>
                </c:pt>
                <c:pt idx="21">
                  <c:v>2.5186519796402029</c:v>
                </c:pt>
                <c:pt idx="22">
                  <c:v>2.5527344466820403</c:v>
                </c:pt>
                <c:pt idx="23">
                  <c:v>2.5500221972985795</c:v>
                </c:pt>
                <c:pt idx="24">
                  <c:v>2.5718232249830746</c:v>
                </c:pt>
                <c:pt idx="25">
                  <c:v>2.5528293393975625</c:v>
                </c:pt>
                <c:pt idx="26">
                  <c:v>2.5611789010820858</c:v>
                </c:pt>
                <c:pt idx="27">
                  <c:v>2.5247368664948944</c:v>
                </c:pt>
                <c:pt idx="28">
                  <c:v>2.5191689522280822</c:v>
                </c:pt>
                <c:pt idx="29">
                  <c:v>2.4648102523286766</c:v>
                </c:pt>
                <c:pt idx="30">
                  <c:v>2.4455130264711875</c:v>
                </c:pt>
                <c:pt idx="31">
                  <c:v>2.3734235746878443</c:v>
                </c:pt>
                <c:pt idx="32">
                  <c:v>2.341166369660165</c:v>
                </c:pt>
                <c:pt idx="33">
                  <c:v>2.2521275465937727</c:v>
                </c:pt>
                <c:pt idx="34">
                  <c:v>2.2081756611089851</c:v>
                </c:pt>
                <c:pt idx="35">
                  <c:v>2.1034985311821242</c:v>
                </c:pt>
                <c:pt idx="36">
                  <c:v>2.0495248941573538</c:v>
                </c:pt>
                <c:pt idx="37">
                  <c:v>1.930983396687739</c:v>
                </c:pt>
                <c:pt idx="38">
                  <c:v>1.8689837284099804</c:v>
                </c:pt>
                <c:pt idx="39">
                  <c:v>1.7387498149579694</c:v>
                </c:pt>
                <c:pt idx="40">
                  <c:v>1.6709654781928578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18-437A-826E-97AFA3895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5990360"/>
        <c:axId val="975992160"/>
      </c:scatterChart>
      <c:valAx>
        <c:axId val="975990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75992160"/>
        <c:crosses val="autoZero"/>
        <c:crossBetween val="midCat"/>
      </c:valAx>
      <c:valAx>
        <c:axId val="97599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75990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'Runge-Kutta (RK4)'!$B$1</c:f>
              <c:strCache>
                <c:ptCount val="1"/>
                <c:pt idx="0">
                  <c:v>sin(t)-0.1y^2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'Runge-Kutta (RK4)'!$A$8:$A$48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'Runge-Kutta (RK4)'!$C$8:$C$48</c:f>
              <c:numCache>
                <c:formatCode>0.00</c:formatCode>
                <c:ptCount val="41"/>
                <c:pt idx="0">
                  <c:v>2</c:v>
                </c:pt>
                <c:pt idx="1">
                  <c:v>1.9657150764408016</c:v>
                </c:pt>
                <c:pt idx="2">
                  <c:v>1.9425019367555729</c:v>
                </c:pt>
                <c:pt idx="3">
                  <c:v>1.9297783283994838</c:v>
                </c:pt>
                <c:pt idx="4">
                  <c:v>1.9268994271004871</c:v>
                </c:pt>
                <c:pt idx="5">
                  <c:v>1.9331559208438558</c:v>
                </c:pt>
                <c:pt idx="6">
                  <c:v>1.9477743544553452</c:v>
                </c:pt>
                <c:pt idx="7">
                  <c:v>1.9699196945819242</c:v>
                </c:pt>
                <c:pt idx="8">
                  <c:v>1.9987000294895954</c:v>
                </c:pt>
                <c:pt idx="9">
                  <c:v>2.0331732641048892</c:v>
                </c:pt>
                <c:pt idx="10">
                  <c:v>2.0723556126140816</c:v>
                </c:pt>
                <c:pt idx="11">
                  <c:v>2.1152316335698118</c:v>
                </c:pt>
                <c:pt idx="12">
                  <c:v>2.1607655007454296</c:v>
                </c:pt>
                <c:pt idx="13">
                  <c:v>2.2079131614672702</c:v>
                </c:pt>
                <c:pt idx="14">
                  <c:v>2.2556350066129705</c:v>
                </c:pt>
                <c:pt idx="15">
                  <c:v>2.3029086655207127</c:v>
                </c:pt>
                <c:pt idx="16">
                  <c:v>2.3487415459456096</c:v>
                </c:pt>
                <c:pt idx="17">
                  <c:v>2.3921827636559172</c:v>
                </c:pt>
                <c:pt idx="18">
                  <c:v>2.4323341465636519</c:v>
                </c:pt>
                <c:pt idx="19">
                  <c:v>2.4683600514750874</c:v>
                </c:pt>
                <c:pt idx="20">
                  <c:v>2.4994957937735816</c:v>
                </c:pt>
                <c:pt idx="21">
                  <c:v>2.5250545572791356</c:v>
                </c:pt>
                <c:pt idx="22">
                  <c:v>2.544432718795079</c:v>
                </c:pt>
                <c:pt idx="23">
                  <c:v>2.5571135854434863</c:v>
                </c:pt>
                <c:pt idx="24">
                  <c:v>2.5626695994812398</c:v>
                </c:pt>
                <c:pt idx="25">
                  <c:v>2.5607631124442962</c:v>
                </c:pt>
                <c:pt idx="26">
                  <c:v>2.5511458667369897</c:v>
                </c:pt>
                <c:pt idx="27">
                  <c:v>2.5336573476738011</c:v>
                </c:pt>
                <c:pt idx="28">
                  <c:v>2.5082221828464841</c:v>
                </c:pt>
                <c:pt idx="29">
                  <c:v>2.4748467695542931</c:v>
                </c:pt>
                <c:pt idx="30">
                  <c:v>2.4336153063894108</c:v>
                </c:pt>
                <c:pt idx="31">
                  <c:v>2.3846853936622403</c:v>
                </c:pt>
                <c:pt idx="32">
                  <c:v>2.3282833510024674</c:v>
                </c:pt>
                <c:pt idx="33">
                  <c:v>2.2646993809222629</c:v>
                </c:pt>
                <c:pt idx="34">
                  <c:v>2.1942826859282527</c:v>
                </c:pt>
                <c:pt idx="35">
                  <c:v>2.1174366252121737</c:v>
                </c:pt>
                <c:pt idx="36">
                  <c:v>2.0346139760424831</c:v>
                </c:pt>
                <c:pt idx="37">
                  <c:v>1.9463123454408731</c:v>
                </c:pt>
                <c:pt idx="38">
                  <c:v>1.853069760016621</c:v>
                </c:pt>
                <c:pt idx="39">
                  <c:v>1.7554604461817993</c:v>
                </c:pt>
                <c:pt idx="40">
                  <c:v>1.6540907994363609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97-4319-9A4E-557C65F2B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5990360"/>
        <c:axId val="975992160"/>
      </c:scatterChart>
      <c:valAx>
        <c:axId val="975990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75992160"/>
        <c:crosses val="autoZero"/>
        <c:crossBetween val="midCat"/>
      </c:valAx>
      <c:valAx>
        <c:axId val="97599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75990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676275</xdr:colOff>
      <xdr:row>1</xdr:row>
      <xdr:rowOff>0</xdr:rowOff>
    </xdr:from>
    <xdr:to>
      <xdr:col>13</xdr:col>
      <xdr:colOff>447675</xdr:colOff>
      <xdr:row>14</xdr:row>
      <xdr:rowOff>19050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785D476-5DA7-D177-44E6-8002AC5C5C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523874</xdr:colOff>
      <xdr:row>1</xdr:row>
      <xdr:rowOff>38098</xdr:rowOff>
    </xdr:from>
    <xdr:ext cx="2009775" cy="6096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6804B341-35DA-5702-1543-C4EEB62C9E04}"/>
                </a:ext>
              </a:extLst>
            </xdr:cNvPr>
            <xdr:cNvSpPr txBox="1"/>
          </xdr:nvSpPr>
          <xdr:spPr>
            <a:xfrm>
              <a:off x="2943224" y="247648"/>
              <a:ext cx="2009775" cy="6096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𝐸𝑢𝑙𝑒𝑟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𝑀𝑒𝑡h𝑜𝑑</m:t>
                    </m:r>
                  </m:oMath>
                </m:oMathPara>
              </a14:m>
              <a:endParaRPr kumimoji="1" lang="en-US" altLang="ja-JP" sz="1100" b="0" i="1">
                <a:latin typeface="Cambria Math" panose="02040503050406030204" pitchFamily="18" charset="0"/>
              </a:endParaRPr>
            </a:p>
            <a:p>
              <a:endParaRPr kumimoji="1" lang="en-US" altLang="ja-JP" sz="1100" i="1">
                <a:latin typeface="Cambria Math" panose="02040503050406030204" pitchFamily="18" charset="0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kumimoji="1" lang="en-US" altLang="ja-JP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h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.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𝑓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kumimoji="1" lang="ja-JP" altLang="en-US" sz="1100"/>
            </a:p>
          </xdr:txBody>
        </xdr:sp>
      </mc:Choice>
      <mc:Fallback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6804B341-35DA-5702-1543-C4EEB62C9E04}"/>
                </a:ext>
              </a:extLst>
            </xdr:cNvPr>
            <xdr:cNvSpPr txBox="1"/>
          </xdr:nvSpPr>
          <xdr:spPr>
            <a:xfrm>
              <a:off x="2943224" y="247648"/>
              <a:ext cx="2009775" cy="6096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kumimoji="1" lang="en-US" altLang="ja-JP" sz="1100" b="0" i="0">
                  <a:latin typeface="Cambria Math" panose="02040503050406030204" pitchFamily="18" charset="0"/>
                </a:rPr>
                <a:t>𝐸𝑢𝑙𝑒𝑟 𝑀𝑒𝑡ℎ𝑜𝑑</a:t>
              </a:r>
              <a:endParaRPr kumimoji="1" lang="en-US" altLang="ja-JP" sz="1100" b="0" i="1">
                <a:latin typeface="Cambria Math" panose="02040503050406030204" pitchFamily="18" charset="0"/>
              </a:endParaRPr>
            </a:p>
            <a:p>
              <a:endParaRPr kumimoji="1" lang="en-US" altLang="ja-JP" sz="1100" i="1">
                <a:latin typeface="Cambria Math" panose="02040503050406030204" pitchFamily="18" charset="0"/>
              </a:endParaRPr>
            </a:p>
            <a:p>
              <a:r>
                <a:rPr kumimoji="1" lang="en-US" altLang="ja-JP" sz="1100" b="0" i="0">
                  <a:latin typeface="Cambria Math" panose="02040503050406030204" pitchFamily="18" charset="0"/>
                </a:rPr>
                <a:t>𝑦_(𝑛+1)=𝑦_𝑛+ℎ.𝑓(𝑡_𝑛,𝑦_𝑛)</a:t>
              </a:r>
              <a:endParaRPr kumimoji="1" lang="ja-JP" alt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0</xdr:row>
      <xdr:rowOff>200025</xdr:rowOff>
    </xdr:from>
    <xdr:to>
      <xdr:col>12</xdr:col>
      <xdr:colOff>466725</xdr:colOff>
      <xdr:row>14</xdr:row>
      <xdr:rowOff>9525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F10BD85-496C-4753-95BA-5A21C51606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438150</xdr:colOff>
      <xdr:row>1</xdr:row>
      <xdr:rowOff>76200</xdr:rowOff>
    </xdr:from>
    <xdr:ext cx="2028825" cy="58069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F4BD2D4B-9558-3FC8-7B24-BBCB042CEAA9}"/>
                </a:ext>
              </a:extLst>
            </xdr:cNvPr>
            <xdr:cNvSpPr txBox="1"/>
          </xdr:nvSpPr>
          <xdr:spPr>
            <a:xfrm>
              <a:off x="2857500" y="285750"/>
              <a:ext cx="2028825" cy="5806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𝐿𝑒𝑎𝑝𝑓𝑟𝑜𝑔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𝑀𝑒𝑡h𝑜𝑑</m:t>
                    </m:r>
                  </m:oMath>
                </m:oMathPara>
              </a14:m>
              <a:endParaRPr kumimoji="1" lang="en-US" altLang="ja-JP" sz="1100" b="0" i="1">
                <a:latin typeface="Cambria Math" panose="02040503050406030204" pitchFamily="18" charset="0"/>
              </a:endParaRPr>
            </a:p>
            <a:p>
              <a:endParaRPr kumimoji="1" lang="en-US" altLang="ja-JP" sz="1100" i="1">
                <a:latin typeface="Cambria Math" panose="02040503050406030204" pitchFamily="18" charset="0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kumimoji="1" lang="en-US" altLang="ja-JP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kumimoji="1" lang="en-US" altLang="ja-JP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𝑦</m:t>
                        </m:r>
                      </m:e>
                      <m:sub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𝑛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+2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h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𝑓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>
                      <m:sSubPr>
                        <m:ctrlP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e>
                      <m:sub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</m:sub>
                    </m:sSub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sSub>
                      <m:sSubPr>
                        <m:ctrlP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</m:e>
                      <m:sub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</m:sub>
                    </m:sSub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kumimoji="1" lang="ja-JP" altLang="en-US" sz="1100"/>
            </a:p>
          </xdr:txBody>
        </xdr:sp>
      </mc:Choice>
      <mc:Fallback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F4BD2D4B-9558-3FC8-7B24-BBCB042CEAA9}"/>
                </a:ext>
              </a:extLst>
            </xdr:cNvPr>
            <xdr:cNvSpPr txBox="1"/>
          </xdr:nvSpPr>
          <xdr:spPr>
            <a:xfrm>
              <a:off x="2857500" y="285750"/>
              <a:ext cx="2028825" cy="5806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kumimoji="1" lang="en-US" altLang="ja-JP" sz="1100" b="0" i="0">
                  <a:latin typeface="Cambria Math" panose="02040503050406030204" pitchFamily="18" charset="0"/>
                </a:rPr>
                <a:t>𝐿𝑒𝑎𝑝𝑓𝑟𝑜𝑔 𝑀𝑒𝑡ℎ𝑜𝑑</a:t>
              </a:r>
              <a:endParaRPr kumimoji="1" lang="en-US" altLang="ja-JP" sz="1100" b="0" i="1">
                <a:latin typeface="Cambria Math" panose="02040503050406030204" pitchFamily="18" charset="0"/>
              </a:endParaRPr>
            </a:p>
            <a:p>
              <a:endParaRPr kumimoji="1" lang="en-US" altLang="ja-JP" sz="1100" i="1">
                <a:latin typeface="Cambria Math" panose="02040503050406030204" pitchFamily="18" charset="0"/>
              </a:endParaRPr>
            </a:p>
            <a:p>
              <a:r>
                <a:rPr kumimoji="1" lang="en-US" altLang="ja-JP" sz="1100" b="0" i="0">
                  <a:latin typeface="Cambria Math" panose="02040503050406030204" pitchFamily="18" charset="0"/>
                </a:rPr>
                <a:t>𝑦_(𝑛+1)=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𝑦_(𝑛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1)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+2ℎ.𝑓(𝑡_𝑛,𝑦_𝑛)</a:t>
              </a:r>
              <a:endParaRPr kumimoji="1" lang="ja-JP" altLang="en-US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1</xdr:row>
      <xdr:rowOff>28575</xdr:rowOff>
    </xdr:from>
    <xdr:to>
      <xdr:col>15</xdr:col>
      <xdr:colOff>495300</xdr:colOff>
      <xdr:row>13</xdr:row>
      <xdr:rowOff>47625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909F158-849D-4207-A471-FCA6D7254F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76200</xdr:colOff>
      <xdr:row>16</xdr:row>
      <xdr:rowOff>38099</xdr:rowOff>
    </xdr:from>
    <xdr:ext cx="2771775" cy="266700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EFFB1963-8950-41CA-9E96-DECFA78B5030}"/>
                </a:ext>
              </a:extLst>
            </xdr:cNvPr>
            <xdr:cNvSpPr txBox="1"/>
          </xdr:nvSpPr>
          <xdr:spPr>
            <a:xfrm>
              <a:off x="7943850" y="3390899"/>
              <a:ext cx="2771775" cy="26670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𝑅𝑢𝑛𝑔𝑒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-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𝐾𝑢𝑡𝑡𝑎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𝑅𝐾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4)</m:t>
                    </m:r>
                  </m:oMath>
                </m:oMathPara>
              </a14:m>
              <a:endParaRPr kumimoji="1" lang="en-US" altLang="ja-JP" sz="1100" i="1">
                <a:latin typeface="Cambria Math" panose="02040503050406030204" pitchFamily="18" charset="0"/>
              </a:endParaRPr>
            </a:p>
            <a:p>
              <a:endParaRPr kumimoji="1" lang="en-US" altLang="ja-JP" sz="1100" i="1">
                <a:latin typeface="Cambria Math" panose="02040503050406030204" pitchFamily="18" charset="0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kumimoji="1" lang="en-US" altLang="ja-JP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kumimoji="1" lang="en-US" altLang="ja-JP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𝑦</m:t>
                        </m:r>
                      </m:e>
                      <m:sub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𝑛</m:t>
                        </m:r>
                      </m:sub>
                    </m:sSub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</m:t>
                        </m:r>
                      </m:num>
                      <m:den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6</m:t>
                        </m:r>
                      </m:den>
                    </m:f>
                    <m:d>
                      <m:dPr>
                        <m:ctrlP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𝑘</m:t>
                            </m:r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+2</m:t>
                        </m:r>
                        <m:sSub>
                          <m:sSub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𝑘</m:t>
                            </m:r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+2</m:t>
                        </m:r>
                        <m:sSub>
                          <m:sSub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𝑘</m:t>
                            </m:r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3</m:t>
                            </m:r>
                          </m:sub>
                        </m:sSub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𝑘</m:t>
                            </m:r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</m:sSub>
                      </m:e>
                    </m:d>
                  </m:oMath>
                </m:oMathPara>
              </a14:m>
              <a:endParaRPr kumimoji="1" lang="en-US" altLang="ja-JP" sz="1100" b="0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  <a:p>
              <a:endParaRPr kumimoji="1" lang="en-US" altLang="ja-JP" sz="11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𝑘</m:t>
                        </m:r>
                      </m:e>
                      <m:sub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𝑓</m:t>
                    </m:r>
                    <m:d>
                      <m:dPr>
                        <m:ctrlP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sub>
                        </m:sSub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sSub>
                          <m:sSub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sub>
                        </m:sSub>
                      </m:e>
                    </m:d>
                  </m:oMath>
                </m:oMathPara>
              </a14:m>
              <a:endParaRPr kumimoji="1" lang="en-US" altLang="ja-JP" sz="1100" b="0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  <a:p>
              <a:endParaRPr kumimoji="1" lang="en-US" altLang="ja-JP" sz="11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𝑘</m:t>
                        </m:r>
                      </m:e>
                      <m:sub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𝑓</m:t>
                    </m:r>
                    <m:d>
                      <m:dPr>
                        <m:ctrlP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sub>
                        </m:sSub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f>
                          <m:f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h</m:t>
                            </m:r>
                          </m:num>
                          <m:den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den>
                        </m:f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sSub>
                          <m:sSub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sub>
                        </m:sSub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f>
                          <m:f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h</m:t>
                            </m:r>
                          </m:num>
                          <m:den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den>
                        </m:f>
                        <m:sSub>
                          <m:sSub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𝑘</m:t>
                            </m:r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</m:e>
                    </m:d>
                  </m:oMath>
                </m:oMathPara>
              </a14:m>
              <a:endParaRPr kumimoji="1" lang="en-US" altLang="ja-JP" sz="1100" b="0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  <a:p>
              <a:endParaRPr kumimoji="1" lang="en-US" altLang="ja-JP" sz="11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𝑘</m:t>
                        </m:r>
                      </m:e>
                      <m:sub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</m:sSub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𝑓</m:t>
                    </m:r>
                    <m:d>
                      <m:dPr>
                        <m:ctrlP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𝑡</m:t>
                            </m:r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</m:sub>
                        </m:sSub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+</m:t>
                        </m:r>
                        <m:f>
                          <m:f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h</m:t>
                            </m:r>
                          </m:num>
                          <m:den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den>
                        </m:f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sSub>
                          <m:sSub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</m:sub>
                        </m:sSub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+</m:t>
                        </m:r>
                        <m:f>
                          <m:f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h</m:t>
                            </m:r>
                          </m:num>
                          <m:den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den>
                        </m:f>
                        <m:sSub>
                          <m:sSub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𝑘</m:t>
                            </m:r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</m:e>
                    </m:d>
                  </m:oMath>
                </m:oMathPara>
              </a14:m>
              <a:endParaRPr kumimoji="1" lang="en-US" altLang="ja-JP" sz="11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kumimoji="1" lang="en-US" altLang="ja-JP" sz="11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𝑘</m:t>
                        </m:r>
                      </m:e>
                      <m:sub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sub>
                    </m:sSub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𝑓</m:t>
                    </m:r>
                    <m:d>
                      <m:dPr>
                        <m:ctrlP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𝑡</m:t>
                            </m:r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</m:sub>
                        </m:sSub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sSub>
                          <m:sSub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</m:sub>
                        </m:sSub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</m:t>
                        </m:r>
                        <m:sSub>
                          <m:sSub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𝑘</m:t>
                            </m:r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b>
                        </m:sSub>
                      </m:e>
                    </m:d>
                  </m:oMath>
                </m:oMathPara>
              </a14:m>
              <a:endParaRPr kumimoji="1" lang="ja-JP" altLang="en-US" sz="1100"/>
            </a:p>
          </xdr:txBody>
        </xdr:sp>
      </mc:Choice>
      <mc:Fallback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EFFB1963-8950-41CA-9E96-DECFA78B5030}"/>
                </a:ext>
              </a:extLst>
            </xdr:cNvPr>
            <xdr:cNvSpPr txBox="1"/>
          </xdr:nvSpPr>
          <xdr:spPr>
            <a:xfrm>
              <a:off x="7943850" y="3390899"/>
              <a:ext cx="2771775" cy="26670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kumimoji="1" lang="en-US" altLang="ja-JP" sz="1100" b="0" i="0">
                  <a:latin typeface="Cambria Math" panose="02040503050406030204" pitchFamily="18" charset="0"/>
                </a:rPr>
                <a:t>𝑅𝑢𝑛𝑔𝑒-𝐾𝑢𝑡𝑡𝑎 (𝑅𝐾4)</a:t>
              </a:r>
              <a:endParaRPr kumimoji="1" lang="en-US" altLang="ja-JP" sz="1100" i="1">
                <a:latin typeface="Cambria Math" panose="02040503050406030204" pitchFamily="18" charset="0"/>
              </a:endParaRPr>
            </a:p>
            <a:p>
              <a:endParaRPr kumimoji="1" lang="en-US" altLang="ja-JP" sz="1100" i="1">
                <a:latin typeface="Cambria Math" panose="02040503050406030204" pitchFamily="18" charset="0"/>
              </a:endParaRPr>
            </a:p>
            <a:p>
              <a:r>
                <a:rPr kumimoji="1" lang="en-US" altLang="ja-JP" sz="1100" b="0" i="0">
                  <a:latin typeface="Cambria Math" panose="02040503050406030204" pitchFamily="18" charset="0"/>
                </a:rPr>
                <a:t>𝑦_(𝑛+1)=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𝑦_𝑛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+ℎ/6 (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𝑘_1+2𝑘_2+2𝑘_3+𝑘_4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endParaRPr kumimoji="1" lang="en-US" altLang="ja-JP" sz="1100" b="0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  <a:p>
              <a:endParaRPr kumimoji="1" lang="en-US" altLang="ja-JP" sz="11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𝑘_1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=𝑓(𝑡_𝑛,𝑦_𝑛 )</a:t>
              </a:r>
              <a:endParaRPr kumimoji="1" lang="en-US" altLang="ja-JP" sz="1100" b="0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  <a:p>
              <a:endParaRPr kumimoji="1" lang="en-US" altLang="ja-JP" sz="11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𝑘_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2=𝑓(𝑡_𝑛+ℎ/2,𝑦_𝑛+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ℎ/2 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𝑘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1 )</a:t>
              </a:r>
              <a:endParaRPr kumimoji="1" lang="en-US" altLang="ja-JP" sz="1100" b="0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  <a:p>
              <a:endParaRPr kumimoji="1" lang="en-US" altLang="ja-JP" sz="11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𝑘_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=𝑓(𝑡_𝑛+ℎ/2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𝑦_𝑛+ℎ/2 𝑘_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)</a:t>
              </a:r>
              <a:endParaRPr kumimoji="1" lang="en-US" altLang="ja-JP" sz="11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kumimoji="1" lang="en-US" altLang="ja-JP" sz="11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𝑘_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=𝑓(𝑡_𝑛+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ℎ,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𝑦_𝑛+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𝑘_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)</a:t>
              </a:r>
              <a:endParaRPr kumimoji="1" lang="ja-JP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5B250-16ED-4D65-AC10-E484B725A84E}">
  <dimension ref="A1:F48"/>
  <sheetViews>
    <sheetView workbookViewId="0">
      <selection activeCell="I22" sqref="I22"/>
    </sheetView>
  </sheetViews>
  <sheetFormatPr defaultRowHeight="16.5" x14ac:dyDescent="0.15"/>
  <cols>
    <col min="1" max="1" width="20" style="1" bestFit="1" customWidth="1"/>
    <col min="2" max="2" width="11.75" style="1" bestFit="1" customWidth="1"/>
    <col min="3" max="5" width="9" style="1"/>
    <col min="6" max="6" width="14" style="1" bestFit="1" customWidth="1"/>
    <col min="7" max="16384" width="9" style="1"/>
  </cols>
  <sheetData>
    <row r="1" spans="1:6" x14ac:dyDescent="0.15">
      <c r="A1" s="1" t="s">
        <v>8</v>
      </c>
      <c r="B1" s="1" t="s">
        <v>9</v>
      </c>
    </row>
    <row r="2" spans="1:6" x14ac:dyDescent="0.15">
      <c r="A2" s="1" t="s">
        <v>7</v>
      </c>
      <c r="B2" s="1">
        <v>2</v>
      </c>
    </row>
    <row r="3" spans="1:6" x14ac:dyDescent="0.15">
      <c r="A3" s="1" t="s">
        <v>1</v>
      </c>
      <c r="B3" s="1">
        <v>4</v>
      </c>
    </row>
    <row r="4" spans="1:6" x14ac:dyDescent="0.15">
      <c r="A4" s="1" t="s">
        <v>2</v>
      </c>
      <c r="B4" s="1">
        <v>0</v>
      </c>
    </row>
    <row r="5" spans="1:6" x14ac:dyDescent="0.15">
      <c r="A5" s="1" t="s">
        <v>3</v>
      </c>
      <c r="B5" s="1">
        <v>0.1</v>
      </c>
    </row>
    <row r="7" spans="1:6" x14ac:dyDescent="0.15">
      <c r="A7" s="2" t="s">
        <v>4</v>
      </c>
      <c r="B7" s="2" t="s">
        <v>10</v>
      </c>
      <c r="C7" s="2" t="s">
        <v>11</v>
      </c>
      <c r="D7" s="2" t="s">
        <v>5</v>
      </c>
      <c r="E7" s="2" t="s">
        <v>6</v>
      </c>
    </row>
    <row r="8" spans="1:6" x14ac:dyDescent="0.15">
      <c r="A8" s="2">
        <v>0</v>
      </c>
      <c r="B8" s="2">
        <v>0</v>
      </c>
      <c r="C8" s="3">
        <f>$B$2</f>
        <v>2</v>
      </c>
      <c r="D8" s="3">
        <f>SIN(B8)-0.1*C8^2</f>
        <v>-0.4</v>
      </c>
      <c r="E8" s="3">
        <f>C8+D8*$B$5</f>
        <v>1.96</v>
      </c>
      <c r="F8" s="1" t="s">
        <v>0</v>
      </c>
    </row>
    <row r="9" spans="1:6" x14ac:dyDescent="0.15">
      <c r="A9" s="2">
        <f>A8+1</f>
        <v>1</v>
      </c>
      <c r="B9" s="2">
        <f>B8+$B$5</f>
        <v>0.1</v>
      </c>
      <c r="C9" s="3">
        <f>E8</f>
        <v>1.96</v>
      </c>
      <c r="D9" s="3">
        <f>SIN(B9)-0.1*C9^2</f>
        <v>-0.28432658335317185</v>
      </c>
      <c r="E9" s="3">
        <f>C9+D9*$B$5</f>
        <v>1.9315673416646828</v>
      </c>
      <c r="F9" s="1" t="s">
        <v>14</v>
      </c>
    </row>
    <row r="10" spans="1:6" x14ac:dyDescent="0.15">
      <c r="A10" s="2">
        <f t="shared" ref="A10:A28" si="0">A9+1</f>
        <v>2</v>
      </c>
      <c r="B10" s="2">
        <f t="shared" ref="B10:B28" si="1">B9+$B$5</f>
        <v>0.2</v>
      </c>
      <c r="C10" s="3">
        <f t="shared" ref="C10:C13" si="2">E9</f>
        <v>1.9315673416646828</v>
      </c>
      <c r="D10" s="3">
        <f t="shared" ref="D10:D13" si="3">SIN(B10)-0.1*C10^2</f>
        <v>-0.17442590874349573</v>
      </c>
      <c r="E10" s="3">
        <f t="shared" ref="E10:E13" si="4">C10+D10*$B$5</f>
        <v>1.9141247507903332</v>
      </c>
    </row>
    <row r="11" spans="1:6" x14ac:dyDescent="0.15">
      <c r="A11" s="2">
        <f t="shared" si="0"/>
        <v>3</v>
      </c>
      <c r="B11" s="2">
        <f t="shared" si="1"/>
        <v>0.30000000000000004</v>
      </c>
      <c r="C11" s="3">
        <f t="shared" si="2"/>
        <v>1.9141247507903332</v>
      </c>
      <c r="D11" s="3">
        <f t="shared" si="3"/>
        <v>-7.0867149497475967E-2</v>
      </c>
      <c r="E11" s="3">
        <f t="shared" si="4"/>
        <v>1.9070380358405856</v>
      </c>
    </row>
    <row r="12" spans="1:6" x14ac:dyDescent="0.15">
      <c r="A12" s="2">
        <f t="shared" si="0"/>
        <v>4</v>
      </c>
      <c r="B12" s="2">
        <f t="shared" si="1"/>
        <v>0.4</v>
      </c>
      <c r="C12" s="3">
        <f t="shared" si="2"/>
        <v>1.9070380358405856</v>
      </c>
      <c r="D12" s="3">
        <f t="shared" si="3"/>
        <v>2.5738935294378595E-2</v>
      </c>
      <c r="E12" s="3">
        <f t="shared" si="4"/>
        <v>1.9096119293700236</v>
      </c>
    </row>
    <row r="13" spans="1:6" x14ac:dyDescent="0.15">
      <c r="A13" s="2">
        <f t="shared" si="0"/>
        <v>5</v>
      </c>
      <c r="B13" s="2">
        <f t="shared" si="1"/>
        <v>0.5</v>
      </c>
      <c r="C13" s="3">
        <f t="shared" si="2"/>
        <v>1.9096119293700236</v>
      </c>
      <c r="D13" s="3">
        <f t="shared" si="3"/>
        <v>0.11476376652497261</v>
      </c>
      <c r="E13" s="3">
        <f t="shared" si="4"/>
        <v>1.9210883060225208</v>
      </c>
    </row>
    <row r="14" spans="1:6" x14ac:dyDescent="0.15">
      <c r="A14" s="2">
        <f t="shared" si="0"/>
        <v>6</v>
      </c>
      <c r="B14" s="2">
        <f t="shared" si="1"/>
        <v>0.6</v>
      </c>
      <c r="C14" s="3">
        <f t="shared" ref="C14:C28" si="5">E13</f>
        <v>1.9210883060225208</v>
      </c>
      <c r="D14" s="3">
        <f t="shared" ref="D14:D28" si="6">SIN(B14)-0.1*C14^2</f>
        <v>0.19558444544138748</v>
      </c>
      <c r="E14" s="3">
        <f t="shared" ref="E14:E28" si="7">C14+D14*$B$5</f>
        <v>1.9406467505666596</v>
      </c>
    </row>
    <row r="15" spans="1:6" x14ac:dyDescent="0.15">
      <c r="A15" s="2">
        <f t="shared" si="0"/>
        <v>7</v>
      </c>
      <c r="B15" s="2">
        <f t="shared" si="1"/>
        <v>0.7</v>
      </c>
      <c r="C15" s="3">
        <f t="shared" si="5"/>
        <v>1.9406467505666596</v>
      </c>
      <c r="D15" s="3">
        <f t="shared" si="6"/>
        <v>0.26760670618919752</v>
      </c>
      <c r="E15" s="3">
        <f t="shared" si="7"/>
        <v>1.9674074211855794</v>
      </c>
    </row>
    <row r="16" spans="1:6" x14ac:dyDescent="0.15">
      <c r="A16" s="2">
        <f t="shared" si="0"/>
        <v>8</v>
      </c>
      <c r="B16" s="2">
        <f t="shared" si="1"/>
        <v>0.79999999999999993</v>
      </c>
      <c r="C16" s="3">
        <f t="shared" si="5"/>
        <v>1.9674074211855794</v>
      </c>
      <c r="D16" s="3">
        <f t="shared" si="6"/>
        <v>0.33028689480591344</v>
      </c>
      <c r="E16" s="3">
        <f t="shared" si="7"/>
        <v>2.000436110666171</v>
      </c>
    </row>
    <row r="17" spans="1:5" x14ac:dyDescent="0.15">
      <c r="A17" s="2">
        <f t="shared" si="0"/>
        <v>9</v>
      </c>
      <c r="B17" s="2">
        <f t="shared" si="1"/>
        <v>0.89999999999999991</v>
      </c>
      <c r="C17" s="3">
        <f t="shared" si="5"/>
        <v>2.000436110666171</v>
      </c>
      <c r="D17" s="3">
        <f t="shared" si="6"/>
        <v>0.38315244634176354</v>
      </c>
      <c r="E17" s="3">
        <f t="shared" si="7"/>
        <v>2.0387513553003473</v>
      </c>
    </row>
    <row r="18" spans="1:5" x14ac:dyDescent="0.15">
      <c r="A18" s="2">
        <f t="shared" si="0"/>
        <v>10</v>
      </c>
      <c r="B18" s="2">
        <f t="shared" si="1"/>
        <v>0.99999999999999989</v>
      </c>
      <c r="C18" s="3">
        <f t="shared" si="5"/>
        <v>2.0387513553003473</v>
      </c>
      <c r="D18" s="3">
        <f t="shared" si="6"/>
        <v>0.42582027593399607</v>
      </c>
      <c r="E18" s="3">
        <f t="shared" si="7"/>
        <v>2.0813333828937468</v>
      </c>
    </row>
    <row r="19" spans="1:5" x14ac:dyDescent="0.15">
      <c r="A19" s="2">
        <f t="shared" si="0"/>
        <v>11</v>
      </c>
      <c r="B19" s="2">
        <f t="shared" si="1"/>
        <v>1.0999999999999999</v>
      </c>
      <c r="C19" s="3">
        <f t="shared" si="5"/>
        <v>2.0813333828937468</v>
      </c>
      <c r="D19" s="3">
        <f t="shared" si="6"/>
        <v>0.45801249498664248</v>
      </c>
      <c r="E19" s="3">
        <f t="shared" si="7"/>
        <v>2.1271346323924112</v>
      </c>
    </row>
    <row r="20" spans="1:5" x14ac:dyDescent="0.15">
      <c r="A20" s="2">
        <f t="shared" si="0"/>
        <v>12</v>
      </c>
      <c r="B20" s="2">
        <f t="shared" si="1"/>
        <v>1.2</v>
      </c>
      <c r="C20" s="3">
        <f t="shared" si="5"/>
        <v>2.1271346323924112</v>
      </c>
      <c r="D20" s="3">
        <f t="shared" si="6"/>
        <v>0.47956891153490644</v>
      </c>
      <c r="E20" s="3">
        <f t="shared" si="7"/>
        <v>2.1750915235459019</v>
      </c>
    </row>
    <row r="21" spans="1:5" x14ac:dyDescent="0.15">
      <c r="A21" s="2">
        <f t="shared" si="0"/>
        <v>13</v>
      </c>
      <c r="B21" s="2">
        <f t="shared" si="1"/>
        <v>1.3</v>
      </c>
      <c r="C21" s="3">
        <f t="shared" si="5"/>
        <v>2.1750915235459019</v>
      </c>
      <c r="D21" s="3">
        <f t="shared" si="6"/>
        <v>0.49045587183706962</v>
      </c>
      <c r="E21" s="3">
        <f t="shared" si="7"/>
        <v>2.2241371107296088</v>
      </c>
    </row>
    <row r="22" spans="1:5" x14ac:dyDescent="0.15">
      <c r="A22" s="2">
        <f t="shared" si="0"/>
        <v>14</v>
      </c>
      <c r="B22" s="2">
        <f t="shared" si="1"/>
        <v>1.4000000000000001</v>
      </c>
      <c r="C22" s="3">
        <f t="shared" si="5"/>
        <v>2.2241371107296088</v>
      </c>
      <c r="D22" s="3">
        <f t="shared" si="6"/>
        <v>0.49077114125599502</v>
      </c>
      <c r="E22" s="3">
        <f t="shared" si="7"/>
        <v>2.2732142248552085</v>
      </c>
    </row>
    <row r="23" spans="1:5" x14ac:dyDescent="0.15">
      <c r="A23" s="2">
        <f t="shared" si="0"/>
        <v>15</v>
      </c>
      <c r="B23" s="2">
        <f t="shared" si="1"/>
        <v>1.5000000000000002</v>
      </c>
      <c r="C23" s="3">
        <f t="shared" si="5"/>
        <v>2.2732142248552085</v>
      </c>
      <c r="D23" s="3">
        <f t="shared" si="6"/>
        <v>0.48074469539564779</v>
      </c>
      <c r="E23" s="3">
        <f t="shared" si="7"/>
        <v>2.3212886943947733</v>
      </c>
    </row>
    <row r="24" spans="1:5" x14ac:dyDescent="0.15">
      <c r="A24" s="2">
        <f t="shared" si="0"/>
        <v>16</v>
      </c>
      <c r="B24" s="2">
        <f t="shared" si="1"/>
        <v>1.6000000000000003</v>
      </c>
      <c r="C24" s="3">
        <f t="shared" si="5"/>
        <v>2.3212886943947733</v>
      </c>
      <c r="D24" s="3">
        <f t="shared" si="6"/>
        <v>0.460735482769006</v>
      </c>
      <c r="E24" s="3">
        <f t="shared" si="7"/>
        <v>2.3673622426716738</v>
      </c>
    </row>
    <row r="25" spans="1:5" x14ac:dyDescent="0.15">
      <c r="A25" s="2">
        <f t="shared" si="0"/>
        <v>17</v>
      </c>
      <c r="B25" s="2">
        <f t="shared" si="1"/>
        <v>1.7000000000000004</v>
      </c>
      <c r="C25" s="3">
        <f t="shared" si="5"/>
        <v>2.3673622426716738</v>
      </c>
      <c r="D25" s="3">
        <f t="shared" si="6"/>
        <v>0.43122441164972292</v>
      </c>
      <c r="E25" s="3">
        <f t="shared" si="7"/>
        <v>2.4104846838366463</v>
      </c>
    </row>
    <row r="26" spans="1:5" x14ac:dyDescent="0.15">
      <c r="A26" s="2">
        <f t="shared" si="0"/>
        <v>18</v>
      </c>
      <c r="B26" s="2">
        <f t="shared" si="1"/>
        <v>1.8000000000000005</v>
      </c>
      <c r="C26" s="3">
        <f t="shared" si="5"/>
        <v>2.4104846838366463</v>
      </c>
      <c r="D26" s="3">
        <f t="shared" si="6"/>
        <v>0.39280398977708941</v>
      </c>
      <c r="E26" s="3">
        <f t="shared" si="7"/>
        <v>2.4497650828143551</v>
      </c>
    </row>
    <row r="27" spans="1:5" x14ac:dyDescent="0.15">
      <c r="A27" s="2">
        <f t="shared" si="0"/>
        <v>19</v>
      </c>
      <c r="B27" s="2">
        <f t="shared" si="1"/>
        <v>1.9000000000000006</v>
      </c>
      <c r="C27" s="3">
        <f t="shared" si="5"/>
        <v>2.4497650828143551</v>
      </c>
      <c r="D27" s="3">
        <f t="shared" si="6"/>
        <v>0.34616519158977177</v>
      </c>
      <c r="E27" s="3">
        <f t="shared" si="7"/>
        <v>2.4843816019733325</v>
      </c>
    </row>
    <row r="28" spans="1:5" x14ac:dyDescent="0.15">
      <c r="A28" s="2">
        <f t="shared" si="0"/>
        <v>20</v>
      </c>
      <c r="B28" s="2">
        <f t="shared" si="1"/>
        <v>2.0000000000000004</v>
      </c>
      <c r="C28" s="3">
        <f t="shared" si="5"/>
        <v>2.4843816019733325</v>
      </c>
      <c r="D28" s="3">
        <f t="shared" si="6"/>
        <v>0.29208223240332332</v>
      </c>
      <c r="E28" s="3">
        <f t="shared" si="7"/>
        <v>2.5135898252136646</v>
      </c>
    </row>
    <row r="29" spans="1:5" x14ac:dyDescent="0.15">
      <c r="A29" s="2">
        <f>A28+1</f>
        <v>21</v>
      </c>
      <c r="B29" s="2">
        <f>B28+$B$5</f>
        <v>2.1000000000000005</v>
      </c>
      <c r="C29" s="3">
        <f>E28</f>
        <v>2.5135898252136646</v>
      </c>
      <c r="D29" s="3">
        <f>SIN(B29)-0.1*C29^2</f>
        <v>0.2313959857071074</v>
      </c>
      <c r="E29" s="3">
        <f>C29+D29*$B$5</f>
        <v>2.5367294237843754</v>
      </c>
    </row>
    <row r="30" spans="1:5" x14ac:dyDescent="0.15">
      <c r="A30" s="2">
        <f>A29+1</f>
        <v>22</v>
      </c>
      <c r="B30" s="2">
        <f>B29+$B$5</f>
        <v>2.2000000000000006</v>
      </c>
      <c r="C30" s="3">
        <f>E29</f>
        <v>2.5367294237843754</v>
      </c>
      <c r="D30" s="3">
        <f>SIN(B30)-0.1*C30^2</f>
        <v>0.16499678687024888</v>
      </c>
      <c r="E30" s="3">
        <f>C30+D30*$B$5</f>
        <v>2.5532291024714002</v>
      </c>
    </row>
    <row r="31" spans="1:5" x14ac:dyDescent="0.15">
      <c r="A31" s="2">
        <f>A30+1</f>
        <v>23</v>
      </c>
      <c r="B31" s="2">
        <f>B30+$B$5</f>
        <v>2.3000000000000007</v>
      </c>
      <c r="C31" s="3">
        <f>E30</f>
        <v>2.5532291024714002</v>
      </c>
      <c r="D31" s="3">
        <f>SIN(B31)-0.1*C31^2</f>
        <v>9.3807327206028468E-2</v>
      </c>
      <c r="E31" s="3">
        <f>C31+D31*$B$5</f>
        <v>2.5626098351920032</v>
      </c>
    </row>
    <row r="32" spans="1:5" x14ac:dyDescent="0.15">
      <c r="A32" s="2">
        <f>A31+1</f>
        <v>24</v>
      </c>
      <c r="B32" s="2">
        <f>B31+$B$5</f>
        <v>2.4000000000000008</v>
      </c>
      <c r="C32" s="3">
        <f>E31</f>
        <v>2.5626098351920032</v>
      </c>
      <c r="D32" s="3">
        <f>SIN(B32)-0.1*C32^2</f>
        <v>1.8766263808871586E-2</v>
      </c>
      <c r="E32" s="3">
        <f>C32+D32*$B$5</f>
        <v>2.5644864615728906</v>
      </c>
    </row>
    <row r="33" spans="1:5" x14ac:dyDescent="0.15">
      <c r="A33" s="2">
        <f>A32+1</f>
        <v>25</v>
      </c>
      <c r="B33" s="2">
        <f>B32+$B$5</f>
        <v>2.5000000000000009</v>
      </c>
      <c r="C33" s="3">
        <f>E32</f>
        <v>2.5644864615728906</v>
      </c>
      <c r="D33" s="3">
        <f>SIN(B33)-0.1*C33^2</f>
        <v>-5.9186937055108801E-2</v>
      </c>
      <c r="E33" s="3">
        <f>C33+D33*$B$5</f>
        <v>2.5585677678673799</v>
      </c>
    </row>
    <row r="34" spans="1:5" x14ac:dyDescent="0.15">
      <c r="A34" s="2">
        <f>A33+1</f>
        <v>26</v>
      </c>
      <c r="B34" s="2">
        <f>B33+$B$5</f>
        <v>2.600000000000001</v>
      </c>
      <c r="C34" s="3">
        <f>E33</f>
        <v>2.5585677678673799</v>
      </c>
      <c r="D34" s="3">
        <f>SIN(B34)-0.1*C34^2</f>
        <v>-0.13912553045552334</v>
      </c>
      <c r="E34" s="3">
        <f>C34+D34*$B$5</f>
        <v>2.5446552148218275</v>
      </c>
    </row>
    <row r="35" spans="1:5" x14ac:dyDescent="0.15">
      <c r="A35" s="2">
        <f>A34+1</f>
        <v>27</v>
      </c>
      <c r="B35" s="2">
        <f>B34+$B$5</f>
        <v>2.7000000000000011</v>
      </c>
      <c r="C35" s="3">
        <f>E34</f>
        <v>2.5446552148218275</v>
      </c>
      <c r="D35" s="3">
        <f>SIN(B35)-0.1*C35^2</f>
        <v>-0.22014713599816321</v>
      </c>
      <c r="E35" s="3">
        <f>C35+D35*$B$5</f>
        <v>2.5226405012220114</v>
      </c>
    </row>
    <row r="36" spans="1:5" x14ac:dyDescent="0.15">
      <c r="A36" s="2">
        <f>A35+1</f>
        <v>28</v>
      </c>
      <c r="B36" s="2">
        <f>B35+$B$5</f>
        <v>2.8000000000000012</v>
      </c>
      <c r="C36" s="3">
        <f>E35</f>
        <v>2.5226405012220114</v>
      </c>
      <c r="D36" s="3">
        <f>SIN(B36)-0.1*C36^2</f>
        <v>-0.30138335968466029</v>
      </c>
      <c r="E36" s="3">
        <f>C36+D36*$B$5</f>
        <v>2.4925021652535455</v>
      </c>
    </row>
    <row r="37" spans="1:5" x14ac:dyDescent="0.15">
      <c r="A37" s="2">
        <f>A36+1</f>
        <v>29</v>
      </c>
      <c r="B37" s="2">
        <f>B36+$B$5</f>
        <v>2.9000000000000012</v>
      </c>
      <c r="C37" s="3">
        <f>E36</f>
        <v>2.4925021652535455</v>
      </c>
      <c r="D37" s="3">
        <f>SIN(B37)-0.1*C37^2</f>
        <v>-0.38200737516538019</v>
      </c>
      <c r="E37" s="3">
        <f>C37+D37*$B$5</f>
        <v>2.4543014277370077</v>
      </c>
    </row>
    <row r="38" spans="1:5" x14ac:dyDescent="0.15">
      <c r="A38" s="2">
        <f>A37+1</f>
        <v>30</v>
      </c>
      <c r="B38" s="2">
        <f>B37+$B$5</f>
        <v>3.0000000000000013</v>
      </c>
      <c r="C38" s="3">
        <f>E37</f>
        <v>2.4543014277370077</v>
      </c>
      <c r="D38" s="3">
        <f>SIN(B38)-0.1*C38^2</f>
        <v>-0.46123954175932558</v>
      </c>
      <c r="E38" s="3">
        <f>C38+D38*$B$5</f>
        <v>2.408177473561075</v>
      </c>
    </row>
    <row r="39" spans="1:5" x14ac:dyDescent="0.15">
      <c r="A39" s="2">
        <f>A38+1</f>
        <v>31</v>
      </c>
      <c r="B39" s="2">
        <f>B38+$B$5</f>
        <v>3.1000000000000014</v>
      </c>
      <c r="C39" s="3">
        <f>E38</f>
        <v>2.408177473561075</v>
      </c>
      <c r="D39" s="3">
        <f>SIN(B39)-0.1*C39^2</f>
        <v>-0.53835121198341107</v>
      </c>
      <c r="E39" s="3">
        <f>C39+D39*$B$5</f>
        <v>2.354342352362734</v>
      </c>
    </row>
    <row r="40" spans="1:5" x14ac:dyDescent="0.15">
      <c r="A40" s="2">
        <f>A39+1</f>
        <v>32</v>
      </c>
      <c r="B40" s="2">
        <f>B39+$B$5</f>
        <v>3.2000000000000015</v>
      </c>
      <c r="C40" s="3">
        <f>E39</f>
        <v>2.354342352362734</v>
      </c>
      <c r="D40" s="3">
        <f>SIN(B40)-0.1*C40^2</f>
        <v>-0.61266693464047062</v>
      </c>
      <c r="E40" s="3">
        <f>C40+D40*$B$5</f>
        <v>2.2930756588986871</v>
      </c>
    </row>
    <row r="41" spans="1:5" x14ac:dyDescent="0.15">
      <c r="A41" s="2">
        <f>A40+1</f>
        <v>33</v>
      </c>
      <c r="B41" s="2">
        <f>B40+$B$5</f>
        <v>3.3000000000000016</v>
      </c>
      <c r="C41" s="3">
        <f>E40</f>
        <v>2.2930756588986871</v>
      </c>
      <c r="D41" s="3">
        <f>SIN(B41)-0.1*C41^2</f>
        <v>-0.68356529188661486</v>
      </c>
      <c r="E41" s="3">
        <f>C41+D41*$B$5</f>
        <v>2.2247191297100257</v>
      </c>
    </row>
    <row r="42" spans="1:5" x14ac:dyDescent="0.15">
      <c r="A42" s="2">
        <f>A41+1</f>
        <v>34</v>
      </c>
      <c r="B42" s="2">
        <f>B41+$B$5</f>
        <v>3.4000000000000017</v>
      </c>
      <c r="C42" s="3">
        <f>E41</f>
        <v>2.2247191297100257</v>
      </c>
      <c r="D42" s="3">
        <f>SIN(B42)-0.1*C42^2</f>
        <v>-0.75047862263660647</v>
      </c>
      <c r="E42" s="3">
        <f>C42+D42*$B$5</f>
        <v>2.1496712674463652</v>
      </c>
    </row>
    <row r="43" spans="1:5" x14ac:dyDescent="0.15">
      <c r="A43" s="2">
        <f>A42+1</f>
        <v>35</v>
      </c>
      <c r="B43" s="2">
        <f>B42+$B$5</f>
        <v>3.5000000000000018</v>
      </c>
      <c r="C43" s="3">
        <f>E42</f>
        <v>2.1496712674463652</v>
      </c>
      <c r="D43" s="3">
        <f>SIN(B43)-0.1*C43^2</f>
        <v>-0.81289188349806774</v>
      </c>
      <c r="E43" s="3">
        <f>C43+D43*$B$5</f>
        <v>2.0683820790965584</v>
      </c>
    </row>
    <row r="44" spans="1:5" x14ac:dyDescent="0.15">
      <c r="A44" s="2">
        <f>A43+1</f>
        <v>36</v>
      </c>
      <c r="B44" s="2">
        <f>B43+$B$5</f>
        <v>3.6000000000000019</v>
      </c>
      <c r="C44" s="3">
        <f>E43</f>
        <v>2.0683820790965584</v>
      </c>
      <c r="D44" s="3">
        <f>SIN(B44)-0.1*C44^2</f>
        <v>-0.87034088580763425</v>
      </c>
      <c r="E44" s="3">
        <f>C44+D44*$B$5</f>
        <v>1.9813479905157949</v>
      </c>
    </row>
    <row r="45" spans="1:5" x14ac:dyDescent="0.15">
      <c r="A45" s="2">
        <f>A44+1</f>
        <v>37</v>
      </c>
      <c r="B45" s="2">
        <f>B44+$B$5</f>
        <v>3.700000000000002</v>
      </c>
      <c r="C45" s="3">
        <f>E44</f>
        <v>1.9813479905157949</v>
      </c>
      <c r="D45" s="3">
        <f>SIN(B45)-0.1*C45^2</f>
        <v>-0.92241012686059265</v>
      </c>
      <c r="E45" s="3">
        <f>C45+D45*$B$5</f>
        <v>1.8891069778297356</v>
      </c>
    </row>
    <row r="46" spans="1:5" x14ac:dyDescent="0.15">
      <c r="A46" s="2">
        <f>A45+1</f>
        <v>38</v>
      </c>
      <c r="B46" s="2">
        <f>B45+$B$5</f>
        <v>3.800000000000002</v>
      </c>
      <c r="C46" s="3">
        <f>E45</f>
        <v>1.8891069778297356</v>
      </c>
      <c r="D46" s="3">
        <f>SIN(B46)-0.1*C46^2</f>
        <v>-0.96873040831122048</v>
      </c>
      <c r="E46" s="3">
        <f>C46+D46*$B$5</f>
        <v>1.7922339369986136</v>
      </c>
    </row>
    <row r="47" spans="1:5" x14ac:dyDescent="0.15">
      <c r="A47" s="2">
        <f>A46+1</f>
        <v>39</v>
      </c>
      <c r="B47" s="2">
        <f>B46+$B$5</f>
        <v>3.9000000000000021</v>
      </c>
      <c r="C47" s="3">
        <f>E46</f>
        <v>1.7922339369986136</v>
      </c>
      <c r="D47" s="3">
        <f>SIN(B47)-0.1*C47^2</f>
        <v>-1.0089764076769303</v>
      </c>
      <c r="E47" s="3">
        <f>C47+D47*$B$5</f>
        <v>1.6913362962309204</v>
      </c>
    </row>
    <row r="48" spans="1:5" x14ac:dyDescent="0.15">
      <c r="A48" s="2">
        <f>A47+1</f>
        <v>40</v>
      </c>
      <c r="B48" s="2">
        <f>B47+$B$5</f>
        <v>4.0000000000000018</v>
      </c>
      <c r="C48" s="3">
        <f>E47</f>
        <v>1.6913362962309204</v>
      </c>
      <c r="D48" s="3">
        <f>SIN(B48)-0.1*C48^2</f>
        <v>-1.0428643420027421</v>
      </c>
      <c r="E48" s="3">
        <f>C48+D48*$B$5</f>
        <v>1.5870498620306461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BBE28-559F-4544-A1B6-673AD06DBCD5}">
  <dimension ref="A1:E48"/>
  <sheetViews>
    <sheetView workbookViewId="0">
      <selection activeCell="K20" sqref="K20"/>
    </sheetView>
  </sheetViews>
  <sheetFormatPr defaultRowHeight="16.5" x14ac:dyDescent="0.15"/>
  <cols>
    <col min="1" max="1" width="20" style="1" bestFit="1" customWidth="1"/>
    <col min="2" max="2" width="11.75" style="1" bestFit="1" customWidth="1"/>
    <col min="3" max="4" width="9" style="1"/>
    <col min="5" max="5" width="14" style="1" bestFit="1" customWidth="1"/>
    <col min="6" max="16384" width="9" style="1"/>
  </cols>
  <sheetData>
    <row r="1" spans="1:5" x14ac:dyDescent="0.15">
      <c r="A1" s="1" t="s">
        <v>8</v>
      </c>
      <c r="B1" s="1" t="s">
        <v>9</v>
      </c>
    </row>
    <row r="2" spans="1:5" x14ac:dyDescent="0.15">
      <c r="A2" s="1" t="s">
        <v>7</v>
      </c>
      <c r="B2" s="1">
        <v>2</v>
      </c>
    </row>
    <row r="3" spans="1:5" x14ac:dyDescent="0.15">
      <c r="A3" s="1" t="s">
        <v>1</v>
      </c>
      <c r="B3" s="1">
        <v>4</v>
      </c>
    </row>
    <row r="4" spans="1:5" x14ac:dyDescent="0.15">
      <c r="A4" s="1" t="s">
        <v>2</v>
      </c>
      <c r="B4" s="1">
        <v>0</v>
      </c>
    </row>
    <row r="5" spans="1:5" x14ac:dyDescent="0.15">
      <c r="A5" s="1" t="s">
        <v>3</v>
      </c>
      <c r="B5" s="1">
        <v>0.1</v>
      </c>
    </row>
    <row r="7" spans="1:5" x14ac:dyDescent="0.15">
      <c r="A7" s="2" t="s">
        <v>4</v>
      </c>
      <c r="B7" s="2" t="s">
        <v>10</v>
      </c>
      <c r="C7" s="2" t="s">
        <v>11</v>
      </c>
      <c r="D7" s="2" t="s">
        <v>6</v>
      </c>
    </row>
    <row r="8" spans="1:5" x14ac:dyDescent="0.15">
      <c r="A8" s="2">
        <v>0</v>
      </c>
      <c r="B8" s="2">
        <v>0</v>
      </c>
      <c r="C8" s="3">
        <f>B2</f>
        <v>2</v>
      </c>
      <c r="D8" s="3">
        <f>SIN(B8)-0.1*(C8^2)</f>
        <v>-0.4</v>
      </c>
      <c r="E8" s="1" t="s">
        <v>0</v>
      </c>
    </row>
    <row r="9" spans="1:5" x14ac:dyDescent="0.15">
      <c r="A9" s="2">
        <v>1</v>
      </c>
      <c r="B9" s="2">
        <f>$B$5</f>
        <v>0.1</v>
      </c>
      <c r="C9" s="3">
        <f>B2 + B5*(SIN(0) - 0.1*(B2^2))</f>
        <v>1.96</v>
      </c>
      <c r="D9" s="3">
        <f>SIN(B9)-0.1*(C9^2)</f>
        <v>-0.28432658335317185</v>
      </c>
      <c r="E9" s="1" t="s">
        <v>13</v>
      </c>
    </row>
    <row r="10" spans="1:5" x14ac:dyDescent="0.15">
      <c r="A10" s="2">
        <f>A9+1</f>
        <v>2</v>
      </c>
      <c r="B10" s="2">
        <f>B9+$B$5</f>
        <v>0.2</v>
      </c>
      <c r="C10" s="3">
        <f>C8+(2*$B$5*D9)</f>
        <v>1.9431346833293657</v>
      </c>
      <c r="D10" s="3">
        <f>SIN(B10)-0.1*(C10^2)</f>
        <v>-0.17890790896069025</v>
      </c>
      <c r="E10" s="1" t="s">
        <v>12</v>
      </c>
    </row>
    <row r="11" spans="1:5" x14ac:dyDescent="0.15">
      <c r="A11" s="2">
        <f t="shared" ref="A11:A48" si="0">A10+1</f>
        <v>3</v>
      </c>
      <c r="B11" s="2">
        <f>B10+$B$5</f>
        <v>0.30000000000000004</v>
      </c>
      <c r="C11" s="3">
        <f>C9+(2*$B$5*D10)</f>
        <v>1.9242184182078619</v>
      </c>
      <c r="D11" s="3">
        <f t="shared" ref="D11:D48" si="1">SIN(B11)-0.1*(C11^2)</f>
        <v>-7.4741445435696996E-2</v>
      </c>
    </row>
    <row r="12" spans="1:5" x14ac:dyDescent="0.15">
      <c r="A12" s="2">
        <f t="shared" si="0"/>
        <v>4</v>
      </c>
      <c r="B12" s="2">
        <f>B11+$B$5</f>
        <v>0.4</v>
      </c>
      <c r="C12" s="3">
        <f>C10+(2*$B$5*D11)</f>
        <v>1.9281863942422264</v>
      </c>
      <c r="D12" s="3">
        <f t="shared" si="1"/>
        <v>1.7628065214566668E-2</v>
      </c>
    </row>
    <row r="13" spans="1:5" x14ac:dyDescent="0.15">
      <c r="A13" s="2">
        <f t="shared" si="0"/>
        <v>5</v>
      </c>
      <c r="B13" s="2">
        <f>B12+$B$5</f>
        <v>0.5</v>
      </c>
      <c r="C13" s="3">
        <f>C11+(2*$B$5*D12)</f>
        <v>1.9277440312507752</v>
      </c>
      <c r="D13" s="3">
        <f t="shared" si="1"/>
        <v>0.10780583360190399</v>
      </c>
    </row>
    <row r="14" spans="1:5" x14ac:dyDescent="0.15">
      <c r="A14" s="2">
        <f t="shared" si="0"/>
        <v>6</v>
      </c>
      <c r="B14" s="2">
        <f>B13+$B$5</f>
        <v>0.6</v>
      </c>
      <c r="C14" s="3">
        <f>C12+(2*$B$5*D13)</f>
        <v>1.9497475609626072</v>
      </c>
      <c r="D14" s="3">
        <f t="shared" si="1"/>
        <v>0.18449091824707181</v>
      </c>
    </row>
    <row r="15" spans="1:5" x14ac:dyDescent="0.15">
      <c r="A15" s="2">
        <f t="shared" si="0"/>
        <v>7</v>
      </c>
      <c r="B15" s="2">
        <f>B14+$B$5</f>
        <v>0.7</v>
      </c>
      <c r="C15" s="3">
        <f>C13+(2*$B$5*D14)</f>
        <v>1.9646422149001896</v>
      </c>
      <c r="D15" s="3">
        <f t="shared" si="1"/>
        <v>0.25823578398089869</v>
      </c>
    </row>
    <row r="16" spans="1:5" x14ac:dyDescent="0.15">
      <c r="A16" s="2">
        <f t="shared" si="0"/>
        <v>8</v>
      </c>
      <c r="B16" s="2">
        <f>B15+$B$5</f>
        <v>0.79999999999999993</v>
      </c>
      <c r="C16" s="3">
        <f>C14+(2*$B$5*D15)</f>
        <v>2.001394717758787</v>
      </c>
      <c r="D16" s="3">
        <f t="shared" si="1"/>
        <v>0.31679800927224516</v>
      </c>
    </row>
    <row r="17" spans="1:4" x14ac:dyDescent="0.15">
      <c r="A17" s="2">
        <f t="shared" si="0"/>
        <v>9</v>
      </c>
      <c r="B17" s="2">
        <f>B16+$B$5</f>
        <v>0.89999999999999991</v>
      </c>
      <c r="C17" s="3">
        <f>C15+(2*$B$5*D16)</f>
        <v>2.0280018167546388</v>
      </c>
      <c r="D17" s="3">
        <f t="shared" si="1"/>
        <v>0.37204777275147172</v>
      </c>
    </row>
    <row r="18" spans="1:4" x14ac:dyDescent="0.15">
      <c r="A18" s="2">
        <f t="shared" si="0"/>
        <v>10</v>
      </c>
      <c r="B18" s="2">
        <f>B17+$B$5</f>
        <v>0.99999999999999989</v>
      </c>
      <c r="C18" s="3">
        <f>C16+(2*$B$5*D17)</f>
        <v>2.0758042723090813</v>
      </c>
      <c r="D18" s="3">
        <f t="shared" si="1"/>
        <v>0.41057464711423297</v>
      </c>
    </row>
    <row r="19" spans="1:4" x14ac:dyDescent="0.15">
      <c r="A19" s="2">
        <f t="shared" si="0"/>
        <v>11</v>
      </c>
      <c r="B19" s="2">
        <f>B18+$B$5</f>
        <v>1.0999999999999999</v>
      </c>
      <c r="C19" s="3">
        <f>C17+(2*$B$5*D18)</f>
        <v>2.1101167461774852</v>
      </c>
      <c r="D19" s="3">
        <f t="shared" si="1"/>
        <v>0.44594809181156952</v>
      </c>
    </row>
    <row r="20" spans="1:4" x14ac:dyDescent="0.15">
      <c r="A20" s="2">
        <f t="shared" si="0"/>
        <v>12</v>
      </c>
      <c r="B20" s="2">
        <f>B19+$B$5</f>
        <v>1.2</v>
      </c>
      <c r="C20" s="3">
        <f>C18+(2*$B$5*D19)</f>
        <v>2.1649938906713952</v>
      </c>
      <c r="D20" s="3">
        <f t="shared" si="1"/>
        <v>0.46331923130277974</v>
      </c>
    </row>
    <row r="21" spans="1:4" x14ac:dyDescent="0.15">
      <c r="A21" s="2">
        <f t="shared" si="0"/>
        <v>13</v>
      </c>
      <c r="B21" s="2">
        <f>B20+$B$5</f>
        <v>1.3</v>
      </c>
      <c r="C21" s="3">
        <f>C19+(2*$B$5*D20)</f>
        <v>2.202780592438041</v>
      </c>
      <c r="D21" s="3">
        <f t="shared" si="1"/>
        <v>0.47833395157502429</v>
      </c>
    </row>
    <row r="22" spans="1:4" x14ac:dyDescent="0.15">
      <c r="A22" s="2">
        <f t="shared" si="0"/>
        <v>14</v>
      </c>
      <c r="B22" s="2">
        <f>B21+$B$5</f>
        <v>1.4000000000000001</v>
      </c>
      <c r="C22" s="3">
        <f>C20+(2*$B$5*D21)</f>
        <v>2.2606606809864003</v>
      </c>
      <c r="D22" s="3">
        <f t="shared" si="1"/>
        <v>0.47439105853267072</v>
      </c>
    </row>
    <row r="23" spans="1:4" x14ac:dyDescent="0.15">
      <c r="A23" s="2">
        <f t="shared" si="0"/>
        <v>15</v>
      </c>
      <c r="B23" s="2">
        <f>B22+$B$5</f>
        <v>1.5000000000000002</v>
      </c>
      <c r="C23" s="3">
        <f>C21+(2*$B$5*D22)</f>
        <v>2.2976588041445751</v>
      </c>
      <c r="D23" s="3">
        <f t="shared" si="1"/>
        <v>0.46957138857774661</v>
      </c>
    </row>
    <row r="24" spans="1:4" x14ac:dyDescent="0.15">
      <c r="A24" s="2">
        <f t="shared" si="0"/>
        <v>16</v>
      </c>
      <c r="B24" s="2">
        <f>B23+$B$5</f>
        <v>1.6000000000000003</v>
      </c>
      <c r="C24" s="3">
        <f>C22+(2*$B$5*D23)</f>
        <v>2.3545749587019498</v>
      </c>
      <c r="D24" s="3">
        <f t="shared" si="1"/>
        <v>0.44517127942687629</v>
      </c>
    </row>
    <row r="25" spans="1:4" x14ac:dyDescent="0.15">
      <c r="A25" s="2">
        <f t="shared" si="0"/>
        <v>17</v>
      </c>
      <c r="B25" s="2">
        <f>B24+$B$5</f>
        <v>1.7000000000000004</v>
      </c>
      <c r="C25" s="3">
        <f>C23+(2*$B$5*D24)</f>
        <v>2.3866930600299505</v>
      </c>
      <c r="D25" s="3">
        <f t="shared" si="1"/>
        <v>0.42203443417295572</v>
      </c>
    </row>
    <row r="26" spans="1:4" x14ac:dyDescent="0.15">
      <c r="A26" s="2">
        <f t="shared" si="0"/>
        <v>18</v>
      </c>
      <c r="B26" s="2">
        <f>B25+$B$5</f>
        <v>1.8000000000000005</v>
      </c>
      <c r="C26" s="3">
        <f>C24+(2*$B$5*D25)</f>
        <v>2.4389818455365408</v>
      </c>
      <c r="D26" s="3">
        <f t="shared" si="1"/>
        <v>0.37898438659251188</v>
      </c>
    </row>
    <row r="27" spans="1:4" x14ac:dyDescent="0.15">
      <c r="A27" s="2">
        <f t="shared" si="0"/>
        <v>19</v>
      </c>
      <c r="B27" s="2">
        <f>B26+$B$5</f>
        <v>1.9000000000000006</v>
      </c>
      <c r="C27" s="3">
        <f>C25+(2*$B$5*D26)</f>
        <v>2.4624899373484528</v>
      </c>
      <c r="D27" s="3">
        <f t="shared" si="1"/>
        <v>0.3399144185331755</v>
      </c>
    </row>
    <row r="28" spans="1:4" x14ac:dyDescent="0.15">
      <c r="A28" s="2">
        <f t="shared" si="0"/>
        <v>20</v>
      </c>
      <c r="B28" s="2">
        <f>B27+$B$5</f>
        <v>2.0000000000000004</v>
      </c>
      <c r="C28" s="3">
        <f>C26+(2*$B$5*D27)</f>
        <v>2.506964729243176</v>
      </c>
      <c r="D28" s="3">
        <f t="shared" si="1"/>
        <v>0.28081021145875029</v>
      </c>
    </row>
    <row r="29" spans="1:4" x14ac:dyDescent="0.15">
      <c r="A29" s="2">
        <f t="shared" si="0"/>
        <v>21</v>
      </c>
      <c r="B29" s="2">
        <f>B28+$B$5</f>
        <v>2.1000000000000005</v>
      </c>
      <c r="C29" s="3">
        <f>C27+(2*$B$5*D28)</f>
        <v>2.5186519796402029</v>
      </c>
      <c r="D29" s="3">
        <f t="shared" si="1"/>
        <v>0.22884858719432211</v>
      </c>
    </row>
    <row r="30" spans="1:4" x14ac:dyDescent="0.15">
      <c r="A30" s="2">
        <f t="shared" si="0"/>
        <v>22</v>
      </c>
      <c r="B30" s="2">
        <f>B29+$B$5</f>
        <v>2.2000000000000006</v>
      </c>
      <c r="C30" s="3">
        <f>C28+(2*$B$5*D29)</f>
        <v>2.5527344466820403</v>
      </c>
      <c r="D30" s="3">
        <f t="shared" si="1"/>
        <v>0.15685108829188354</v>
      </c>
    </row>
    <row r="31" spans="1:4" x14ac:dyDescent="0.15">
      <c r="A31" s="2">
        <f t="shared" si="0"/>
        <v>23</v>
      </c>
      <c r="B31" s="2">
        <f>B30+$B$5</f>
        <v>2.3000000000000007</v>
      </c>
      <c r="C31" s="3">
        <f>C29+(2*$B$5*D30)</f>
        <v>2.5500221972985795</v>
      </c>
      <c r="D31" s="3">
        <f t="shared" si="1"/>
        <v>9.5443891505172185E-2</v>
      </c>
    </row>
    <row r="32" spans="1:4" x14ac:dyDescent="0.15">
      <c r="A32" s="2">
        <f t="shared" si="0"/>
        <v>24</v>
      </c>
      <c r="B32" s="2">
        <f>B31+$B$5</f>
        <v>2.4000000000000008</v>
      </c>
      <c r="C32" s="3">
        <f>C30+(2*$B$5*D31)</f>
        <v>2.5718232249830746</v>
      </c>
      <c r="D32" s="3">
        <f t="shared" si="1"/>
        <v>1.4035710494916032E-2</v>
      </c>
    </row>
    <row r="33" spans="1:4" x14ac:dyDescent="0.15">
      <c r="A33" s="2">
        <f t="shared" si="0"/>
        <v>25</v>
      </c>
      <c r="B33" s="2">
        <f>B32+$B$5</f>
        <v>2.5000000000000009</v>
      </c>
      <c r="C33" s="3">
        <f>C31+(2*$B$5*D32)</f>
        <v>2.5528293393975625</v>
      </c>
      <c r="D33" s="3">
        <f t="shared" si="1"/>
        <v>-5.3221619504943751E-2</v>
      </c>
    </row>
    <row r="34" spans="1:4" x14ac:dyDescent="0.15">
      <c r="A34" s="2">
        <f t="shared" si="0"/>
        <v>26</v>
      </c>
      <c r="B34" s="2">
        <f>B33+$B$5</f>
        <v>2.600000000000001</v>
      </c>
      <c r="C34" s="3">
        <f>C32+(2*$B$5*D33)</f>
        <v>2.5611789010820858</v>
      </c>
      <c r="D34" s="3">
        <f t="shared" si="1"/>
        <v>-0.14046236451334071</v>
      </c>
    </row>
    <row r="35" spans="1:4" x14ac:dyDescent="0.15">
      <c r="A35" s="2">
        <f t="shared" si="0"/>
        <v>27</v>
      </c>
      <c r="B35" s="2">
        <f>B34+$B$5</f>
        <v>2.7000000000000011</v>
      </c>
      <c r="C35" s="3">
        <f>C33+(2*$B$5*D34)</f>
        <v>2.5247368664948944</v>
      </c>
      <c r="D35" s="3">
        <f t="shared" si="1"/>
        <v>-0.21004974427001694</v>
      </c>
    </row>
    <row r="36" spans="1:4" x14ac:dyDescent="0.15">
      <c r="A36" s="2">
        <f t="shared" si="0"/>
        <v>28</v>
      </c>
      <c r="B36" s="2">
        <f>B35+$B$5</f>
        <v>2.8000000000000012</v>
      </c>
      <c r="C36" s="3">
        <f>C34+(2*$B$5*D35)</f>
        <v>2.5191689522280822</v>
      </c>
      <c r="D36" s="3">
        <f t="shared" si="1"/>
        <v>-0.29963307083108953</v>
      </c>
    </row>
    <row r="37" spans="1:4" x14ac:dyDescent="0.15">
      <c r="A37" s="2">
        <f t="shared" si="0"/>
        <v>29</v>
      </c>
      <c r="B37" s="2">
        <f>B36+$B$5</f>
        <v>2.9000000000000012</v>
      </c>
      <c r="C37" s="3">
        <f>C35+(2*$B$5*D36)</f>
        <v>2.4648102523286766</v>
      </c>
      <c r="D37" s="3">
        <f t="shared" si="1"/>
        <v>-0.3682796287844744</v>
      </c>
    </row>
    <row r="38" spans="1:4" x14ac:dyDescent="0.15">
      <c r="A38" s="2">
        <f t="shared" si="0"/>
        <v>30</v>
      </c>
      <c r="B38" s="2">
        <f>B37+$B$5</f>
        <v>3.0000000000000013</v>
      </c>
      <c r="C38" s="3">
        <f>C36+(2*$B$5*D37)</f>
        <v>2.4455130264711875</v>
      </c>
      <c r="D38" s="3">
        <f t="shared" si="1"/>
        <v>-0.45693338820416085</v>
      </c>
    </row>
    <row r="39" spans="1:4" x14ac:dyDescent="0.15">
      <c r="A39" s="2">
        <f t="shared" si="0"/>
        <v>31</v>
      </c>
      <c r="B39" s="2">
        <f>B38+$B$5</f>
        <v>3.1000000000000014</v>
      </c>
      <c r="C39" s="3">
        <f>C37+(2*$B$5*D38)</f>
        <v>2.3734235746878443</v>
      </c>
      <c r="D39" s="3">
        <f t="shared" si="1"/>
        <v>-0.52173328405511343</v>
      </c>
    </row>
    <row r="40" spans="1:4" x14ac:dyDescent="0.15">
      <c r="A40" s="2">
        <f t="shared" si="0"/>
        <v>32</v>
      </c>
      <c r="B40" s="2">
        <f>B39+$B$5</f>
        <v>3.2000000000000015</v>
      </c>
      <c r="C40" s="3">
        <f>C38+(2*$B$5*D39)</f>
        <v>2.341166369660165</v>
      </c>
      <c r="D40" s="3">
        <f t="shared" si="1"/>
        <v>-0.60648014047035703</v>
      </c>
    </row>
    <row r="41" spans="1:4" x14ac:dyDescent="0.15">
      <c r="A41" s="2">
        <f t="shared" si="0"/>
        <v>33</v>
      </c>
      <c r="B41" s="2">
        <f>B40+$B$5</f>
        <v>3.3000000000000016</v>
      </c>
      <c r="C41" s="3">
        <f>C39+(2*$B$5*D40)</f>
        <v>2.2521275465937727</v>
      </c>
      <c r="D41" s="3">
        <f t="shared" si="1"/>
        <v>-0.66495354275589857</v>
      </c>
    </row>
    <row r="42" spans="1:4" x14ac:dyDescent="0.15">
      <c r="A42" s="2">
        <f t="shared" si="0"/>
        <v>34</v>
      </c>
      <c r="B42" s="2">
        <f>B41+$B$5</f>
        <v>3.4000000000000017</v>
      </c>
      <c r="C42" s="3">
        <f>C40+(2*$B$5*D41)</f>
        <v>2.2081756611089851</v>
      </c>
      <c r="D42" s="3">
        <f t="shared" si="1"/>
        <v>-0.74314507705824329</v>
      </c>
    </row>
    <row r="43" spans="1:4" x14ac:dyDescent="0.15">
      <c r="A43" s="2">
        <f t="shared" si="0"/>
        <v>35</v>
      </c>
      <c r="B43" s="2">
        <f>B42+$B$5</f>
        <v>3.5000000000000018</v>
      </c>
      <c r="C43" s="3">
        <f>C41+(2*$B$5*D42)</f>
        <v>2.1034985311821242</v>
      </c>
      <c r="D43" s="3">
        <f t="shared" si="1"/>
        <v>-0.79325383475815692</v>
      </c>
    </row>
    <row r="44" spans="1:4" x14ac:dyDescent="0.15">
      <c r="A44" s="2">
        <f t="shared" si="0"/>
        <v>36</v>
      </c>
      <c r="B44" s="2">
        <f>B43+$B$5</f>
        <v>3.6000000000000019</v>
      </c>
      <c r="C44" s="3">
        <f>C42+(2*$B$5*D43)</f>
        <v>2.0495248941573538</v>
      </c>
      <c r="D44" s="3">
        <f t="shared" si="1"/>
        <v>-0.86257567247192535</v>
      </c>
    </row>
    <row r="45" spans="1:4" x14ac:dyDescent="0.15">
      <c r="A45" s="2">
        <f t="shared" si="0"/>
        <v>37</v>
      </c>
      <c r="B45" s="2">
        <f>B44+$B$5</f>
        <v>3.700000000000002</v>
      </c>
      <c r="C45" s="3">
        <f>C43+(2*$B$5*D44)</f>
        <v>1.930983396687739</v>
      </c>
      <c r="D45" s="3">
        <f t="shared" si="1"/>
        <v>-0.90270582873686667</v>
      </c>
    </row>
    <row r="46" spans="1:4" x14ac:dyDescent="0.15">
      <c r="A46" s="2">
        <f t="shared" si="0"/>
        <v>38</v>
      </c>
      <c r="B46" s="2">
        <f>B45+$B$5</f>
        <v>3.800000000000002</v>
      </c>
      <c r="C46" s="3">
        <f>C44+(2*$B$5*D45)</f>
        <v>1.8689837284099804</v>
      </c>
      <c r="D46" s="3">
        <f t="shared" si="1"/>
        <v>-0.96116790864884782</v>
      </c>
    </row>
    <row r="47" spans="1:4" x14ac:dyDescent="0.15">
      <c r="A47" s="2">
        <f t="shared" si="0"/>
        <v>39</v>
      </c>
      <c r="B47" s="2">
        <f>B46+$B$5</f>
        <v>3.9000000000000021</v>
      </c>
      <c r="C47" s="3">
        <f>C45+(2*$B$5*D46)</f>
        <v>1.7387498149579694</v>
      </c>
      <c r="D47" s="3">
        <f t="shared" si="1"/>
        <v>-0.99009125108561258</v>
      </c>
    </row>
    <row r="48" spans="1:4" x14ac:dyDescent="0.15">
      <c r="A48" s="2">
        <f t="shared" si="0"/>
        <v>40</v>
      </c>
      <c r="B48" s="2">
        <f>B47+$B$5</f>
        <v>4.0000000000000018</v>
      </c>
      <c r="C48" s="3">
        <f>C46+(2*$B$5*D47)</f>
        <v>1.6709654781928578</v>
      </c>
      <c r="D48" s="3">
        <f t="shared" si="1"/>
        <v>-1.0360150582391581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6C0C7-307B-4DCF-9B8B-20A88F7F0584}">
  <dimension ref="A1:H48"/>
  <sheetViews>
    <sheetView tabSelected="1" workbookViewId="0">
      <selection activeCell="O19" sqref="O19"/>
    </sheetView>
  </sheetViews>
  <sheetFormatPr defaultRowHeight="16.5" x14ac:dyDescent="0.15"/>
  <cols>
    <col min="1" max="1" width="20" style="1" bestFit="1" customWidth="1"/>
    <col min="2" max="2" width="11.75" style="1" bestFit="1" customWidth="1"/>
    <col min="3" max="3" width="10" style="1" bestFit="1" customWidth="1"/>
    <col min="4" max="7" width="10.625" style="1" bestFit="1" customWidth="1"/>
    <col min="8" max="8" width="10" style="1" bestFit="1" customWidth="1"/>
    <col min="9" max="16384" width="9" style="1"/>
  </cols>
  <sheetData>
    <row r="1" spans="1:8" x14ac:dyDescent="0.15">
      <c r="A1" s="1" t="s">
        <v>8</v>
      </c>
      <c r="B1" s="1" t="s">
        <v>9</v>
      </c>
    </row>
    <row r="2" spans="1:8" x14ac:dyDescent="0.15">
      <c r="A2" s="1" t="s">
        <v>7</v>
      </c>
      <c r="B2" s="1">
        <v>2</v>
      </c>
    </row>
    <row r="3" spans="1:8" x14ac:dyDescent="0.15">
      <c r="A3" s="1" t="s">
        <v>1</v>
      </c>
      <c r="B3" s="1">
        <v>4</v>
      </c>
    </row>
    <row r="4" spans="1:8" x14ac:dyDescent="0.15">
      <c r="A4" s="1" t="s">
        <v>2</v>
      </c>
      <c r="B4" s="1">
        <v>0</v>
      </c>
    </row>
    <row r="5" spans="1:8" x14ac:dyDescent="0.15">
      <c r="A5" s="1" t="s">
        <v>3</v>
      </c>
      <c r="B5" s="1">
        <v>0.1</v>
      </c>
    </row>
    <row r="7" spans="1:8" x14ac:dyDescent="0.15">
      <c r="A7" s="2" t="s">
        <v>4</v>
      </c>
      <c r="B7" s="2" t="s">
        <v>10</v>
      </c>
      <c r="C7" s="2" t="s">
        <v>11</v>
      </c>
      <c r="D7" s="2" t="s">
        <v>15</v>
      </c>
      <c r="E7" s="2" t="s">
        <v>16</v>
      </c>
      <c r="F7" s="2" t="s">
        <v>17</v>
      </c>
      <c r="G7" s="2" t="s">
        <v>18</v>
      </c>
      <c r="H7" s="2" t="s">
        <v>6</v>
      </c>
    </row>
    <row r="8" spans="1:8" x14ac:dyDescent="0.15">
      <c r="A8" s="2">
        <v>0</v>
      </c>
      <c r="B8" s="2">
        <v>0</v>
      </c>
      <c r="C8" s="3">
        <f>$B$2</f>
        <v>2</v>
      </c>
      <c r="D8" s="3">
        <f>SIN(B8) - 0.1*(C8^2)</f>
        <v>-0.4</v>
      </c>
      <c r="E8" s="3">
        <f>SIN(B8+$B$5/2) - 0.1*((C8+$B$5/2*D8)^2)</f>
        <v>-0.3420608307293217</v>
      </c>
      <c r="F8" s="3">
        <f>SIN(B8+$B$5/2) - 0.1*((C8+$B$5/2*E8)^2)</f>
        <v>-0.34320886551771501</v>
      </c>
      <c r="G8" s="3">
        <f>SIN(B8+$B$5) - 0.1*((C8+$B$5*F8)^2)</f>
        <v>-0.28655602105783323</v>
      </c>
      <c r="H8" s="3">
        <f>C8+($B$5/6)*(D8+2*E8+2*F8+G8)</f>
        <v>1.9657150764408016</v>
      </c>
    </row>
    <row r="9" spans="1:8" x14ac:dyDescent="0.15">
      <c r="A9" s="2">
        <f>A8+1</f>
        <v>1</v>
      </c>
      <c r="B9" s="2">
        <f>B8+$B$5</f>
        <v>0.1</v>
      </c>
      <c r="C9" s="3">
        <f>H8</f>
        <v>1.9657150764408016</v>
      </c>
      <c r="D9" s="3">
        <f>SIN(B9) - 0.1*(C9^2)</f>
        <v>-0.28657015952783854</v>
      </c>
      <c r="E9" s="3">
        <f>SIN(B9+$B$5/2) - 0.1*((C9+$B$5/2*D9)^2)</f>
        <v>-0.23135282148473116</v>
      </c>
      <c r="F9" s="3">
        <f>SIN(B9+$B$5/2) - 0.1*((C9+$B$5/2*E9)^2)</f>
        <v>-0.23243108744137317</v>
      </c>
      <c r="G9" s="3">
        <f>SIN(B9+$B$5) - 0.1*((C9+$B$5*F9)^2)</f>
        <v>-0.17865040373367386</v>
      </c>
      <c r="H9" s="3">
        <f>C9+($B$5/6)*(D9+2*E9+2*F9+G9)</f>
        <v>1.9425019367555729</v>
      </c>
    </row>
    <row r="10" spans="1:8" x14ac:dyDescent="0.15">
      <c r="A10" s="2">
        <f>A9+1</f>
        <v>2</v>
      </c>
      <c r="B10" s="2">
        <f>B9+$B$5</f>
        <v>0.2</v>
      </c>
      <c r="C10" s="3">
        <f>H9</f>
        <v>1.9425019367555729</v>
      </c>
      <c r="D10" s="3">
        <f>SIN(B10) - 0.1*(C10^2)</f>
        <v>-0.17866204663485397</v>
      </c>
      <c r="E10" s="3">
        <f>SIN(B10+$B$5/2) - 0.1*((C10+$B$5/2*D10)^2)</f>
        <v>-0.12646488449099</v>
      </c>
      <c r="F10" s="3">
        <f>SIN(B10+$B$5/2) - 0.1*((C10+$B$5/2*E10)^2)</f>
        <v>-0.12747483368659143</v>
      </c>
      <c r="G10" s="3">
        <f>SIN(B10+$B$5) - 0.1*((C10+$B$5*F10)^2)</f>
        <v>-7.6875018375323068E-2</v>
      </c>
      <c r="H10" s="3">
        <f>C10+($B$5/6)*(D10+2*E10+2*F10+G10)</f>
        <v>1.9297783283994838</v>
      </c>
    </row>
    <row r="11" spans="1:8" x14ac:dyDescent="0.15">
      <c r="A11" s="2">
        <f>A10+1</f>
        <v>3</v>
      </c>
      <c r="B11" s="2">
        <f>B10+$B$5</f>
        <v>0.30000000000000004</v>
      </c>
      <c r="C11" s="3">
        <f>H10</f>
        <v>1.9297783283994838</v>
      </c>
      <c r="D11" s="3">
        <f>SIN(B11) - 0.1*(C11^2)</f>
        <v>-7.688423301469105E-2</v>
      </c>
      <c r="E11" s="3">
        <f>SIN(B11+$B$5/2) - 0.1*((C11+$B$5/2*D11)^2)</f>
        <v>-2.8024414750227156E-2</v>
      </c>
      <c r="F11" s="3">
        <f>SIN(B11+$B$5/2) - 0.1*((C11+$B$5/2*E11)^2)</f>
        <v>-2.8966019480024086E-2</v>
      </c>
      <c r="G11" s="3">
        <f>SIN(B11+$B$5) - 0.1*((C11+$B$5*F11)^2)</f>
        <v>1.8131023535386315E-2</v>
      </c>
      <c r="H11" s="3">
        <f>C11+($B$5/6)*(D11+2*E11+2*F11+G11)</f>
        <v>1.9268994271004871</v>
      </c>
    </row>
    <row r="12" spans="1:8" x14ac:dyDescent="0.15">
      <c r="A12" s="2">
        <f>A11+1</f>
        <v>4</v>
      </c>
      <c r="B12" s="2">
        <f>B11+$B$5</f>
        <v>0.4</v>
      </c>
      <c r="C12" s="3">
        <f>H11</f>
        <v>1.9268994271004871</v>
      </c>
      <c r="D12" s="3">
        <f>SIN(B12) - 0.1*(C12^2)</f>
        <v>1.8124202092631936E-2</v>
      </c>
      <c r="E12" s="3">
        <f>SIN(B12+$B$5/2) - 0.1*((C12+$B$5/2*D12)^2)</f>
        <v>6.332207662724687E-2</v>
      </c>
      <c r="F12" s="3">
        <f>SIN(B12+$B$5/2) - 0.1*((C12+$B$5/2*E12)^2)</f>
        <v>6.2450238742106035E-2</v>
      </c>
      <c r="G12" s="3">
        <f>SIN(B12+$B$5) - 0.1*((C12+$B$5*F12)^2)</f>
        <v>0.10572079177077642</v>
      </c>
      <c r="H12" s="3">
        <f>C12+($B$5/6)*(D12+2*E12+2*F12+G12)</f>
        <v>1.9331559208438558</v>
      </c>
    </row>
    <row r="13" spans="1:8" x14ac:dyDescent="0.15">
      <c r="A13" s="2">
        <f>A12+1</f>
        <v>5</v>
      </c>
      <c r="B13" s="2">
        <f>B12+$B$5</f>
        <v>0.5</v>
      </c>
      <c r="C13" s="3">
        <f>H12</f>
        <v>1.9331559208438558</v>
      </c>
      <c r="D13" s="3">
        <f>SIN(B13) - 0.1*(C13^2)</f>
        <v>0.10571635717483741</v>
      </c>
      <c r="E13" s="3">
        <f>SIN(B13+$B$5/2) - 0.1*((C13+$B$5/2*D13)^2)</f>
        <v>0.1469315914962242</v>
      </c>
      <c r="F13" s="3">
        <f>SIN(B13+$B$5/2) - 0.1*((C13+$B$5/2*E13)^2)</f>
        <v>0.14613223351754939</v>
      </c>
      <c r="G13" s="3">
        <f>SIN(B13+$B$5) - 0.1*((C13+$B$5*F13)^2)</f>
        <v>0.18526200948698518</v>
      </c>
      <c r="H13" s="3">
        <f>C13+($B$5/6)*(D13+2*E13+2*F13+G13)</f>
        <v>1.9477743544553452</v>
      </c>
    </row>
    <row r="14" spans="1:8" x14ac:dyDescent="0.15">
      <c r="A14" s="2">
        <f>A13+1</f>
        <v>6</v>
      </c>
      <c r="B14" s="2">
        <f>B13+$B$5</f>
        <v>0.6</v>
      </c>
      <c r="C14" s="3">
        <f>H13</f>
        <v>1.9477743544553452</v>
      </c>
      <c r="D14" s="3">
        <f>SIN(B14) - 0.1*(C14^2)</f>
        <v>0.18525997980764164</v>
      </c>
      <c r="E14" s="3">
        <f>SIN(B14+$B$5/2) - 0.1*((C14+$B$5/2*D14)^2)</f>
        <v>0.22218688545785387</v>
      </c>
      <c r="F14" s="3">
        <f>SIN(B14+$B$5/2) - 0.1*((C14+$B$5/2*E14)^2)</f>
        <v>0.22146387122171735</v>
      </c>
      <c r="G14" s="3">
        <f>SIN(B14+$B$5) - 0.1*((C14+$B$5*F14)^2)</f>
        <v>0.25615891442795963</v>
      </c>
      <c r="H14" s="3">
        <f>C14+($B$5/6)*(D14+2*E14+2*F14+G14)</f>
        <v>1.9699196945819242</v>
      </c>
    </row>
    <row r="15" spans="1:8" x14ac:dyDescent="0.15">
      <c r="A15" s="2">
        <f>A14+1</f>
        <v>7</v>
      </c>
      <c r="B15" s="2">
        <f>B14+$B$5</f>
        <v>0.7</v>
      </c>
      <c r="C15" s="3">
        <f>H14</f>
        <v>1.9699196945819242</v>
      </c>
      <c r="D15" s="3">
        <f>SIN(B15) - 0.1*(C15^2)</f>
        <v>0.25615932692751686</v>
      </c>
      <c r="E15" s="3">
        <f>SIN(B15+$B$5/2) - 0.1*((C15+$B$5/2*D15)^2)</f>
        <v>0.28851786228231335</v>
      </c>
      <c r="F15" s="3">
        <f>SIN(B15+$B$5/2) - 0.1*((C15+$B$5/2*E15)^2)</f>
        <v>0.28787601888245995</v>
      </c>
      <c r="G15" s="3">
        <f>SIN(B15+$B$5) - 0.1*((C15+$B$5*F15)^2)</f>
        <v>0.31787300520321299</v>
      </c>
      <c r="H15" s="3">
        <f>C15+($B$5/6)*(D15+2*E15+2*F15+G15)</f>
        <v>1.9987000294895954</v>
      </c>
    </row>
    <row r="16" spans="1:8" x14ac:dyDescent="0.15">
      <c r="A16" s="2">
        <f>A15+1</f>
        <v>8</v>
      </c>
      <c r="B16" s="2">
        <f>B15+$B$5</f>
        <v>0.79999999999999993</v>
      </c>
      <c r="C16" s="3">
        <f>H15</f>
        <v>1.9987000294895954</v>
      </c>
      <c r="D16" s="3">
        <f>SIN(B16) - 0.1*(C16^2)</f>
        <v>0.31787591011135174</v>
      </c>
      <c r="E16" s="3">
        <f>SIN(B16+$B$5/2) - 0.1*((C16+$B$5/2*D16)^2)</f>
        <v>0.34542157716942856</v>
      </c>
      <c r="F16" s="3">
        <f>SIN(B16+$B$5/2) - 0.1*((C16+$B$5/2*E16)^2)</f>
        <v>0.34486645417087936</v>
      </c>
      <c r="G16" s="3">
        <f>SIN(B16+$B$5) - 0.1*((C16+$B$5*F16)^2)</f>
        <v>0.36994210412567385</v>
      </c>
      <c r="H16" s="3">
        <f>C16+($B$5/6)*(D16+2*E16+2*F16+G16)</f>
        <v>2.0331732641048892</v>
      </c>
    </row>
    <row r="17" spans="1:8" x14ac:dyDescent="0.15">
      <c r="A17" s="2">
        <f>A16+1</f>
        <v>9</v>
      </c>
      <c r="B17" s="2">
        <f>B16+$B$5</f>
        <v>0.89999999999999991</v>
      </c>
      <c r="C17" s="3">
        <f>H16</f>
        <v>2.0331732641048892</v>
      </c>
      <c r="D17" s="3">
        <f>SIN(B17) - 0.1*(C17^2)</f>
        <v>0.36994755744039032</v>
      </c>
      <c r="E17" s="3">
        <f>SIN(B17+$B$5/2) - 0.1*((C17+$B$5/2*D17)^2)</f>
        <v>0.39248026247437973</v>
      </c>
      <c r="F17" s="3">
        <f>SIN(B17+$B$5/2) - 0.1*((C17+$B$5/2*E17)^2)</f>
        <v>0.39201783864965506</v>
      </c>
      <c r="G17" s="3">
        <f>SIN(B17+$B$5) - 0.1*((C17+$B$5*F17)^2)</f>
        <v>0.41199715086309058</v>
      </c>
      <c r="H17" s="3">
        <f>C17+($B$5/6)*(D17+2*E17+2*F17+G17)</f>
        <v>2.0723556126140816</v>
      </c>
    </row>
    <row r="18" spans="1:8" x14ac:dyDescent="0.15">
      <c r="A18" s="2">
        <f>A17+1</f>
        <v>10</v>
      </c>
      <c r="B18" s="2">
        <f>B17+$B$5</f>
        <v>0.99999999999999989</v>
      </c>
      <c r="C18" s="3">
        <f>H17</f>
        <v>2.0723556126140816</v>
      </c>
      <c r="D18" s="3">
        <f>SIN(B18) - 0.1*(C18^2)</f>
        <v>0.41200520629458781</v>
      </c>
      <c r="E18" s="3">
        <f>SIN(B18+$B$5/2) - 0.1*((C18+$B$5/2*D18)^2)</f>
        <v>0.42937679699129672</v>
      </c>
      <c r="F18" s="3">
        <f>SIN(B18+$B$5/2) - 0.1*((C18+$B$5/2*E18)^2)</f>
        <v>0.42901314182054784</v>
      </c>
      <c r="G18" s="3">
        <f>SIN(B18+$B$5) - 0.1*((C18+$B$5*F18)^2)</f>
        <v>0.44377617342553177</v>
      </c>
      <c r="H18" s="3">
        <f>C18+($B$5/6)*(D18+2*E18+2*F18+G18)</f>
        <v>2.1152316335698118</v>
      </c>
    </row>
    <row r="19" spans="1:8" x14ac:dyDescent="0.15">
      <c r="A19" s="2">
        <f>A18+1</f>
        <v>11</v>
      </c>
      <c r="B19" s="2">
        <f>B18+$B$5</f>
        <v>1.0999999999999999</v>
      </c>
      <c r="C19" s="3">
        <f>H18</f>
        <v>2.1152316335698118</v>
      </c>
      <c r="D19" s="3">
        <f>SIN(B19) - 0.1*(C19^2)</f>
        <v>0.44378687369599379</v>
      </c>
      <c r="E19" s="3">
        <f>SIN(B19+$B$5/2) - 0.1*((C19+$B$5/2*D19)^2)</f>
        <v>0.45590709685971509</v>
      </c>
      <c r="F19" s="3">
        <f>SIN(B19+$B$5/2) - 0.1*((C19+$B$5/2*E19)^2)</f>
        <v>0.45564799994237137</v>
      </c>
      <c r="G19" s="3">
        <f>SIN(B19+$B$5) - 0.1*((C19+$B$5*F19)^2)</f>
        <v>0.46513496323691483</v>
      </c>
      <c r="H19" s="3">
        <f>C19+($B$5/6)*(D19+2*E19+2*F19+G19)</f>
        <v>2.1607655007454296</v>
      </c>
    </row>
    <row r="20" spans="1:8" x14ac:dyDescent="0.15">
      <c r="A20" s="2">
        <f>A19+1</f>
        <v>12</v>
      </c>
      <c r="B20" s="2">
        <f>B19+$B$5</f>
        <v>1.2</v>
      </c>
      <c r="C20" s="3">
        <f>H19</f>
        <v>2.1607655007454296</v>
      </c>
      <c r="D20" s="3">
        <f>SIN(B20) - 0.1*(C20^2)</f>
        <v>0.46514833104606157</v>
      </c>
      <c r="E20" s="3">
        <f>SIN(B20+$B$5/2) - 0.1*((C20+$B$5/2*D20)^2)</f>
        <v>0.47198900902741636</v>
      </c>
      <c r="F20" s="3">
        <f>SIN(B20+$B$5/2) - 0.1*((C20+$B$5/2*E20)^2)</f>
        <v>0.4718395953538862</v>
      </c>
      <c r="G20" s="3">
        <f>SIN(B20+$B$5) - 0.1*((C20+$B$5*F20)^2)</f>
        <v>0.47605410350175731</v>
      </c>
      <c r="H20" s="3">
        <f>C20+($B$5/6)*(D20+2*E20+2*F20+G20)</f>
        <v>2.2079131614672702</v>
      </c>
    </row>
    <row r="21" spans="1:8" x14ac:dyDescent="0.15">
      <c r="A21" s="2">
        <f>A20+1</f>
        <v>13</v>
      </c>
      <c r="B21" s="2">
        <f>B20+$B$5</f>
        <v>1.3</v>
      </c>
      <c r="C21" s="3">
        <f>H20</f>
        <v>2.2079131614672702</v>
      </c>
      <c r="D21" s="3">
        <f>SIN(B21) - 0.1*(C21^2)</f>
        <v>0.47607013255915331</v>
      </c>
      <c r="E21" s="3">
        <f>SIN(B21+$B$5/2) - 0.1*((C21+$B$5/2*D21)^2)</f>
        <v>0.47766742916125243</v>
      </c>
      <c r="F21" s="3">
        <f>SIN(B21+$B$5/2) - 0.1*((C21+$B$5/2*E21)^2)</f>
        <v>0.47763178138890539</v>
      </c>
      <c r="G21" s="3">
        <f>SIN(B21+$B$5) - 0.1*((C21+$B$5*F21)^2)</f>
        <v>0.47664215508255547</v>
      </c>
      <c r="H21" s="3">
        <f>C21+($B$5/6)*(D21+2*E21+2*F21+G21)</f>
        <v>2.2556350066129705</v>
      </c>
    </row>
    <row r="22" spans="1:8" x14ac:dyDescent="0.15">
      <c r="A22" s="2">
        <f>A21+1</f>
        <v>14</v>
      </c>
      <c r="B22" s="2">
        <f>B21+$B$5</f>
        <v>1.4000000000000001</v>
      </c>
      <c r="C22" s="3">
        <f>H21</f>
        <v>2.2556350066129705</v>
      </c>
      <c r="D22" s="3">
        <f>SIN(B22) - 0.1*(C22^2)</f>
        <v>0.47666080168267078</v>
      </c>
      <c r="E22" s="3">
        <f>SIN(B22+$B$5/2) - 0.1*((C22+$B$5/2*D22)^2)</f>
        <v>0.47311553344627744</v>
      </c>
      <c r="F22" s="3">
        <f>SIN(B22+$B$5/2) - 0.1*((C22+$B$5/2*E22)^2)</f>
        <v>0.47319634356066398</v>
      </c>
      <c r="G22" s="3">
        <f>SIN(B22+$B$5) - 0.1*((C22+$B$5*F22)^2)</f>
        <v>0.46713497876797194</v>
      </c>
      <c r="H22" s="3">
        <f>C22+($B$5/6)*(D22+2*E22+2*F22+G22)</f>
        <v>2.3029086655207127</v>
      </c>
    </row>
    <row r="23" spans="1:8" x14ac:dyDescent="0.15">
      <c r="A23" s="2">
        <f>A22+1</f>
        <v>15</v>
      </c>
      <c r="B23" s="2">
        <f>B22+$B$5</f>
        <v>1.5000000000000002</v>
      </c>
      <c r="C23" s="3">
        <f>H22</f>
        <v>2.3029086655207127</v>
      </c>
      <c r="D23" s="3">
        <f>SIN(B23) - 0.1*(C23^2)</f>
        <v>0.46715615443101544</v>
      </c>
      <c r="E23" s="3">
        <f>SIN(B23+$B$5/2) - 0.1*((C23+$B$5/2*D23)^2)</f>
        <v>0.45863219373625708</v>
      </c>
      <c r="F23" s="3">
        <f>SIN(B23+$B$5/2) - 0.1*((C23+$B$5/2*E23)^2)</f>
        <v>0.45883046561161511</v>
      </c>
      <c r="G23" s="3">
        <f>SIN(B23+$B$5) - 0.1*((C23+$B$5*F23)^2)</f>
        <v>0.44789135236705491</v>
      </c>
      <c r="H23" s="3">
        <f>C23+($B$5/6)*(D23+2*E23+2*F23+G23)</f>
        <v>2.3487415459456096</v>
      </c>
    </row>
    <row r="24" spans="1:8" x14ac:dyDescent="0.15">
      <c r="A24" s="2">
        <f>A23+1</f>
        <v>16</v>
      </c>
      <c r="B24" s="2">
        <f>B23+$B$5</f>
        <v>1.6000000000000003</v>
      </c>
      <c r="C24" s="3">
        <f>H23</f>
        <v>2.3487415459456096</v>
      </c>
      <c r="D24" s="3">
        <f>SIN(B24) - 0.1*(C24^2)</f>
        <v>0.44791491807640793</v>
      </c>
      <c r="E24" s="3">
        <f>SIN(B24+$B$5/2) - 0.1*((C24+$B$5/2*D24)^2)</f>
        <v>0.43463582277401391</v>
      </c>
      <c r="F24" s="3">
        <f>SIN(B24+$B$5/2) - 0.1*((C24+$B$5/2*E24)^2)</f>
        <v>0.43495064427115615</v>
      </c>
      <c r="G24" s="3">
        <f>SIN(B24+$B$5) - 0.1*((C24+$B$5*F24)^2)</f>
        <v>0.41938521045170984</v>
      </c>
      <c r="H24" s="3">
        <f>C24+($B$5/6)*(D24+2*E24+2*F24+G24)</f>
        <v>2.3921827636559172</v>
      </c>
    </row>
    <row r="25" spans="1:8" x14ac:dyDescent="0.15">
      <c r="A25" s="2">
        <f>A24+1</f>
        <v>17</v>
      </c>
      <c r="B25" s="2">
        <f>B24+$B$5</f>
        <v>1.7000000000000004</v>
      </c>
      <c r="C25" s="3">
        <f>H24</f>
        <v>2.3921827636559172</v>
      </c>
      <c r="D25" s="3">
        <f>SIN(B25) - 0.1*(C25^2)</f>
        <v>0.41941097297922236</v>
      </c>
      <c r="E25" s="3">
        <f>SIN(B25+$B$5/2) - 0.1*((C25+$B$5/2*D25)^2)</f>
        <v>0.40165505600513618</v>
      </c>
      <c r="F25" s="3">
        <f>SIN(B25+$B$5/2) - 0.1*((C25+$B$5/2*E25)^2)</f>
        <v>0.4020834546855796</v>
      </c>
      <c r="G25" s="3">
        <f>SIN(B25+$B$5) - 0.1*((C25+$B$5*F25)^2)</f>
        <v>0.38219498010341557</v>
      </c>
      <c r="H25" s="3">
        <f>C25+($B$5/6)*(D25+2*E25+2*F25+G25)</f>
        <v>2.4323341465636519</v>
      </c>
    </row>
    <row r="26" spans="1:8" x14ac:dyDescent="0.15">
      <c r="A26" s="2">
        <f>A25+1</f>
        <v>18</v>
      </c>
      <c r="B26" s="2">
        <f>B25+$B$5</f>
        <v>1.8000000000000005</v>
      </c>
      <c r="C26" s="3">
        <f>H25</f>
        <v>2.4323341465636519</v>
      </c>
      <c r="D26" s="3">
        <f>SIN(B26) - 0.1*(C26^2)</f>
        <v>0.38222269082424221</v>
      </c>
      <c r="E26" s="3">
        <f>SIN(B26+$B$5/2) - 0.1*((C26+$B$5/2*D26)^2)</f>
        <v>0.36031680635016916</v>
      </c>
      <c r="F26" s="3">
        <f>SIN(B26+$B$5/2) - 0.1*((C26+$B$5/2*E26)^2)</f>
        <v>0.36085369715444937</v>
      </c>
      <c r="G26" s="3">
        <f>SIN(B26+$B$5) - 0.1*((C26+$B$5*F26)^2)</f>
        <v>0.33699059685266131</v>
      </c>
      <c r="H26" s="3">
        <f>C26+($B$5/6)*(D26+2*E26+2*F26+G26)</f>
        <v>2.4683600514750874</v>
      </c>
    </row>
    <row r="27" spans="1:8" x14ac:dyDescent="0.15">
      <c r="A27" s="2">
        <f>A26+1</f>
        <v>19</v>
      </c>
      <c r="B27" s="2">
        <f>B26+$B$5</f>
        <v>1.9000000000000006</v>
      </c>
      <c r="C27" s="3">
        <f>H26</f>
        <v>2.4683600514750874</v>
      </c>
      <c r="D27" s="3">
        <f>SIN(B27) - 0.1*(C27^2)</f>
        <v>0.33701995331560453</v>
      </c>
      <c r="E27" s="3">
        <f>SIN(B27+$B$5/2) - 0.1*((C27+$B$5/2*D27)^2)</f>
        <v>0.31133231912668391</v>
      </c>
      <c r="F27" s="3">
        <f>SIN(B27+$B$5/2) - 0.1*((C27+$B$5/2*E27)^2)</f>
        <v>0.31197054608617225</v>
      </c>
      <c r="G27" s="3">
        <f>SIN(B27+$B$5) - 0.1*((C27+$B$5*F27)^2)</f>
        <v>0.28451885416832701</v>
      </c>
      <c r="H27" s="3">
        <f>C27+($B$5/6)*(D27+2*E27+2*F27+G27)</f>
        <v>2.4994957937735816</v>
      </c>
    </row>
    <row r="28" spans="1:8" x14ac:dyDescent="0.15">
      <c r="A28" s="2">
        <f>A27+1</f>
        <v>20</v>
      </c>
      <c r="B28" s="2">
        <f>B27+$B$5</f>
        <v>2.0000000000000004</v>
      </c>
      <c r="C28" s="3">
        <f>H27</f>
        <v>2.4994957937735816</v>
      </c>
      <c r="D28" s="3">
        <f>SIN(B28) - 0.1*(C28^2)</f>
        <v>0.28454950451649885</v>
      </c>
      <c r="E28" s="3">
        <f>SIN(B28+$B$5/2) - 0.1*((C28+$B$5/2*D28)^2)</f>
        <v>0.25548190132246895</v>
      </c>
      <c r="F28" s="3">
        <f>SIN(B28+$B$5/2) - 0.1*((C28+$B$5/2*E28)^2)</f>
        <v>0.25621236919630896</v>
      </c>
      <c r="G28" s="3">
        <f>SIN(B28+$B$5) - 0.1*((C28+$B$5*F28)^2)</f>
        <v>0.22558776477918296</v>
      </c>
      <c r="H28" s="3">
        <f>C28+($B$5/6)*(D28+2*E28+2*F28+G28)</f>
        <v>2.5250545572791356</v>
      </c>
    </row>
    <row r="29" spans="1:8" x14ac:dyDescent="0.15">
      <c r="A29" s="2">
        <f>A28+1</f>
        <v>21</v>
      </c>
      <c r="B29" s="2">
        <f>B28+$B$5</f>
        <v>2.1000000000000005</v>
      </c>
      <c r="C29" s="3">
        <f>H28</f>
        <v>2.5250545572791356</v>
      </c>
      <c r="D29" s="3">
        <f>SIN(B29) - 0.1*(C29^2)</f>
        <v>0.22561931492526022</v>
      </c>
      <c r="E29" s="3">
        <f>SIN(B29+$B$5/2) - 0.1*((C29+$B$5/2*D29)^2)</f>
        <v>0.1935990022624452</v>
      </c>
      <c r="F29" s="3">
        <f>SIN(B29+$B$5/2) - 0.1*((C29+$B$5/2*E29)^2)</f>
        <v>0.19441088850199029</v>
      </c>
      <c r="G29" s="3">
        <f>SIN(B29+$B$5) - 0.1*((C29+$B$5*F29)^2)</f>
        <v>0.16105059450247572</v>
      </c>
      <c r="H29" s="3">
        <f>C29+($B$5/6)*(D29+2*E29+2*F29+G29)</f>
        <v>2.544432718795079</v>
      </c>
    </row>
    <row r="30" spans="1:8" x14ac:dyDescent="0.15">
      <c r="A30" s="2">
        <f>A29+1</f>
        <v>22</v>
      </c>
      <c r="B30" s="2">
        <f>B29+$B$5</f>
        <v>2.2000000000000006</v>
      </c>
      <c r="C30" s="3">
        <f>H29</f>
        <v>2.544432718795079</v>
      </c>
      <c r="D30" s="3">
        <f>SIN(B30) - 0.1*(C30^2)</f>
        <v>0.16108261777209809</v>
      </c>
      <c r="E30" s="3">
        <f>SIN(B30+$B$5/2) - 0.1*((C30+$B$5/2*D30)^2)</f>
        <v>0.1265542851071072</v>
      </c>
      <c r="F30" s="3">
        <f>SIN(B30+$B$5/2) - 0.1*((C30+$B$5/2*E30)^2)</f>
        <v>0.1274353182063569</v>
      </c>
      <c r="G30" s="3">
        <f>SIN(B30+$B$5) - 0.1*((C30+$B$5*F30)^2)</f>
        <v>9.1790174505415378E-2</v>
      </c>
      <c r="H30" s="3">
        <f>C30+($B$5/6)*(D30+2*E30+2*F30+G30)</f>
        <v>2.5571135854434863</v>
      </c>
    </row>
    <row r="31" spans="1:8" x14ac:dyDescent="0.15">
      <c r="A31" s="2">
        <f>A30+1</f>
        <v>23</v>
      </c>
      <c r="B31" s="2">
        <f>B30+$B$5</f>
        <v>2.3000000000000007</v>
      </c>
      <c r="C31" s="3">
        <f>H30</f>
        <v>2.5571135854434863</v>
      </c>
      <c r="D31" s="3">
        <f>SIN(B31) - 0.1*(C31^2)</f>
        <v>9.1822223290755511E-2</v>
      </c>
      <c r="E31" s="3">
        <f>SIN(B31+$B$5/2) - 0.1*((C31+$B$5/2*D31)^2)</f>
        <v>5.5240257528483161E-2</v>
      </c>
      <c r="F31" s="3">
        <f>SIN(B31+$B$5/2) - 0.1*((C31+$B$5/2*E31)^2)</f>
        <v>5.6177044903472084E-2</v>
      </c>
      <c r="G31" s="3">
        <f>SIN(B31+$B$5) - 0.1*((C31+$B$5*F31)^2)</f>
        <v>1.870401411055711E-2</v>
      </c>
      <c r="H31" s="3">
        <f>C31+($B$5/6)*(D31+2*E31+2*F31+G31)</f>
        <v>2.5626695994812398</v>
      </c>
    </row>
    <row r="32" spans="1:8" x14ac:dyDescent="0.15">
      <c r="A32" s="2">
        <f>A31+1</f>
        <v>24</v>
      </c>
      <c r="B32" s="2">
        <f>B31+$B$5</f>
        <v>2.4000000000000008</v>
      </c>
      <c r="C32" s="3">
        <f>H31</f>
        <v>2.5626695994812398</v>
      </c>
      <c r="D32" s="3">
        <f>SIN(B32) - 0.1*(C32^2)</f>
        <v>1.873563294061642E-2</v>
      </c>
      <c r="E32" s="3">
        <f>SIN(B32+$B$5/2) - 0.1*((C32+$B$5/2*D32)^2)</f>
        <v>-1.944306560165554E-2</v>
      </c>
      <c r="F32" s="3">
        <f>SIN(B32+$B$5/2) - 0.1*((C32+$B$5/2*E32)^2)</f>
        <v>-1.8464678452849714E-2</v>
      </c>
      <c r="G32" s="3">
        <f>SIN(B32+$B$5) - 0.1*((C32+$B$5*F32)^2)</f>
        <v>-5.7309367048222093E-2</v>
      </c>
      <c r="H32" s="3">
        <f>C32+($B$5/6)*(D32+2*E32+2*F32+G32)</f>
        <v>2.5607631124442962</v>
      </c>
    </row>
    <row r="33" spans="1:8" x14ac:dyDescent="0.15">
      <c r="A33" s="2">
        <f>A32+1</f>
        <v>25</v>
      </c>
      <c r="B33" s="2">
        <f>B32+$B$5</f>
        <v>2.5000000000000009</v>
      </c>
      <c r="C33" s="3">
        <f>H32</f>
        <v>2.5607631124442962</v>
      </c>
      <c r="D33" s="3">
        <f>SIN(B33) - 0.1*(C33^2)</f>
        <v>-5.7278627701584206E-2</v>
      </c>
      <c r="E33" s="3">
        <f>SIN(B33+$B$5/2) - 0.1*((C33+$B$5/2*D33)^2)</f>
        <v>-9.6601104654924996E-2</v>
      </c>
      <c r="F33" s="3">
        <f>SIN(B33+$B$5/2) - 0.1*((C33+$B$5/2*E33)^2)</f>
        <v>-9.5595661903261853E-2</v>
      </c>
      <c r="G33" s="3">
        <f>SIN(B33+$B$5) - 0.1*((C33+$B$5*F33)^2)</f>
        <v>-0.13536258162042003</v>
      </c>
      <c r="H33" s="3">
        <f>C33+($B$5/6)*(D33+2*E33+2*F33+G33)</f>
        <v>2.5511458667369897</v>
      </c>
    </row>
    <row r="34" spans="1:8" x14ac:dyDescent="0.15">
      <c r="A34" s="2">
        <f>A33+1</f>
        <v>26</v>
      </c>
      <c r="B34" s="2">
        <f>B33+$B$5</f>
        <v>2.600000000000001</v>
      </c>
      <c r="C34" s="3">
        <f>H33</f>
        <v>2.5511458667369897</v>
      </c>
      <c r="D34" s="3">
        <f>SIN(B34) - 0.1*(C34^2)</f>
        <v>-0.13533315151545933</v>
      </c>
      <c r="E34" s="3">
        <f>SIN(B34+$B$5/2) - 0.1*((C34+$B$5/2*D34)^2)</f>
        <v>-0.17535601471130413</v>
      </c>
      <c r="F34" s="3">
        <f>SIN(B34+$B$5/2) - 0.1*((C34+$B$5/2*E34)^2)</f>
        <v>-0.17433808175863252</v>
      </c>
      <c r="G34" s="3">
        <f>SIN(B34+$B$5) - 0.1*((C34+$B$5*F34)^2)</f>
        <v>-0.21458979933597727</v>
      </c>
      <c r="H34" s="3">
        <f>C34+($B$5/6)*(D34+2*E34+2*F34+G34)</f>
        <v>2.5336573476738011</v>
      </c>
    </row>
    <row r="35" spans="1:8" x14ac:dyDescent="0.15">
      <c r="A35" s="2">
        <f>A34+1</f>
        <v>27</v>
      </c>
      <c r="B35" s="2">
        <f>B34+$B$5</f>
        <v>2.7000000000000011</v>
      </c>
      <c r="C35" s="3">
        <f>H34</f>
        <v>2.5336573476738011</v>
      </c>
      <c r="D35" s="3">
        <f>SIN(B35) - 0.1*(C35^2)</f>
        <v>-0.21456207530831523</v>
      </c>
      <c r="E35" s="3">
        <f>SIN(B35+$B$5/2) - 0.1*((C35+$B$5/2*D35)^2)</f>
        <v>-0.25485620492448297</v>
      </c>
      <c r="F35" s="3">
        <f>SIN(B35+$B$5/2) - 0.1*((C35+$B$5/2*E35)^2)</f>
        <v>-0.25384001844903864</v>
      </c>
      <c r="G35" s="3">
        <f>SIN(B35+$B$5) - 0.1*((C35+$B$5*F35)^2)</f>
        <v>-0.29415536758366517</v>
      </c>
      <c r="H35" s="3">
        <f>C35+($B$5/6)*(D35+2*E35+2*F35+G35)</f>
        <v>2.5082221828464841</v>
      </c>
    </row>
    <row r="36" spans="1:8" x14ac:dyDescent="0.15">
      <c r="A36" s="2">
        <f>A35+1</f>
        <v>28</v>
      </c>
      <c r="B36" s="2">
        <f>B35+$B$5</f>
        <v>2.8000000000000012</v>
      </c>
      <c r="C36" s="3">
        <f>H35</f>
        <v>2.5082221828464841</v>
      </c>
      <c r="D36" s="3">
        <f>SIN(B36) - 0.1*(C36^2)</f>
        <v>-0.29412970169641434</v>
      </c>
      <c r="E36" s="3">
        <f>SIN(B36+$B$5/2) - 0.1*((C36+$B$5/2*D36)^2)</f>
        <v>-0.33428404115583998</v>
      </c>
      <c r="F36" s="3">
        <f>SIN(B36+$B$5/2) - 0.1*((C36+$B$5/2*E36)^2)</f>
        <v>-0.33328318949083102</v>
      </c>
      <c r="G36" s="3">
        <f>SIN(B36+$B$5) - 0.1*((C36+$B$5*F36)^2)</f>
        <v>-0.37326063454171965</v>
      </c>
      <c r="H36" s="3">
        <f>C36+($B$5/6)*(D36+2*E36+2*F36+G36)</f>
        <v>2.4748467695542931</v>
      </c>
    </row>
    <row r="37" spans="1:8" x14ac:dyDescent="0.15">
      <c r="A37" s="2">
        <f>A36+1</f>
        <v>29</v>
      </c>
      <c r="B37" s="2">
        <f>B36+$B$5</f>
        <v>2.9000000000000012</v>
      </c>
      <c r="C37" s="3">
        <f>H36</f>
        <v>2.4748467695542931</v>
      </c>
      <c r="D37" s="3">
        <f>SIN(B37) - 0.1*(C37^2)</f>
        <v>-0.37323732406335097</v>
      </c>
      <c r="E37" s="3">
        <f>SIN(B37+$B$5/2) - 0.1*((C37+$B$5/2*D37)^2)</f>
        <v>-0.41286178058397149</v>
      </c>
      <c r="F37" s="3">
        <f>SIN(B37+$B$5/2) - 0.1*((C37+$B$5/2*E37)^2)</f>
        <v>-0.41188892318926595</v>
      </c>
      <c r="G37" s="3">
        <f>SIN(B37+$B$5) - 0.1*((C37+$B$5*F37)^2)</f>
        <v>-0.45114905828310903</v>
      </c>
      <c r="H37" s="3">
        <f>C37+($B$5/6)*(D37+2*E37+2*F37+G37)</f>
        <v>2.4336153063894108</v>
      </c>
    </row>
    <row r="38" spans="1:8" x14ac:dyDescent="0.15">
      <c r="A38" s="2">
        <f>A37+1</f>
        <v>30</v>
      </c>
      <c r="B38" s="2">
        <f>B37+$B$5</f>
        <v>3.0000000000000013</v>
      </c>
      <c r="C38" s="3">
        <f>H37</f>
        <v>2.4336153063894108</v>
      </c>
      <c r="D38" s="3">
        <f>SIN(B38) - 0.1*(C38^2)</f>
        <v>-0.45112833788941664</v>
      </c>
      <c r="E38" s="3">
        <f>SIN(B38+$B$5/2) - 0.1*((C38+$B$5/2*D38)^2)</f>
        <v>-0.48985585462882153</v>
      </c>
      <c r="F38" s="3">
        <f>SIN(B38+$B$5/2) - 0.1*((C38+$B$5/2*E38)^2)</f>
        <v>-0.48892248634893365</v>
      </c>
      <c r="G38" s="3">
        <f>SIN(B38+$B$5) - 0.1*((C38+$B$5*F38)^2)</f>
        <v>-0.52710974378531628</v>
      </c>
      <c r="H38" s="3">
        <f>C38+($B$5/6)*(D38+2*E38+2*F38+G38)</f>
        <v>2.3846853936622403</v>
      </c>
    </row>
    <row r="39" spans="1:8" x14ac:dyDescent="0.15">
      <c r="A39" s="2">
        <f>A38+1</f>
        <v>31</v>
      </c>
      <c r="B39" s="2">
        <f>B38+$B$5</f>
        <v>3.1000000000000014</v>
      </c>
      <c r="C39" s="3">
        <f>H38</f>
        <v>2.3846853936622403</v>
      </c>
      <c r="D39" s="3">
        <f>SIN(B39) - 0.1*(C39^2)</f>
        <v>-0.5270917802413142</v>
      </c>
      <c r="E39" s="3">
        <f>SIN(B39+$B$5/2) - 0.1*((C39+$B$5/2*D39)^2)</f>
        <v>-0.56457966578334395</v>
      </c>
      <c r="F39" s="3">
        <f>SIN(B39+$B$5/2) - 0.1*((C39+$B$5/2*E39)^2)</f>
        <v>-0.56369592876598484</v>
      </c>
      <c r="G39" s="3">
        <f>SIN(B39+$B$5) - 0.1*((C39+$B$5*F39)^2)</f>
        <v>-0.60047959024638975</v>
      </c>
      <c r="H39" s="3">
        <f>C39+($B$5/6)*(D39+2*E39+2*F39+G39)</f>
        <v>2.3282833510024674</v>
      </c>
    </row>
    <row r="40" spans="1:8" x14ac:dyDescent="0.15">
      <c r="A40" s="2">
        <f>A39+1</f>
        <v>32</v>
      </c>
      <c r="B40" s="2">
        <f>B39+$B$5</f>
        <v>3.2000000000000015</v>
      </c>
      <c r="C40" s="3">
        <f>H39</f>
        <v>2.3282833510024674</v>
      </c>
      <c r="D40" s="3">
        <f>SIN(B40) - 0.1*(C40^2)</f>
        <v>-0.60046447968310934</v>
      </c>
      <c r="E40" s="3">
        <f>SIN(B40+$B$5/2) - 0.1*((C40+$B$5/2*D40)^2)</f>
        <v>-0.63639509567433228</v>
      </c>
      <c r="F40" s="3">
        <f>SIN(B40+$B$5/2) - 0.1*((C40+$B$5/2*E40)^2)</f>
        <v>-0.63556963940590561</v>
      </c>
      <c r="G40" s="3">
        <f>SIN(B40+$B$5) - 0.1*((C40+$B$5*F40)^2)</f>
        <v>-0.67064425496868418</v>
      </c>
      <c r="H40" s="3">
        <f>C40+($B$5/6)*(D40+2*E40+2*F40+G40)</f>
        <v>2.2646993809222629</v>
      </c>
    </row>
    <row r="41" spans="1:8" x14ac:dyDescent="0.15">
      <c r="A41" s="2">
        <f>A40+1</f>
        <v>33</v>
      </c>
      <c r="B41" s="2">
        <f>B40+$B$5</f>
        <v>3.3000000000000016</v>
      </c>
      <c r="C41" s="3">
        <f>H40</f>
        <v>2.2646993809222629</v>
      </c>
      <c r="D41" s="3">
        <f>SIN(B41) - 0.1*(C41^2)</f>
        <v>-0.67063202273821809</v>
      </c>
      <c r="E41" s="3">
        <f>SIN(B41+$B$5/2) - 0.1*((C41+$B$5/2*D41)^2)</f>
        <v>-0.70471293782863076</v>
      </c>
      <c r="F41" s="3">
        <f>SIN(B41+$B$5/2) - 0.1*((C41+$B$5/2*E41)^2)</f>
        <v>-0.70395282580927077</v>
      </c>
      <c r="G41" s="3">
        <f>SIN(B41+$B$5) - 0.1*((C41+$B$5*F41)^2)</f>
        <v>-0.7370381496265912</v>
      </c>
      <c r="H41" s="3">
        <f>C41+($B$5/6)*(D41+2*E41+2*F41+G41)</f>
        <v>2.1942826859282527</v>
      </c>
    </row>
    <row r="42" spans="1:8" x14ac:dyDescent="0.15">
      <c r="A42" s="2">
        <f>A41+1</f>
        <v>34</v>
      </c>
      <c r="B42" s="2">
        <f>B41+$B$5</f>
        <v>3.4000000000000017</v>
      </c>
      <c r="C42" s="3">
        <f>H41</f>
        <v>2.1942826859282527</v>
      </c>
      <c r="D42" s="3">
        <f>SIN(B42) - 0.1*(C42^2)</f>
        <v>-0.73702875260328371</v>
      </c>
      <c r="E42" s="3">
        <f>SIN(B42+$B$5/2) - 0.1*((C42+$B$5/2*D42)^2)</f>
        <v>-0.76899247182173558</v>
      </c>
      <c r="F42" s="3">
        <f>SIN(B42+$B$5/2) - 0.1*((C42+$B$5/2*E42)^2)</f>
        <v>-0.76830313197503497</v>
      </c>
      <c r="G42" s="3">
        <f>SIN(B42+$B$5) - 0.1*((C42+$B$5*F42)^2)</f>
        <v>-0.79914368276792946</v>
      </c>
      <c r="H42" s="3">
        <f>C42+($B$5/6)*(D42+2*E42+2*F42+G42)</f>
        <v>2.1174366252121737</v>
      </c>
    </row>
    <row r="43" spans="1:8" x14ac:dyDescent="0.15">
      <c r="A43" s="2">
        <f>A42+1</f>
        <v>35</v>
      </c>
      <c r="B43" s="2">
        <f>B42+$B$5</f>
        <v>3.5000000000000018</v>
      </c>
      <c r="C43" s="3">
        <f>H42</f>
        <v>2.1174366252121737</v>
      </c>
      <c r="D43" s="3">
        <f>SIN(B43) - 0.1*(C43^2)</f>
        <v>-0.79913701386861347</v>
      </c>
      <c r="E43" s="3">
        <f>SIN(B43+$B$5/2) - 0.1*((C43+$B$5/2*D43)^2)</f>
        <v>-0.82874038863940624</v>
      </c>
      <c r="F43" s="3">
        <f>SIN(B43+$B$5/2) - 0.1*((C43+$B$5/2*E43)^2)</f>
        <v>-0.82812560360591736</v>
      </c>
      <c r="G43" s="3">
        <f>SIN(B43+$B$5) - 0.1*((C43+$B$5*F43)^2)</f>
        <v>-0.85648995182217147</v>
      </c>
      <c r="H43" s="3">
        <f>C43+($B$5/6)*(D43+2*E43+2*F43+G43)</f>
        <v>2.0346139760424831</v>
      </c>
    </row>
    <row r="44" spans="1:8" x14ac:dyDescent="0.15">
      <c r="A44" s="2">
        <f>A43+1</f>
        <v>36</v>
      </c>
      <c r="B44" s="2">
        <f>B43+$B$5</f>
        <v>3.6000000000000019</v>
      </c>
      <c r="C44" s="3">
        <f>H43</f>
        <v>2.0346139760424831</v>
      </c>
      <c r="D44" s="3">
        <f>SIN(B44) - 0.1*(C44^2)</f>
        <v>-0.85648584644559433</v>
      </c>
      <c r="E44" s="3">
        <f>SIN(B44+$B$5/2) - 0.1*((C44+$B$5/2*D44)^2)</f>
        <v>-0.88350926307312372</v>
      </c>
      <c r="F44" s="3">
        <f>SIN(B44+$B$5/2) - 0.1*((C44+$B$5/2*E44)^2)</f>
        <v>-0.88297119601480945</v>
      </c>
      <c r="G44" s="3">
        <f>SIN(B44+$B$5) - 0.1*((C44+$B$5*F44)^2)</f>
        <v>-0.90865107147513324</v>
      </c>
      <c r="H44" s="3">
        <f>C44+($B$5/6)*(D44+2*E44+2*F44+G44)</f>
        <v>1.9463123454408731</v>
      </c>
    </row>
    <row r="45" spans="1:8" x14ac:dyDescent="0.15">
      <c r="A45" s="2">
        <f>A44+1</f>
        <v>37</v>
      </c>
      <c r="B45" s="2">
        <f>B44+$B$5</f>
        <v>3.700000000000002</v>
      </c>
      <c r="C45" s="3">
        <f>H44</f>
        <v>1.9463123454408731</v>
      </c>
      <c r="D45" s="3">
        <f>SIN(B45) - 0.1*(C45^2)</f>
        <v>-0.90864931551005013</v>
      </c>
      <c r="E45" s="3">
        <f>SIN(B45+$B$5/2) - 0.1*((C45+$B$5/2*D45)^2)</f>
        <v>-0.93289575043400863</v>
      </c>
      <c r="F45" s="3">
        <f>SIN(B45+$B$5/2) - 0.1*((C45+$B$5/2*E45)^2)</f>
        <v>-0.93243500180340466</v>
      </c>
      <c r="G45" s="3">
        <f>SIN(B45+$B$5) - 0.1*((C45+$B$5*F45)^2)</f>
        <v>-0.95524430547024108</v>
      </c>
      <c r="H45" s="3">
        <f>C45+($B$5/6)*(D45+2*E45+2*F45+G45)</f>
        <v>1.853069760016621</v>
      </c>
    </row>
    <row r="46" spans="1:8" x14ac:dyDescent="0.15">
      <c r="A46" s="2">
        <f>A45+1</f>
        <v>38</v>
      </c>
      <c r="B46" s="2">
        <f>B45+$B$5</f>
        <v>3.800000000000002</v>
      </c>
      <c r="C46" s="3">
        <f>H45</f>
        <v>1.853069760016621</v>
      </c>
      <c r="D46" s="3">
        <f>SIN(B46) - 0.1*(C46^2)</f>
        <v>-0.95524464449152646</v>
      </c>
      <c r="E46" s="3">
        <f>SIN(B46+$B$5/2) - 0.1*((C46+$B$5/2*D46)^2)</f>
        <v>-0.9765386640554311</v>
      </c>
      <c r="F46" s="3">
        <f>SIN(B46+$B$5/2) - 0.1*((C46+$B$5/2*E46)^2)</f>
        <v>-0.97615435487609181</v>
      </c>
      <c r="G46" s="3">
        <f>SIN(B46+$B$5) - 0.1*((C46+$B$5*F46)^2)</f>
        <v>-0.99592814773473637</v>
      </c>
      <c r="H46" s="3">
        <f>C46+($B$5/6)*(D46+2*E46+2*F46+G46)</f>
        <v>1.7554604461817993</v>
      </c>
    </row>
    <row r="47" spans="1:8" x14ac:dyDescent="0.15">
      <c r="A47" s="2">
        <f>A46+1</f>
        <v>39</v>
      </c>
      <c r="B47" s="2">
        <f>B46+$B$5</f>
        <v>3.9000000000000021</v>
      </c>
      <c r="C47" s="3">
        <f>H46</f>
        <v>1.7554604461817993</v>
      </c>
      <c r="D47" s="3">
        <f>SIN(B47) - 0.1*(C47^2)</f>
        <v>-0.99593029699485558</v>
      </c>
      <c r="E47" s="3">
        <f>SIN(B47+$B$5/2) - 0.1*((C47+$B$5/2*D47)^2)</f>
        <v>-1.014117068751226</v>
      </c>
      <c r="F47" s="3">
        <f>SIN(B47+$B$5/2) - 0.1*((C47+$B$5/2*E47)^2)</f>
        <v>-1.0138069462347707</v>
      </c>
      <c r="G47" s="3">
        <f>SIN(B47+$B$5) - 0.1*((C47+$B$5*F47)^2)</f>
        <v>-1.0304004777594535</v>
      </c>
      <c r="H47" s="3">
        <f>C47+($B$5/6)*(D47+2*E47+2*F47+G47)</f>
        <v>1.6540907994363609</v>
      </c>
    </row>
    <row r="48" spans="1:8" x14ac:dyDescent="0.15">
      <c r="A48" s="2">
        <f>A47+1</f>
        <v>40</v>
      </c>
      <c r="B48" s="2">
        <f>B47+$B$5</f>
        <v>4.0000000000000018</v>
      </c>
      <c r="C48" s="3">
        <f>H47</f>
        <v>1.6540907994363609</v>
      </c>
      <c r="D48" s="3">
        <f>SIN(B48) - 0.1*(C48^2)</f>
        <v>-1.0304041325859314</v>
      </c>
      <c r="E48" s="3">
        <f>SIN(B48+$B$5/2) - 0.1*((C48+$B$5/2*D48)^2)</f>
        <v>-1.0453485049191946</v>
      </c>
      <c r="F48" s="3">
        <f>SIN(B48+$B$5/2) - 0.1*((C48+$B$5/2*E48)^2)</f>
        <v>-1.0451090666364684</v>
      </c>
      <c r="G48" s="3">
        <f>SIN(B48+$B$5) - 0.1*((C48+$B$5*F48)^2)</f>
        <v>-1.058396895472961</v>
      </c>
      <c r="H48" s="3">
        <f>C48+($B$5/6)*(D48+2*E48+2*F48+G48)</f>
        <v>1.5495955299168573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Euler Method</vt:lpstr>
      <vt:lpstr>Leapfrog Method</vt:lpstr>
      <vt:lpstr>Runge-Kutta (RK4)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知花 チアゴ</dc:creator>
  <cp:lastModifiedBy>知花 チアゴ</cp:lastModifiedBy>
  <dcterms:created xsi:type="dcterms:W3CDTF">2025-12-03T00:19:38Z</dcterms:created>
  <dcterms:modified xsi:type="dcterms:W3CDTF">2025-12-03T02:30:11Z</dcterms:modified>
</cp:coreProperties>
</file>