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GitHub\Study_Area\C++\From_Calculus_to_Computer_Simulation\Notes\"/>
    </mc:Choice>
  </mc:AlternateContent>
  <xr:revisionPtr revIDLastSave="0" documentId="13_ncr:1_{DF214D42-F6BB-4B54-8672-FA006E45ACDF}" xr6:coauthVersionLast="47" xr6:coauthVersionMax="47" xr10:uidLastSave="{00000000-0000-0000-0000-000000000000}"/>
  <bookViews>
    <workbookView xWindow="-120" yWindow="-120" windowWidth="29040" windowHeight="15720" xr2:uid="{C92EB28B-F483-419F-BFE6-6B851B6B9847}"/>
  </bookViews>
  <sheets>
    <sheet name="Hand Calculation" sheetId="4" r:id="rId1"/>
    <sheet name="Trapezoidal Rule" sheetId="1" r:id="rId2"/>
    <sheet name="Simpson 1_3" sheetId="2" r:id="rId3"/>
    <sheet name="Simpson 3_8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3" i="3" a="1"/>
  <c r="B3" i="3" s="1"/>
  <c r="B208" i="3"/>
  <c r="C208" i="3" s="1"/>
  <c r="D208" i="3" s="1"/>
  <c r="B209" i="3"/>
  <c r="C209" i="3" s="1"/>
  <c r="D209" i="3" s="1"/>
  <c r="B210" i="3"/>
  <c r="C210" i="3" s="1"/>
  <c r="D210" i="3" s="1"/>
  <c r="B211" i="3"/>
  <c r="C211" i="3"/>
  <c r="D211" i="3"/>
  <c r="B212" i="3"/>
  <c r="C212" i="3"/>
  <c r="D212" i="3"/>
  <c r="B213" i="3"/>
  <c r="C213" i="3"/>
  <c r="D213" i="3"/>
  <c r="B214" i="3"/>
  <c r="C214" i="3"/>
  <c r="D214" i="3"/>
  <c r="B215" i="3"/>
  <c r="C215" i="3"/>
  <c r="B216" i="3"/>
  <c r="C216" i="3" s="1"/>
  <c r="B217" i="3"/>
  <c r="C217" i="3" s="1"/>
  <c r="D217" i="3" s="1"/>
  <c r="B218" i="3"/>
  <c r="D218" i="3" s="1"/>
  <c r="C218" i="3"/>
  <c r="B219" i="3"/>
  <c r="C219" i="3"/>
  <c r="D219" i="3"/>
  <c r="B220" i="3"/>
  <c r="C220" i="3"/>
  <c r="B221" i="3"/>
  <c r="C221" i="3"/>
  <c r="D221" i="3"/>
  <c r="B222" i="3"/>
  <c r="C222" i="3" s="1"/>
  <c r="B223" i="3"/>
  <c r="C223" i="3" s="1"/>
  <c r="B224" i="3"/>
  <c r="C224" i="3"/>
  <c r="D224" i="3"/>
  <c r="B225" i="3"/>
  <c r="C225" i="3" s="1"/>
  <c r="B226" i="3"/>
  <c r="C226" i="3"/>
  <c r="D226" i="3"/>
  <c r="B227" i="3"/>
  <c r="C227" i="3" s="1"/>
  <c r="B228" i="3"/>
  <c r="C228" i="3"/>
  <c r="D228" i="3"/>
  <c r="B229" i="3"/>
  <c r="C229" i="3" s="1"/>
  <c r="D229" i="3" s="1"/>
  <c r="B230" i="3"/>
  <c r="C230" i="3"/>
  <c r="D230" i="3" s="1"/>
  <c r="B231" i="3"/>
  <c r="C231" i="3"/>
  <c r="D231" i="3"/>
  <c r="B232" i="3"/>
  <c r="C232" i="3"/>
  <c r="D232" i="3"/>
  <c r="B233" i="3"/>
  <c r="D233" i="3" s="1"/>
  <c r="C233" i="3"/>
  <c r="B234" i="3"/>
  <c r="C234" i="3"/>
  <c r="D234" i="3"/>
  <c r="B235" i="3"/>
  <c r="C235" i="3" s="1"/>
  <c r="B236" i="3"/>
  <c r="C236" i="3"/>
  <c r="B237" i="3"/>
  <c r="C237" i="3" s="1"/>
  <c r="D237" i="3" s="1"/>
  <c r="B238" i="3"/>
  <c r="C238" i="3"/>
  <c r="D238" i="3"/>
  <c r="B239" i="3"/>
  <c r="C239" i="3"/>
  <c r="D239" i="3"/>
  <c r="B240" i="3"/>
  <c r="C240" i="3"/>
  <c r="B241" i="3"/>
  <c r="C241" i="3"/>
  <c r="D241" i="3"/>
  <c r="B242" i="3"/>
  <c r="C242" i="3" s="1"/>
  <c r="B243" i="3"/>
  <c r="C243" i="3" s="1"/>
  <c r="B244" i="3"/>
  <c r="C244" i="3"/>
  <c r="D244" i="3"/>
  <c r="B245" i="3"/>
  <c r="C245" i="3"/>
  <c r="D245" i="3"/>
  <c r="B246" i="3"/>
  <c r="C246" i="3"/>
  <c r="D246" i="3"/>
  <c r="B247" i="3"/>
  <c r="C247" i="3" s="1"/>
  <c r="B248" i="3"/>
  <c r="C248" i="3"/>
  <c r="D248" i="3"/>
  <c r="B249" i="3"/>
  <c r="C249" i="3" s="1"/>
  <c r="D249" i="3" s="1"/>
  <c r="B250" i="3"/>
  <c r="C250" i="3"/>
  <c r="D250" i="3" s="1"/>
  <c r="B251" i="3"/>
  <c r="D251" i="3" s="1"/>
  <c r="C251" i="3"/>
  <c r="B252" i="3"/>
  <c r="C252" i="3"/>
  <c r="D252" i="3"/>
  <c r="B253" i="3"/>
  <c r="C253" i="3" s="1"/>
  <c r="B254" i="3"/>
  <c r="C254" i="3"/>
  <c r="D254" i="3"/>
  <c r="B255" i="3"/>
  <c r="C255" i="3"/>
  <c r="B256" i="3"/>
  <c r="C256" i="3"/>
  <c r="D256" i="3" s="1"/>
  <c r="B257" i="3"/>
  <c r="C257" i="3" s="1"/>
  <c r="D257" i="3" s="1"/>
  <c r="B258" i="3"/>
  <c r="C258" i="3"/>
  <c r="D258" i="3"/>
  <c r="B259" i="3"/>
  <c r="D259" i="3" s="1"/>
  <c r="C259" i="3"/>
  <c r="B260" i="3"/>
  <c r="C260" i="3"/>
  <c r="B261" i="3"/>
  <c r="D261" i="3" s="1"/>
  <c r="C261" i="3"/>
  <c r="B262" i="3"/>
  <c r="C262" i="3" s="1"/>
  <c r="B263" i="3"/>
  <c r="C263" i="3" s="1"/>
  <c r="B264" i="3"/>
  <c r="C264" i="3"/>
  <c r="D264" i="3"/>
  <c r="B265" i="3"/>
  <c r="C265" i="3"/>
  <c r="D265" i="3"/>
  <c r="B266" i="3"/>
  <c r="C266" i="3"/>
  <c r="D266" i="3"/>
  <c r="B267" i="3"/>
  <c r="C267" i="3" s="1"/>
  <c r="B268" i="3"/>
  <c r="D268" i="3" s="1"/>
  <c r="C268" i="3"/>
  <c r="B269" i="3"/>
  <c r="C269" i="3" s="1"/>
  <c r="D269" i="3" s="1"/>
  <c r="B270" i="3"/>
  <c r="C270" i="3"/>
  <c r="D270" i="3" s="1"/>
  <c r="B271" i="3"/>
  <c r="C271" i="3" s="1"/>
  <c r="B272" i="3"/>
  <c r="C272" i="3"/>
  <c r="D272" i="3"/>
  <c r="B273" i="3"/>
  <c r="C273" i="3"/>
  <c r="D273" i="3"/>
  <c r="B274" i="3"/>
  <c r="C274" i="3"/>
  <c r="D274" i="3"/>
  <c r="B275" i="3"/>
  <c r="C275" i="3"/>
  <c r="B276" i="3"/>
  <c r="C276" i="3"/>
  <c r="D276" i="3" s="1"/>
  <c r="B277" i="3"/>
  <c r="C277" i="3" s="1"/>
  <c r="D277" i="3" s="1"/>
  <c r="B278" i="3"/>
  <c r="C278" i="3"/>
  <c r="D278" i="3"/>
  <c r="B279" i="3"/>
  <c r="C279" i="3" s="1"/>
  <c r="B280" i="3"/>
  <c r="C280" i="3"/>
  <c r="B281" i="3"/>
  <c r="C281" i="3"/>
  <c r="D281" i="3"/>
  <c r="B282" i="3"/>
  <c r="C282" i="3" s="1"/>
  <c r="B283" i="3"/>
  <c r="C283" i="3" s="1"/>
  <c r="B284" i="3"/>
  <c r="C284" i="3"/>
  <c r="D284" i="3"/>
  <c r="B285" i="3"/>
  <c r="C285" i="3"/>
  <c r="D285" i="3"/>
  <c r="B286" i="3"/>
  <c r="C286" i="3" s="1"/>
  <c r="D286" i="3" s="1"/>
  <c r="B287" i="3"/>
  <c r="C287" i="3" s="1"/>
  <c r="B288" i="3"/>
  <c r="C288" i="3" s="1"/>
  <c r="B289" i="3"/>
  <c r="C289" i="3" s="1"/>
  <c r="D289" i="3" s="1"/>
  <c r="B290" i="3"/>
  <c r="C290" i="3"/>
  <c r="D290" i="3" s="1"/>
  <c r="B291" i="3"/>
  <c r="C291" i="3"/>
  <c r="D291" i="3"/>
  <c r="B292" i="3"/>
  <c r="C292" i="3"/>
  <c r="D292" i="3"/>
  <c r="B293" i="3"/>
  <c r="C293" i="3"/>
  <c r="D293" i="3"/>
  <c r="B294" i="3"/>
  <c r="C294" i="3" s="1"/>
  <c r="B295" i="3"/>
  <c r="C295" i="3"/>
  <c r="B296" i="3"/>
  <c r="C296" i="3" s="1"/>
  <c r="B297" i="3"/>
  <c r="C297" i="3" s="1"/>
  <c r="D297" i="3" s="1"/>
  <c r="B298" i="3"/>
  <c r="C298" i="3"/>
  <c r="D298" i="3"/>
  <c r="B299" i="3"/>
  <c r="C299" i="3"/>
  <c r="D299" i="3"/>
  <c r="B300" i="3"/>
  <c r="C300" i="3"/>
  <c r="B301" i="3"/>
  <c r="C301" i="3"/>
  <c r="D301" i="3"/>
  <c r="B302" i="3"/>
  <c r="C302" i="3" s="1"/>
  <c r="B303" i="3"/>
  <c r="C303" i="3" s="1"/>
  <c r="B304" i="3"/>
  <c r="C304" i="3" s="1"/>
  <c r="D304" i="3" s="1"/>
  <c r="B305" i="3"/>
  <c r="D305" i="3" s="1"/>
  <c r="C305" i="3"/>
  <c r="B306" i="3"/>
  <c r="C306" i="3"/>
  <c r="D306" i="3"/>
  <c r="B307" i="3"/>
  <c r="C307" i="3" s="1"/>
  <c r="B308" i="3"/>
  <c r="C308" i="3"/>
  <c r="D308" i="3"/>
  <c r="B309" i="3"/>
  <c r="C309" i="3" s="1"/>
  <c r="D309" i="3" s="1"/>
  <c r="B310" i="3"/>
  <c r="C310" i="3"/>
  <c r="D310" i="3" s="1"/>
  <c r="B311" i="3"/>
  <c r="C311" i="3"/>
  <c r="D311" i="3"/>
  <c r="B312" i="3"/>
  <c r="C312" i="3" s="1"/>
  <c r="B313" i="3"/>
  <c r="C313" i="3"/>
  <c r="D313" i="3"/>
  <c r="B314" i="3"/>
  <c r="C314" i="3"/>
  <c r="D314" i="3"/>
  <c r="B315" i="3"/>
  <c r="C315" i="3"/>
  <c r="B316" i="3"/>
  <c r="C316" i="3"/>
  <c r="B317" i="3"/>
  <c r="C317" i="3" s="1"/>
  <c r="D317" i="3" s="1"/>
  <c r="B318" i="3"/>
  <c r="C318" i="3"/>
  <c r="D318" i="3"/>
  <c r="B319" i="3"/>
  <c r="C319" i="3"/>
  <c r="D319" i="3"/>
  <c r="B320" i="3"/>
  <c r="B321" i="3"/>
  <c r="C321" i="3"/>
  <c r="D321" i="3"/>
  <c r="B322" i="3"/>
  <c r="C322" i="3" s="1"/>
  <c r="B323" i="3"/>
  <c r="C323" i="3" s="1"/>
  <c r="B324" i="3"/>
  <c r="C324" i="3"/>
  <c r="D324" i="3"/>
  <c r="B325" i="3"/>
  <c r="C325" i="3"/>
  <c r="D325" i="3"/>
  <c r="B326" i="3"/>
  <c r="C326" i="3"/>
  <c r="D326" i="3"/>
  <c r="B327" i="3"/>
  <c r="C327" i="3" s="1"/>
  <c r="B328" i="3"/>
  <c r="C328" i="3"/>
  <c r="D328" i="3"/>
  <c r="B329" i="3"/>
  <c r="C329" i="3" s="1"/>
  <c r="D329" i="3" s="1"/>
  <c r="B330" i="3"/>
  <c r="C330" i="3" s="1"/>
  <c r="D330" i="3" s="1"/>
  <c r="B331" i="3"/>
  <c r="C331" i="3"/>
  <c r="D331" i="3"/>
  <c r="B332" i="3"/>
  <c r="C332" i="3"/>
  <c r="D332" i="3"/>
  <c r="B333" i="3"/>
  <c r="C333" i="3"/>
  <c r="D333" i="3"/>
  <c r="B334" i="3"/>
  <c r="C334" i="3"/>
  <c r="D334" i="3"/>
  <c r="B335" i="3"/>
  <c r="C335" i="3"/>
  <c r="B336" i="3"/>
  <c r="C336" i="3"/>
  <c r="D336" i="3" s="1"/>
  <c r="B337" i="3"/>
  <c r="C337" i="3" s="1"/>
  <c r="D337" i="3" s="1"/>
  <c r="B338" i="3"/>
  <c r="C338" i="3" s="1"/>
  <c r="B339" i="3"/>
  <c r="C339" i="3"/>
  <c r="D339" i="3"/>
  <c r="B340" i="3"/>
  <c r="C340" i="3"/>
  <c r="B341" i="3"/>
  <c r="C341" i="3"/>
  <c r="D341" i="3"/>
  <c r="B342" i="3"/>
  <c r="C342" i="3" s="1"/>
  <c r="B343" i="3"/>
  <c r="C343" i="3" s="1"/>
  <c r="B344" i="3"/>
  <c r="C344" i="3"/>
  <c r="D344" i="3"/>
  <c r="B345" i="3"/>
  <c r="C345" i="3"/>
  <c r="D345" i="3"/>
  <c r="B346" i="3"/>
  <c r="D346" i="3" s="1"/>
  <c r="C346" i="3"/>
  <c r="B347" i="3"/>
  <c r="C347" i="3" s="1"/>
  <c r="B348" i="3"/>
  <c r="C348" i="3"/>
  <c r="D348" i="3"/>
  <c r="B349" i="3"/>
  <c r="C349" i="3" s="1"/>
  <c r="D349" i="3" s="1"/>
  <c r="B350" i="3"/>
  <c r="C350" i="3"/>
  <c r="D350" i="3" s="1"/>
  <c r="B351" i="3"/>
  <c r="C351" i="3"/>
  <c r="D351" i="3"/>
  <c r="B352" i="3"/>
  <c r="C352" i="3"/>
  <c r="D352" i="3"/>
  <c r="B353" i="3"/>
  <c r="C353" i="3"/>
  <c r="D353" i="3"/>
  <c r="B354" i="3"/>
  <c r="C354" i="3"/>
  <c r="D354" i="3" s="1"/>
  <c r="B355" i="3"/>
  <c r="B356" i="3"/>
  <c r="C356" i="3"/>
  <c r="B357" i="3"/>
  <c r="C357" i="3" s="1"/>
  <c r="D357" i="3" s="1"/>
  <c r="B358" i="3"/>
  <c r="C358" i="3" s="1"/>
  <c r="B359" i="3"/>
  <c r="C359" i="3"/>
  <c r="D359" i="3"/>
  <c r="B360" i="3"/>
  <c r="C360" i="3"/>
  <c r="B361" i="3"/>
  <c r="C361" i="3"/>
  <c r="D361" i="3"/>
  <c r="B362" i="3"/>
  <c r="C362" i="3" s="1"/>
  <c r="B363" i="3"/>
  <c r="C363" i="3" s="1"/>
  <c r="B364" i="3"/>
  <c r="C364" i="3"/>
  <c r="D364" i="3"/>
  <c r="B365" i="3"/>
  <c r="C365" i="3" s="1"/>
  <c r="D365" i="3" s="1"/>
  <c r="B366" i="3"/>
  <c r="D366" i="3" s="1"/>
  <c r="C366" i="3"/>
  <c r="B367" i="3"/>
  <c r="C367" i="3" s="1"/>
  <c r="B368" i="3"/>
  <c r="C368" i="3"/>
  <c r="D368" i="3"/>
  <c r="B369" i="3"/>
  <c r="C369" i="3" s="1"/>
  <c r="D369" i="3" s="1"/>
  <c r="B370" i="3"/>
  <c r="C370" i="3"/>
  <c r="D370" i="3" s="1"/>
  <c r="B371" i="3"/>
  <c r="C371" i="3"/>
  <c r="D371" i="3"/>
  <c r="B372" i="3"/>
  <c r="C372" i="3"/>
  <c r="D372" i="3"/>
  <c r="B373" i="3"/>
  <c r="C373" i="3" s="1"/>
  <c r="B374" i="3"/>
  <c r="C374" i="3"/>
  <c r="D374" i="3"/>
  <c r="B375" i="3"/>
  <c r="C375" i="3"/>
  <c r="B376" i="3"/>
  <c r="C376" i="3"/>
  <c r="B377" i="3"/>
  <c r="C377" i="3" s="1"/>
  <c r="D377" i="3" s="1"/>
  <c r="B378" i="3"/>
  <c r="C378" i="3"/>
  <c r="D378" i="3"/>
  <c r="B379" i="3"/>
  <c r="C379" i="3"/>
  <c r="D379" i="3"/>
  <c r="B380" i="3"/>
  <c r="C380" i="3"/>
  <c r="B381" i="3"/>
  <c r="D381" i="3" s="1"/>
  <c r="C381" i="3"/>
  <c r="B382" i="3"/>
  <c r="C382" i="3" s="1"/>
  <c r="B383" i="3"/>
  <c r="C383" i="3" s="1"/>
  <c r="B384" i="3"/>
  <c r="D384" i="3" s="1"/>
  <c r="C384" i="3"/>
  <c r="B385" i="3"/>
  <c r="C385" i="3"/>
  <c r="D385" i="3"/>
  <c r="B386" i="3"/>
  <c r="C386" i="3"/>
  <c r="D386" i="3"/>
  <c r="B387" i="3"/>
  <c r="C387" i="3" s="1"/>
  <c r="B388" i="3"/>
  <c r="C388" i="3"/>
  <c r="D388" i="3"/>
  <c r="B389" i="3"/>
  <c r="C389" i="3" s="1"/>
  <c r="D389" i="3" s="1"/>
  <c r="B390" i="3"/>
  <c r="C390" i="3"/>
  <c r="D390" i="3" s="1"/>
  <c r="B391" i="3"/>
  <c r="C391" i="3" s="1"/>
  <c r="B392" i="3"/>
  <c r="C392" i="3"/>
  <c r="D392" i="3"/>
  <c r="B393" i="3"/>
  <c r="C393" i="3"/>
  <c r="D393" i="3"/>
  <c r="B394" i="3"/>
  <c r="C394" i="3"/>
  <c r="D394" i="3"/>
  <c r="B395" i="3"/>
  <c r="C395" i="3"/>
  <c r="B396" i="3"/>
  <c r="C396" i="3"/>
  <c r="B397" i="3"/>
  <c r="C397" i="3" s="1"/>
  <c r="D397" i="3" s="1"/>
  <c r="B398" i="3"/>
  <c r="C398" i="3"/>
  <c r="D398" i="3"/>
  <c r="B399" i="3"/>
  <c r="C399" i="3" s="1"/>
  <c r="B400" i="3"/>
  <c r="C400" i="3"/>
  <c r="B401" i="3"/>
  <c r="C401" i="3" s="1"/>
  <c r="B402" i="3"/>
  <c r="C402" i="3" s="1"/>
  <c r="B403" i="3"/>
  <c r="C403" i="3" s="1"/>
  <c r="B404" i="3"/>
  <c r="C404" i="3"/>
  <c r="D404" i="3"/>
  <c r="B405" i="3"/>
  <c r="C405" i="3"/>
  <c r="D405" i="3"/>
  <c r="B406" i="3"/>
  <c r="C406" i="3"/>
  <c r="D406" i="3"/>
  <c r="B407" i="3"/>
  <c r="C407" i="3" s="1"/>
  <c r="B408" i="3"/>
  <c r="C408" i="3" s="1"/>
  <c r="B409" i="3"/>
  <c r="C409" i="3" s="1"/>
  <c r="D409" i="3" s="1"/>
  <c r="B410" i="3"/>
  <c r="C410" i="3"/>
  <c r="D410" i="3" s="1"/>
  <c r="B411" i="3"/>
  <c r="C411" i="3"/>
  <c r="D411" i="3"/>
  <c r="B412" i="3"/>
  <c r="C412" i="3"/>
  <c r="D412" i="3"/>
  <c r="B413" i="3"/>
  <c r="C413" i="3"/>
  <c r="D413" i="3"/>
  <c r="B414" i="3"/>
  <c r="C414" i="3"/>
  <c r="D414" i="3"/>
  <c r="B415" i="3"/>
  <c r="C415" i="3"/>
  <c r="B416" i="3"/>
  <c r="B417" i="3"/>
  <c r="C417" i="3" s="1"/>
  <c r="D417" i="3" s="1"/>
  <c r="B418" i="3"/>
  <c r="C418" i="3"/>
  <c r="D418" i="3"/>
  <c r="B419" i="3"/>
  <c r="C419" i="3"/>
  <c r="D419" i="3"/>
  <c r="B420" i="3"/>
  <c r="C420" i="3"/>
  <c r="B421" i="3"/>
  <c r="C421" i="3"/>
  <c r="D421" i="3"/>
  <c r="B422" i="3"/>
  <c r="C422" i="3" s="1"/>
  <c r="B423" i="3"/>
  <c r="C423" i="3" s="1"/>
  <c r="B424" i="3"/>
  <c r="C424" i="3"/>
  <c r="D424" i="3"/>
  <c r="B425" i="3"/>
  <c r="D425" i="3" s="1"/>
  <c r="C425" i="3"/>
  <c r="B426" i="3"/>
  <c r="C426" i="3"/>
  <c r="D426" i="3"/>
  <c r="B427" i="3"/>
  <c r="C427" i="3" s="1"/>
  <c r="B428" i="3"/>
  <c r="C428" i="3"/>
  <c r="D428" i="3"/>
  <c r="B429" i="3"/>
  <c r="C429" i="3" s="1"/>
  <c r="D429" i="3" s="1"/>
  <c r="B430" i="3"/>
  <c r="C430" i="3"/>
  <c r="D430" i="3" s="1"/>
  <c r="B431" i="3"/>
  <c r="C431" i="3"/>
  <c r="D431" i="3"/>
  <c r="B432" i="3"/>
  <c r="C432" i="3"/>
  <c r="D432" i="3"/>
  <c r="B433" i="3"/>
  <c r="C433" i="3"/>
  <c r="D433" i="3"/>
  <c r="B434" i="3"/>
  <c r="C434" i="3" s="1"/>
  <c r="D434" i="3" s="1"/>
  <c r="B435" i="3"/>
  <c r="C435" i="3"/>
  <c r="B436" i="3"/>
  <c r="C436" i="3" s="1"/>
  <c r="B437" i="3"/>
  <c r="C437" i="3" s="1"/>
  <c r="D437" i="3" s="1"/>
  <c r="B438" i="3"/>
  <c r="C438" i="3"/>
  <c r="D438" i="3"/>
  <c r="B439" i="3"/>
  <c r="C439" i="3"/>
  <c r="D439" i="3"/>
  <c r="B440" i="3"/>
  <c r="C440" i="3"/>
  <c r="B441" i="3"/>
  <c r="C441" i="3" s="1"/>
  <c r="D441" i="3" s="1"/>
  <c r="B442" i="3"/>
  <c r="C442" i="3" s="1"/>
  <c r="B443" i="3"/>
  <c r="C443" i="3" s="1"/>
  <c r="B444" i="3"/>
  <c r="D444" i="3" s="1"/>
  <c r="C444" i="3"/>
  <c r="B445" i="3"/>
  <c r="C445" i="3"/>
  <c r="D445" i="3"/>
  <c r="B446" i="3"/>
  <c r="C446" i="3" s="1"/>
  <c r="B447" i="3"/>
  <c r="C447" i="3" s="1"/>
  <c r="B448" i="3"/>
  <c r="C448" i="3"/>
  <c r="D448" i="3"/>
  <c r="B449" i="3"/>
  <c r="C449" i="3" s="1"/>
  <c r="D449" i="3" s="1"/>
  <c r="B450" i="3"/>
  <c r="C450" i="3"/>
  <c r="D450" i="3" s="1"/>
  <c r="B451" i="3"/>
  <c r="C451" i="3"/>
  <c r="D451" i="3"/>
  <c r="B452" i="3"/>
  <c r="C452" i="3"/>
  <c r="D452" i="3"/>
  <c r="B453" i="3"/>
  <c r="C453" i="3" s="1"/>
  <c r="D453" i="3" s="1"/>
  <c r="B454" i="3"/>
  <c r="C454" i="3"/>
  <c r="D454" i="3" s="1"/>
  <c r="B455" i="3"/>
  <c r="C455" i="3"/>
  <c r="B456" i="3"/>
  <c r="C456" i="3"/>
  <c r="B457" i="3"/>
  <c r="C457" i="3" s="1"/>
  <c r="D457" i="3" s="1"/>
  <c r="B458" i="3"/>
  <c r="C458" i="3"/>
  <c r="D458" i="3"/>
  <c r="B459" i="3"/>
  <c r="C459" i="3"/>
  <c r="D459" i="3"/>
  <c r="B460" i="3"/>
  <c r="C460" i="3"/>
  <c r="B461" i="3"/>
  <c r="C461" i="3" s="1"/>
  <c r="D461" i="3" s="1"/>
  <c r="B462" i="3"/>
  <c r="C462" i="3" s="1"/>
  <c r="B463" i="3"/>
  <c r="C463" i="3" s="1"/>
  <c r="B464" i="3"/>
  <c r="C464" i="3"/>
  <c r="D464" i="3"/>
  <c r="B465" i="3"/>
  <c r="C465" i="3" s="1"/>
  <c r="B466" i="3"/>
  <c r="C466" i="3"/>
  <c r="D466" i="3"/>
  <c r="B467" i="3"/>
  <c r="C467" i="3" s="1"/>
  <c r="B468" i="3"/>
  <c r="C468" i="3"/>
  <c r="D468" i="3"/>
  <c r="B469" i="3"/>
  <c r="C469" i="3"/>
  <c r="D469" i="3"/>
  <c r="B470" i="3"/>
  <c r="C470" i="3"/>
  <c r="D470" i="3" s="1"/>
  <c r="B471" i="3"/>
  <c r="C471" i="3" s="1"/>
  <c r="B472" i="3"/>
  <c r="C472" i="3"/>
  <c r="D472" i="3"/>
  <c r="B473" i="3"/>
  <c r="C473" i="3"/>
  <c r="D473" i="3"/>
  <c r="B474" i="3"/>
  <c r="C474" i="3"/>
  <c r="D474" i="3" s="1"/>
  <c r="B475" i="3"/>
  <c r="C475" i="3"/>
  <c r="B476" i="3"/>
  <c r="C476" i="3"/>
  <c r="B477" i="3"/>
  <c r="C477" i="3" s="1"/>
  <c r="D477" i="3" s="1"/>
  <c r="B478" i="3"/>
  <c r="C478" i="3"/>
  <c r="D478" i="3"/>
  <c r="B479" i="3"/>
  <c r="D479" i="3" s="1"/>
  <c r="C479" i="3"/>
  <c r="B480" i="3"/>
  <c r="C480" i="3"/>
  <c r="B481" i="3"/>
  <c r="C481" i="3" s="1"/>
  <c r="D481" i="3" s="1"/>
  <c r="B482" i="3"/>
  <c r="C482" i="3" s="1"/>
  <c r="B483" i="3"/>
  <c r="C483" i="3" s="1"/>
  <c r="B484" i="3"/>
  <c r="C484" i="3"/>
  <c r="D484" i="3"/>
  <c r="B485" i="3"/>
  <c r="C485" i="3"/>
  <c r="D485" i="3"/>
  <c r="B486" i="3"/>
  <c r="C486" i="3"/>
  <c r="D486" i="3"/>
  <c r="B487" i="3"/>
  <c r="C487" i="3" s="1"/>
  <c r="B488" i="3"/>
  <c r="C488" i="3"/>
  <c r="D488" i="3"/>
  <c r="B489" i="3"/>
  <c r="C489" i="3" s="1"/>
  <c r="B490" i="3"/>
  <c r="C490" i="3"/>
  <c r="D490" i="3" s="1"/>
  <c r="B491" i="3"/>
  <c r="C491" i="3" s="1"/>
  <c r="B492" i="3"/>
  <c r="C492" i="3"/>
  <c r="D492" i="3"/>
  <c r="B493" i="3"/>
  <c r="C493" i="3"/>
  <c r="D493" i="3"/>
  <c r="B494" i="3"/>
  <c r="C494" i="3"/>
  <c r="D494" i="3" s="1"/>
  <c r="B495" i="3"/>
  <c r="C495" i="3"/>
  <c r="B496" i="3"/>
  <c r="C496" i="3"/>
  <c r="B497" i="3"/>
  <c r="C497" i="3" s="1"/>
  <c r="D497" i="3" s="1"/>
  <c r="B498" i="3"/>
  <c r="C498" i="3" s="1"/>
  <c r="D498" i="3" s="1"/>
  <c r="B499" i="3"/>
  <c r="D499" i="3" s="1"/>
  <c r="C499" i="3"/>
  <c r="B500" i="3"/>
  <c r="C500" i="3"/>
  <c r="B501" i="3"/>
  <c r="C501" i="3" s="1"/>
  <c r="D501" i="3" s="1"/>
  <c r="B502" i="3"/>
  <c r="C502" i="3" s="1"/>
  <c r="B503" i="3"/>
  <c r="C503" i="3" s="1"/>
  <c r="B504" i="3"/>
  <c r="C504" i="3"/>
  <c r="D504" i="3"/>
  <c r="B505" i="3"/>
  <c r="C505" i="3"/>
  <c r="D505" i="3"/>
  <c r="B506" i="3"/>
  <c r="C506" i="3"/>
  <c r="D506" i="3"/>
  <c r="B507" i="3"/>
  <c r="C507" i="3" s="1"/>
  <c r="B508" i="3"/>
  <c r="C508" i="3"/>
  <c r="D508" i="3"/>
  <c r="B509" i="3"/>
  <c r="C509" i="3" s="1"/>
  <c r="B510" i="3"/>
  <c r="C510" i="3"/>
  <c r="D510" i="3" s="1"/>
  <c r="B511" i="3"/>
  <c r="C511" i="3"/>
  <c r="D511" i="3"/>
  <c r="B512" i="3"/>
  <c r="C512" i="3"/>
  <c r="D512" i="3"/>
  <c r="B513" i="3"/>
  <c r="C513" i="3"/>
  <c r="D513" i="3"/>
  <c r="B514" i="3"/>
  <c r="C514" i="3"/>
  <c r="D514" i="3" s="1"/>
  <c r="B515" i="3"/>
  <c r="C515" i="3" s="1"/>
  <c r="B516" i="3"/>
  <c r="C516" i="3"/>
  <c r="B517" i="3"/>
  <c r="C517" i="3" s="1"/>
  <c r="D517" i="3" s="1"/>
  <c r="B518" i="3"/>
  <c r="C518" i="3"/>
  <c r="D518" i="3"/>
  <c r="B519" i="3"/>
  <c r="C519" i="3"/>
  <c r="D519" i="3"/>
  <c r="B520" i="3"/>
  <c r="C520" i="3"/>
  <c r="B521" i="3"/>
  <c r="C521" i="3" s="1"/>
  <c r="D521" i="3" s="1"/>
  <c r="B522" i="3"/>
  <c r="C522" i="3" s="1"/>
  <c r="B523" i="3"/>
  <c r="C523" i="3" s="1"/>
  <c r="B524" i="3"/>
  <c r="C524" i="3"/>
  <c r="D524" i="3"/>
  <c r="B525" i="3"/>
  <c r="C525" i="3" s="1"/>
  <c r="B526" i="3"/>
  <c r="C526" i="3"/>
  <c r="D526" i="3"/>
  <c r="B527" i="3"/>
  <c r="C527" i="3" s="1"/>
  <c r="B528" i="3"/>
  <c r="C528" i="3"/>
  <c r="D528" i="3"/>
  <c r="B529" i="3"/>
  <c r="C529" i="3"/>
  <c r="D529" i="3"/>
  <c r="B530" i="3"/>
  <c r="C530" i="3"/>
  <c r="D530" i="3" s="1"/>
  <c r="B531" i="3"/>
  <c r="C531" i="3"/>
  <c r="D531" i="3"/>
  <c r="B532" i="3"/>
  <c r="C532" i="3"/>
  <c r="D532" i="3"/>
  <c r="B533" i="3"/>
  <c r="C533" i="3" s="1"/>
  <c r="D533" i="3" s="1"/>
  <c r="B534" i="3"/>
  <c r="C534" i="3"/>
  <c r="D534" i="3" s="1"/>
  <c r="B535" i="3"/>
  <c r="C535" i="3"/>
  <c r="B536" i="3"/>
  <c r="C536" i="3"/>
  <c r="B537" i="3"/>
  <c r="C537" i="3" s="1"/>
  <c r="D537" i="3" s="1"/>
  <c r="B538" i="3"/>
  <c r="C538" i="3"/>
  <c r="D538" i="3"/>
  <c r="B539" i="3"/>
  <c r="C539" i="3"/>
  <c r="D539" i="3"/>
  <c r="B540" i="3"/>
  <c r="C540" i="3"/>
  <c r="B541" i="3"/>
  <c r="C541" i="3" s="1"/>
  <c r="D541" i="3" s="1"/>
  <c r="B542" i="3"/>
  <c r="C542" i="3" s="1"/>
  <c r="B543" i="3"/>
  <c r="C543" i="3" s="1"/>
  <c r="B544" i="3"/>
  <c r="C544" i="3"/>
  <c r="D544" i="3"/>
  <c r="B545" i="3"/>
  <c r="C545" i="3" s="1"/>
  <c r="B546" i="3"/>
  <c r="C546" i="3"/>
  <c r="D546" i="3"/>
  <c r="B547" i="3"/>
  <c r="C547" i="3" s="1"/>
  <c r="B548" i="3"/>
  <c r="C548" i="3"/>
  <c r="D548" i="3"/>
  <c r="B549" i="3"/>
  <c r="C549" i="3"/>
  <c r="D549" i="3"/>
  <c r="B550" i="3"/>
  <c r="C550" i="3"/>
  <c r="D550" i="3" s="1"/>
  <c r="B551" i="3"/>
  <c r="C551" i="3" s="1"/>
  <c r="B552" i="3"/>
  <c r="C552" i="3"/>
  <c r="D552" i="3"/>
  <c r="B553" i="3"/>
  <c r="C553" i="3"/>
  <c r="D553" i="3"/>
  <c r="B554" i="3"/>
  <c r="C554" i="3"/>
  <c r="D554" i="3" s="1"/>
  <c r="B555" i="3"/>
  <c r="C555" i="3"/>
  <c r="B556" i="3"/>
  <c r="C556" i="3"/>
  <c r="B557" i="3"/>
  <c r="C557" i="3" s="1"/>
  <c r="D557" i="3" s="1"/>
  <c r="B558" i="3"/>
  <c r="C558" i="3"/>
  <c r="D558" i="3"/>
  <c r="B559" i="3"/>
  <c r="D559" i="3" s="1"/>
  <c r="C559" i="3"/>
  <c r="B560" i="3"/>
  <c r="C560" i="3"/>
  <c r="B561" i="3"/>
  <c r="C561" i="3" s="1"/>
  <c r="D561" i="3" s="1"/>
  <c r="B562" i="3"/>
  <c r="C562" i="3" s="1"/>
  <c r="B563" i="3"/>
  <c r="C563" i="3" s="1"/>
  <c r="B564" i="3"/>
  <c r="C564" i="3"/>
  <c r="D564" i="3"/>
  <c r="B565" i="3"/>
  <c r="C565" i="3"/>
  <c r="D565" i="3"/>
  <c r="B566" i="3"/>
  <c r="C566" i="3"/>
  <c r="D566" i="3"/>
  <c r="B567" i="3"/>
  <c r="C567" i="3" s="1"/>
  <c r="B568" i="3"/>
  <c r="C568" i="3"/>
  <c r="D568" i="3"/>
  <c r="B569" i="3"/>
  <c r="C569" i="3" s="1"/>
  <c r="B570" i="3"/>
  <c r="C570" i="3"/>
  <c r="D570" i="3" s="1"/>
  <c r="B571" i="3"/>
  <c r="C571" i="3" s="1"/>
  <c r="B572" i="3"/>
  <c r="C572" i="3"/>
  <c r="D572" i="3"/>
  <c r="B573" i="3"/>
  <c r="C573" i="3"/>
  <c r="D573" i="3"/>
  <c r="B574" i="3"/>
  <c r="C574" i="3"/>
  <c r="D574" i="3" s="1"/>
  <c r="B575" i="3"/>
  <c r="C575" i="3"/>
  <c r="B576" i="3"/>
  <c r="C576" i="3"/>
  <c r="B577" i="3"/>
  <c r="C577" i="3" s="1"/>
  <c r="D577" i="3" s="1"/>
  <c r="B578" i="3"/>
  <c r="C578" i="3" s="1"/>
  <c r="D578" i="3" s="1"/>
  <c r="B579" i="3"/>
  <c r="D579" i="3" s="1"/>
  <c r="C579" i="3"/>
  <c r="B580" i="3"/>
  <c r="C580" i="3"/>
  <c r="B581" i="3"/>
  <c r="C581" i="3" s="1"/>
  <c r="D581" i="3" s="1"/>
  <c r="B582" i="3"/>
  <c r="C582" i="3" s="1"/>
  <c r="B583" i="3"/>
  <c r="C583" i="3" s="1"/>
  <c r="B584" i="3"/>
  <c r="C584" i="3"/>
  <c r="D584" i="3"/>
  <c r="B585" i="3"/>
  <c r="C585" i="3"/>
  <c r="D585" i="3"/>
  <c r="B586" i="3"/>
  <c r="C586" i="3"/>
  <c r="D586" i="3"/>
  <c r="B587" i="3"/>
  <c r="C587" i="3" s="1"/>
  <c r="B588" i="3"/>
  <c r="C588" i="3"/>
  <c r="D588" i="3"/>
  <c r="B589" i="3"/>
  <c r="C589" i="3" s="1"/>
  <c r="B590" i="3"/>
  <c r="C590" i="3"/>
  <c r="D590" i="3" s="1"/>
  <c r="B591" i="3"/>
  <c r="C591" i="3"/>
  <c r="D591" i="3"/>
  <c r="B592" i="3"/>
  <c r="C592" i="3"/>
  <c r="D592" i="3"/>
  <c r="B593" i="3"/>
  <c r="C593" i="3"/>
  <c r="D593" i="3"/>
  <c r="B594" i="3"/>
  <c r="C594" i="3"/>
  <c r="D594" i="3" s="1"/>
  <c r="B595" i="3"/>
  <c r="C595" i="3" s="1"/>
  <c r="B596" i="3"/>
  <c r="C596" i="3"/>
  <c r="B597" i="3"/>
  <c r="C597" i="3" s="1"/>
  <c r="D597" i="3" s="1"/>
  <c r="B598" i="3"/>
  <c r="C598" i="3"/>
  <c r="D598" i="3"/>
  <c r="B599" i="3"/>
  <c r="C599" i="3"/>
  <c r="D599" i="3"/>
  <c r="B600" i="3"/>
  <c r="C600" i="3"/>
  <c r="B601" i="3"/>
  <c r="C601" i="3" s="1"/>
  <c r="D601" i="3" s="1"/>
  <c r="B602" i="3"/>
  <c r="C602" i="3" s="1"/>
  <c r="B603" i="3"/>
  <c r="C603" i="3" s="1"/>
  <c r="B604" i="3"/>
  <c r="C604" i="3"/>
  <c r="D604" i="3"/>
  <c r="B605" i="3"/>
  <c r="C605" i="3" s="1"/>
  <c r="B606" i="3"/>
  <c r="C606" i="3"/>
  <c r="D606" i="3"/>
  <c r="B607" i="3"/>
  <c r="C607" i="3" s="1"/>
  <c r="B188" i="3"/>
  <c r="C188" i="3" s="1"/>
  <c r="B189" i="3"/>
  <c r="C189" i="3" s="1"/>
  <c r="D189" i="3" s="1"/>
  <c r="B190" i="3"/>
  <c r="C190" i="3"/>
  <c r="D190" i="3" s="1"/>
  <c r="B191" i="3"/>
  <c r="C191" i="3"/>
  <c r="D191" i="3"/>
  <c r="B192" i="3"/>
  <c r="C192" i="3" s="1"/>
  <c r="B193" i="3"/>
  <c r="C193" i="3"/>
  <c r="D193" i="3"/>
  <c r="B194" i="3"/>
  <c r="D194" i="3" s="1"/>
  <c r="C194" i="3"/>
  <c r="B195" i="3"/>
  <c r="C195" i="3" s="1"/>
  <c r="B196" i="3"/>
  <c r="C196" i="3" s="1"/>
  <c r="D196" i="3" s="1"/>
  <c r="B197" i="3"/>
  <c r="C197" i="3"/>
  <c r="B198" i="3"/>
  <c r="C198" i="3"/>
  <c r="D198" i="3"/>
  <c r="B199" i="3"/>
  <c r="C199" i="3" s="1"/>
  <c r="B200" i="3"/>
  <c r="C200" i="3"/>
  <c r="B201" i="3"/>
  <c r="C201" i="3"/>
  <c r="B202" i="3"/>
  <c r="C202" i="3" s="1"/>
  <c r="D202" i="3" s="1"/>
  <c r="B203" i="3"/>
  <c r="C203" i="3"/>
  <c r="D203" i="3"/>
  <c r="B204" i="3"/>
  <c r="C204" i="3" s="1"/>
  <c r="B205" i="3"/>
  <c r="D205" i="3" s="1"/>
  <c r="C205" i="3"/>
  <c r="B206" i="3"/>
  <c r="C206" i="3"/>
  <c r="B207" i="3"/>
  <c r="C207" i="3" s="1"/>
  <c r="B108" i="3"/>
  <c r="C108" i="3" s="1"/>
  <c r="D108" i="3" s="1"/>
  <c r="B109" i="3"/>
  <c r="C109" i="3"/>
  <c r="D109" i="3"/>
  <c r="B110" i="3"/>
  <c r="C110" i="3" s="1"/>
  <c r="B111" i="3"/>
  <c r="C111" i="3" s="1"/>
  <c r="B112" i="3"/>
  <c r="C112" i="3"/>
  <c r="D112" i="3"/>
  <c r="B113" i="3"/>
  <c r="C113" i="3"/>
  <c r="D113" i="3"/>
  <c r="B114" i="3"/>
  <c r="B115" i="3"/>
  <c r="C115" i="3" s="1"/>
  <c r="B116" i="3"/>
  <c r="D116" i="3" s="1"/>
  <c r="C116" i="3"/>
  <c r="B117" i="3"/>
  <c r="C117" i="3" s="1"/>
  <c r="B118" i="3"/>
  <c r="C118" i="3"/>
  <c r="B119" i="3"/>
  <c r="C119" i="3" s="1"/>
  <c r="B120" i="3"/>
  <c r="C120" i="3"/>
  <c r="D120" i="3"/>
  <c r="B121" i="3"/>
  <c r="C121" i="3" s="1"/>
  <c r="B122" i="3"/>
  <c r="C122" i="3" s="1"/>
  <c r="D122" i="3" s="1"/>
  <c r="B123" i="3"/>
  <c r="C123" i="3" s="1"/>
  <c r="B124" i="3"/>
  <c r="C124" i="3"/>
  <c r="B125" i="3"/>
  <c r="C125" i="3" s="1"/>
  <c r="B126" i="3"/>
  <c r="C126" i="3"/>
  <c r="D126" i="3"/>
  <c r="B127" i="3"/>
  <c r="C127" i="3" s="1"/>
  <c r="B128" i="3"/>
  <c r="C128" i="3"/>
  <c r="D128" i="3" s="1"/>
  <c r="B129" i="3"/>
  <c r="C129" i="3" s="1"/>
  <c r="D129" i="3" s="1"/>
  <c r="B130" i="3"/>
  <c r="C130" i="3"/>
  <c r="B131" i="3"/>
  <c r="C131" i="3" s="1"/>
  <c r="B132" i="3"/>
  <c r="C132" i="3"/>
  <c r="D132" i="3"/>
  <c r="B133" i="3"/>
  <c r="C133" i="3" s="1"/>
  <c r="B134" i="3"/>
  <c r="C134" i="3"/>
  <c r="B135" i="3"/>
  <c r="C135" i="3" s="1"/>
  <c r="B136" i="3"/>
  <c r="C136" i="3"/>
  <c r="D136" i="3"/>
  <c r="B137" i="3"/>
  <c r="C137" i="3" s="1"/>
  <c r="B138" i="3"/>
  <c r="C138" i="3"/>
  <c r="D138" i="3"/>
  <c r="B139" i="3"/>
  <c r="C139" i="3"/>
  <c r="B140" i="3"/>
  <c r="C140" i="3"/>
  <c r="D140" i="3" s="1"/>
  <c r="B141" i="3"/>
  <c r="C141" i="3" s="1"/>
  <c r="B142" i="3"/>
  <c r="C142" i="3" s="1"/>
  <c r="D142" i="3" s="1"/>
  <c r="B143" i="3"/>
  <c r="C143" i="3"/>
  <c r="B144" i="3"/>
  <c r="C144" i="3"/>
  <c r="B145" i="3"/>
  <c r="C145" i="3"/>
  <c r="D145" i="3"/>
  <c r="B146" i="3"/>
  <c r="D146" i="3" s="1"/>
  <c r="C146" i="3"/>
  <c r="B147" i="3"/>
  <c r="C147" i="3" s="1"/>
  <c r="B148" i="3"/>
  <c r="C148" i="3"/>
  <c r="D148" i="3" s="1"/>
  <c r="B149" i="3"/>
  <c r="C149" i="3" s="1"/>
  <c r="B150" i="3"/>
  <c r="C150" i="3"/>
  <c r="D150" i="3"/>
  <c r="B151" i="3"/>
  <c r="C151" i="3" s="1"/>
  <c r="B152" i="3"/>
  <c r="C152" i="3"/>
  <c r="D152" i="3"/>
  <c r="B153" i="3"/>
  <c r="C153" i="3"/>
  <c r="D153" i="3"/>
  <c r="B154" i="3"/>
  <c r="C154" i="3"/>
  <c r="B155" i="3"/>
  <c r="C155" i="3" s="1"/>
  <c r="B156" i="3"/>
  <c r="C156" i="3"/>
  <c r="B157" i="3"/>
  <c r="C157" i="3" s="1"/>
  <c r="D157" i="3" s="1"/>
  <c r="B158" i="3"/>
  <c r="C158" i="3"/>
  <c r="D158" i="3"/>
  <c r="B159" i="3"/>
  <c r="C159" i="3" s="1"/>
  <c r="B160" i="3"/>
  <c r="C160" i="3"/>
  <c r="D160" i="3"/>
  <c r="B161" i="3"/>
  <c r="C161" i="3" s="1"/>
  <c r="B162" i="3"/>
  <c r="C162" i="3" s="1"/>
  <c r="D162" i="3" s="1"/>
  <c r="B163" i="3"/>
  <c r="C163" i="3"/>
  <c r="D163" i="3"/>
  <c r="B164" i="3"/>
  <c r="C164" i="3"/>
  <c r="B165" i="3"/>
  <c r="C165" i="3"/>
  <c r="D165" i="3"/>
  <c r="B166" i="3"/>
  <c r="C166" i="3" s="1"/>
  <c r="B167" i="3"/>
  <c r="C167" i="3" s="1"/>
  <c r="B168" i="3"/>
  <c r="C168" i="3"/>
  <c r="D168" i="3" s="1"/>
  <c r="B169" i="3"/>
  <c r="C169" i="3" s="1"/>
  <c r="B170" i="3"/>
  <c r="C170" i="3"/>
  <c r="D170" i="3"/>
  <c r="B171" i="3"/>
  <c r="C171" i="3" s="1"/>
  <c r="B172" i="3"/>
  <c r="C172" i="3"/>
  <c r="B173" i="3"/>
  <c r="C173" i="3"/>
  <c r="D173" i="3" s="1"/>
  <c r="B174" i="3"/>
  <c r="C174" i="3"/>
  <c r="B175" i="3"/>
  <c r="C175" i="3" s="1"/>
  <c r="B176" i="3"/>
  <c r="C176" i="3" s="1"/>
  <c r="B177" i="3"/>
  <c r="C177" i="3" s="1"/>
  <c r="B178" i="3"/>
  <c r="C178" i="3"/>
  <c r="D178" i="3"/>
  <c r="B179" i="3"/>
  <c r="C179" i="3"/>
  <c r="B180" i="3"/>
  <c r="C180" i="3" s="1"/>
  <c r="D180" i="3" s="1"/>
  <c r="B181" i="3"/>
  <c r="C181" i="3" s="1"/>
  <c r="B182" i="3"/>
  <c r="C182" i="3" s="1"/>
  <c r="B183" i="3"/>
  <c r="C183" i="3"/>
  <c r="B184" i="3"/>
  <c r="C184" i="3"/>
  <c r="B185" i="3"/>
  <c r="C185" i="3"/>
  <c r="D185" i="3"/>
  <c r="B186" i="3"/>
  <c r="C186" i="3"/>
  <c r="D186" i="3"/>
  <c r="B187" i="3"/>
  <c r="C187" i="3" s="1"/>
  <c r="B68" i="3"/>
  <c r="C68" i="3" s="1"/>
  <c r="D68" i="3" s="1"/>
  <c r="B69" i="3"/>
  <c r="C69" i="3" s="1"/>
  <c r="B70" i="3"/>
  <c r="C70" i="3" s="1"/>
  <c r="B71" i="3"/>
  <c r="C71" i="3" s="1"/>
  <c r="B72" i="3"/>
  <c r="C72" i="3" s="1"/>
  <c r="B73" i="3"/>
  <c r="C73" i="3"/>
  <c r="D73" i="3"/>
  <c r="B74" i="3"/>
  <c r="B75" i="3"/>
  <c r="C75" i="3"/>
  <c r="D75" i="3"/>
  <c r="B76" i="3"/>
  <c r="C76" i="3" s="1"/>
  <c r="B77" i="3"/>
  <c r="C77" i="3" s="1"/>
  <c r="B78" i="3"/>
  <c r="C78" i="3" s="1"/>
  <c r="D78" i="3" s="1"/>
  <c r="B79" i="3"/>
  <c r="C79" i="3" s="1"/>
  <c r="B80" i="3"/>
  <c r="C80" i="3"/>
  <c r="B81" i="3"/>
  <c r="C81" i="3" s="1"/>
  <c r="B82" i="3"/>
  <c r="C82" i="3"/>
  <c r="D82" i="3"/>
  <c r="B83" i="3"/>
  <c r="C83" i="3" s="1"/>
  <c r="B84" i="3"/>
  <c r="C84" i="3" s="1"/>
  <c r="B85" i="3"/>
  <c r="C85" i="3"/>
  <c r="B86" i="3"/>
  <c r="C86" i="3" s="1"/>
  <c r="B87" i="3"/>
  <c r="C87" i="3" s="1"/>
  <c r="B88" i="3"/>
  <c r="C88" i="3"/>
  <c r="D88" i="3" s="1"/>
  <c r="B89" i="3"/>
  <c r="C89" i="3"/>
  <c r="B90" i="3"/>
  <c r="C90" i="3"/>
  <c r="B91" i="3"/>
  <c r="D91" i="3" s="1"/>
  <c r="C91" i="3"/>
  <c r="B92" i="3"/>
  <c r="C92" i="3"/>
  <c r="D92" i="3"/>
  <c r="B93" i="3"/>
  <c r="C93" i="3" s="1"/>
  <c r="B94" i="3"/>
  <c r="B95" i="3"/>
  <c r="C95" i="3" s="1"/>
  <c r="B96" i="3"/>
  <c r="C96" i="3" s="1"/>
  <c r="B97" i="3"/>
  <c r="C97" i="3"/>
  <c r="B98" i="3"/>
  <c r="C98" i="3" s="1"/>
  <c r="B99" i="3"/>
  <c r="C99" i="3"/>
  <c r="D99" i="3"/>
  <c r="B100" i="3"/>
  <c r="C100" i="3" s="1"/>
  <c r="B101" i="3"/>
  <c r="C101" i="3" s="1"/>
  <c r="B102" i="3"/>
  <c r="C102" i="3"/>
  <c r="B103" i="3"/>
  <c r="C103" i="3"/>
  <c r="D103" i="3" s="1"/>
  <c r="B104" i="3"/>
  <c r="C104" i="3" s="1"/>
  <c r="B105" i="3"/>
  <c r="C105" i="3"/>
  <c r="D105" i="3"/>
  <c r="B106" i="3"/>
  <c r="C106" i="3" s="1"/>
  <c r="B107" i="3"/>
  <c r="C107" i="3" s="1"/>
  <c r="B3" i="2" a="1"/>
  <c r="B3" i="2" s="1"/>
  <c r="B208" i="2"/>
  <c r="C208" i="2"/>
  <c r="D208" i="2" s="1"/>
  <c r="B209" i="2"/>
  <c r="C209" i="2" s="1"/>
  <c r="B210" i="2"/>
  <c r="C210" i="2"/>
  <c r="D210" i="2"/>
  <c r="B211" i="2"/>
  <c r="C211" i="2" s="1"/>
  <c r="B212" i="2"/>
  <c r="C212" i="2"/>
  <c r="D212" i="2"/>
  <c r="B213" i="2"/>
  <c r="C213" i="2"/>
  <c r="D213" i="2"/>
  <c r="B214" i="2"/>
  <c r="C214" i="2"/>
  <c r="B215" i="2"/>
  <c r="C215" i="2" s="1"/>
  <c r="D215" i="2" s="1"/>
  <c r="B216" i="2"/>
  <c r="C216" i="2" s="1"/>
  <c r="D216" i="2" s="1"/>
  <c r="B217" i="2"/>
  <c r="C217" i="2"/>
  <c r="D217" i="2"/>
  <c r="B218" i="2"/>
  <c r="C218" i="2"/>
  <c r="D218" i="2" s="1"/>
  <c r="B219" i="2"/>
  <c r="C219" i="2"/>
  <c r="D219" i="2"/>
  <c r="B220" i="2"/>
  <c r="C220" i="2"/>
  <c r="D220" i="2"/>
  <c r="B221" i="2"/>
  <c r="C221" i="2" s="1"/>
  <c r="B222" i="2"/>
  <c r="C222" i="2"/>
  <c r="B223" i="2"/>
  <c r="C223" i="2"/>
  <c r="D223" i="2"/>
  <c r="B224" i="2"/>
  <c r="C224" i="2"/>
  <c r="B225" i="2"/>
  <c r="C225" i="2"/>
  <c r="D225" i="2"/>
  <c r="B226" i="2"/>
  <c r="C226" i="2"/>
  <c r="D226" i="2" s="1"/>
  <c r="B227" i="2"/>
  <c r="C227" i="2"/>
  <c r="D227" i="2"/>
  <c r="B228" i="2"/>
  <c r="C228" i="2"/>
  <c r="D228" i="2" s="1"/>
  <c r="B229" i="2"/>
  <c r="C229" i="2" s="1"/>
  <c r="B230" i="2"/>
  <c r="C230" i="2" s="1"/>
  <c r="B231" i="2"/>
  <c r="C231" i="2" s="1"/>
  <c r="B232" i="2"/>
  <c r="C232" i="2"/>
  <c r="D232" i="2"/>
  <c r="B233" i="2"/>
  <c r="C233" i="2"/>
  <c r="D233" i="2"/>
  <c r="B234" i="2"/>
  <c r="B235" i="2"/>
  <c r="C235" i="2" s="1"/>
  <c r="D235" i="2" s="1"/>
  <c r="B236" i="2"/>
  <c r="C236" i="2" s="1"/>
  <c r="D236" i="2" s="1"/>
  <c r="B237" i="2"/>
  <c r="C237" i="2"/>
  <c r="D237" i="2"/>
  <c r="B238" i="2"/>
  <c r="C238" i="2"/>
  <c r="D238" i="2"/>
  <c r="B239" i="2"/>
  <c r="C239" i="2" s="1"/>
  <c r="B240" i="2"/>
  <c r="C240" i="2"/>
  <c r="D240" i="2"/>
  <c r="B241" i="2"/>
  <c r="C241" i="2" s="1"/>
  <c r="B242" i="2"/>
  <c r="C242" i="2"/>
  <c r="B243" i="2"/>
  <c r="D243" i="2" s="1"/>
  <c r="C243" i="2"/>
  <c r="B244" i="2"/>
  <c r="C244" i="2" s="1"/>
  <c r="B245" i="2"/>
  <c r="C245" i="2"/>
  <c r="D245" i="2"/>
  <c r="B246" i="2"/>
  <c r="C246" i="2"/>
  <c r="D246" i="2"/>
  <c r="B247" i="2"/>
  <c r="C247" i="2" s="1"/>
  <c r="B248" i="2"/>
  <c r="C248" i="2"/>
  <c r="D248" i="2" s="1"/>
  <c r="B249" i="2"/>
  <c r="C249" i="2" s="1"/>
  <c r="B250" i="2"/>
  <c r="C250" i="2"/>
  <c r="D250" i="2"/>
  <c r="B251" i="2"/>
  <c r="C251" i="2" s="1"/>
  <c r="B252" i="2"/>
  <c r="C252" i="2" s="1"/>
  <c r="B253" i="2"/>
  <c r="C253" i="2"/>
  <c r="D253" i="2"/>
  <c r="B254" i="2"/>
  <c r="C254" i="2"/>
  <c r="B255" i="2"/>
  <c r="C255" i="2" s="1"/>
  <c r="D255" i="2" s="1"/>
  <c r="B256" i="2"/>
  <c r="C256" i="2" s="1"/>
  <c r="D256" i="2" s="1"/>
  <c r="B257" i="2"/>
  <c r="C257" i="2" s="1"/>
  <c r="B258" i="2"/>
  <c r="C258" i="2"/>
  <c r="D258" i="2"/>
  <c r="B259" i="2"/>
  <c r="C259" i="2"/>
  <c r="D259" i="2"/>
  <c r="B260" i="2"/>
  <c r="D260" i="2" s="1"/>
  <c r="C260" i="2"/>
  <c r="B261" i="2"/>
  <c r="C261" i="2" s="1"/>
  <c r="B262" i="2"/>
  <c r="C262" i="2"/>
  <c r="B263" i="2"/>
  <c r="C263" i="2"/>
  <c r="D263" i="2"/>
  <c r="B264" i="2"/>
  <c r="C264" i="2"/>
  <c r="B265" i="2"/>
  <c r="C265" i="2" s="1"/>
  <c r="B266" i="2"/>
  <c r="C266" i="2"/>
  <c r="D266" i="2"/>
  <c r="B267" i="2"/>
  <c r="C267" i="2"/>
  <c r="D267" i="2"/>
  <c r="B268" i="2"/>
  <c r="C268" i="2"/>
  <c r="D268" i="2" s="1"/>
  <c r="B269" i="2"/>
  <c r="C269" i="2" s="1"/>
  <c r="B270" i="2"/>
  <c r="C270" i="2" s="1"/>
  <c r="B271" i="2"/>
  <c r="C271" i="2" s="1"/>
  <c r="B272" i="2"/>
  <c r="C272" i="2"/>
  <c r="D272" i="2"/>
  <c r="B273" i="2"/>
  <c r="D273" i="2" s="1"/>
  <c r="C273" i="2"/>
  <c r="B274" i="2"/>
  <c r="C274" i="2"/>
  <c r="B275" i="2"/>
  <c r="C275" i="2" s="1"/>
  <c r="D275" i="2" s="1"/>
  <c r="B276" i="2"/>
  <c r="C276" i="2"/>
  <c r="D276" i="2"/>
  <c r="B277" i="2"/>
  <c r="C277" i="2"/>
  <c r="D277" i="2"/>
  <c r="B278" i="2"/>
  <c r="C278" i="2"/>
  <c r="D278" i="2" s="1"/>
  <c r="B279" i="2"/>
  <c r="C279" i="2"/>
  <c r="D279" i="2"/>
  <c r="B280" i="2"/>
  <c r="C280" i="2"/>
  <c r="D280" i="2"/>
  <c r="B281" i="2"/>
  <c r="C281" i="2" s="1"/>
  <c r="B282" i="2"/>
  <c r="C282" i="2"/>
  <c r="B283" i="2"/>
  <c r="C283" i="2"/>
  <c r="D283" i="2"/>
  <c r="B284" i="2"/>
  <c r="C284" i="2"/>
  <c r="B285" i="2"/>
  <c r="C285" i="2"/>
  <c r="D285" i="2"/>
  <c r="B286" i="2"/>
  <c r="C286" i="2"/>
  <c r="D286" i="2" s="1"/>
  <c r="B287" i="2"/>
  <c r="C287" i="2"/>
  <c r="D287" i="2"/>
  <c r="B288" i="2"/>
  <c r="C288" i="2"/>
  <c r="D288" i="2" s="1"/>
  <c r="B289" i="2"/>
  <c r="C289" i="2" s="1"/>
  <c r="B290" i="2"/>
  <c r="C290" i="2" s="1"/>
  <c r="B291" i="2"/>
  <c r="C291" i="2" s="1"/>
  <c r="B292" i="2"/>
  <c r="C292" i="2"/>
  <c r="D292" i="2"/>
  <c r="B293" i="2"/>
  <c r="C293" i="2"/>
  <c r="D293" i="2"/>
  <c r="B294" i="2"/>
  <c r="B295" i="2"/>
  <c r="C295" i="2" s="1"/>
  <c r="D295" i="2" s="1"/>
  <c r="B296" i="2"/>
  <c r="C296" i="2"/>
  <c r="D296" i="2"/>
  <c r="B297" i="2"/>
  <c r="C297" i="2"/>
  <c r="D297" i="2"/>
  <c r="B298" i="2"/>
  <c r="D298" i="2" s="1"/>
  <c r="C298" i="2"/>
  <c r="B299" i="2"/>
  <c r="C299" i="2"/>
  <c r="D299" i="2"/>
  <c r="B300" i="2"/>
  <c r="C300" i="2"/>
  <c r="D300" i="2"/>
  <c r="B301" i="2"/>
  <c r="C301" i="2" s="1"/>
  <c r="B302" i="2"/>
  <c r="C302" i="2"/>
  <c r="B303" i="2"/>
  <c r="C303" i="2"/>
  <c r="D303" i="2" s="1"/>
  <c r="B304" i="2"/>
  <c r="C304" i="2"/>
  <c r="B305" i="2"/>
  <c r="C305" i="2"/>
  <c r="D305" i="2"/>
  <c r="B306" i="2"/>
  <c r="D306" i="2" s="1"/>
  <c r="C306" i="2"/>
  <c r="B307" i="2"/>
  <c r="C307" i="2"/>
  <c r="D307" i="2"/>
  <c r="B308" i="2"/>
  <c r="C308" i="2"/>
  <c r="D308" i="2" s="1"/>
  <c r="B309" i="2"/>
  <c r="C309" i="2" s="1"/>
  <c r="B310" i="2"/>
  <c r="C310" i="2"/>
  <c r="D310" i="2"/>
  <c r="B311" i="2"/>
  <c r="C311" i="2" s="1"/>
  <c r="B312" i="2"/>
  <c r="C312" i="2" s="1"/>
  <c r="B313" i="2"/>
  <c r="C313" i="2"/>
  <c r="D313" i="2"/>
  <c r="B314" i="2"/>
  <c r="C314" i="2"/>
  <c r="B315" i="2"/>
  <c r="C315" i="2" s="1"/>
  <c r="D315" i="2" s="1"/>
  <c r="B316" i="2"/>
  <c r="C316" i="2"/>
  <c r="D316" i="2"/>
  <c r="B317" i="2"/>
  <c r="C317" i="2"/>
  <c r="D317" i="2"/>
  <c r="B318" i="2"/>
  <c r="C318" i="2"/>
  <c r="D318" i="2"/>
  <c r="B319" i="2"/>
  <c r="C319" i="2" s="1"/>
  <c r="B320" i="2"/>
  <c r="C320" i="2"/>
  <c r="D320" i="2"/>
  <c r="B321" i="2"/>
  <c r="C321" i="2" s="1"/>
  <c r="B322" i="2"/>
  <c r="C322" i="2"/>
  <c r="B323" i="2"/>
  <c r="D323" i="2" s="1"/>
  <c r="C323" i="2"/>
  <c r="B324" i="2"/>
  <c r="C324" i="2"/>
  <c r="B325" i="2"/>
  <c r="C325" i="2"/>
  <c r="D325" i="2"/>
  <c r="B326" i="2"/>
  <c r="C326" i="2"/>
  <c r="D326" i="2"/>
  <c r="B327" i="2"/>
  <c r="C327" i="2" s="1"/>
  <c r="B328" i="2"/>
  <c r="C328" i="2"/>
  <c r="D328" i="2" s="1"/>
  <c r="B329" i="2"/>
  <c r="C329" i="2" s="1"/>
  <c r="B330" i="2"/>
  <c r="C330" i="2"/>
  <c r="D330" i="2"/>
  <c r="B331" i="2"/>
  <c r="C331" i="2" s="1"/>
  <c r="B332" i="2"/>
  <c r="C332" i="2" s="1"/>
  <c r="B333" i="2"/>
  <c r="C333" i="2"/>
  <c r="D333" i="2"/>
  <c r="B334" i="2"/>
  <c r="C334" i="2"/>
  <c r="B335" i="2"/>
  <c r="C335" i="2" s="1"/>
  <c r="D335" i="2" s="1"/>
  <c r="B336" i="2"/>
  <c r="D336" i="2" s="1"/>
  <c r="C336" i="2"/>
  <c r="B337" i="2"/>
  <c r="C337" i="2" s="1"/>
  <c r="B338" i="2"/>
  <c r="C338" i="2"/>
  <c r="D338" i="2"/>
  <c r="B339" i="2"/>
  <c r="C339" i="2"/>
  <c r="D339" i="2"/>
  <c r="B340" i="2"/>
  <c r="C340" i="2"/>
  <c r="D340" i="2"/>
  <c r="B341" i="2"/>
  <c r="C341" i="2" s="1"/>
  <c r="B342" i="2"/>
  <c r="C342" i="2"/>
  <c r="B343" i="2"/>
  <c r="C343" i="2"/>
  <c r="D343" i="2"/>
  <c r="B344" i="2"/>
  <c r="B345" i="2"/>
  <c r="C345" i="2" s="1"/>
  <c r="B346" i="2"/>
  <c r="C346" i="2"/>
  <c r="D346" i="2"/>
  <c r="B347" i="2"/>
  <c r="C347" i="2"/>
  <c r="D347" i="2"/>
  <c r="B348" i="2"/>
  <c r="C348" i="2"/>
  <c r="D348" i="2" s="1"/>
  <c r="B349" i="2"/>
  <c r="C349" i="2" s="1"/>
  <c r="B350" i="2"/>
  <c r="C350" i="2"/>
  <c r="D350" i="2"/>
  <c r="B351" i="2"/>
  <c r="C351" i="2" s="1"/>
  <c r="B352" i="2"/>
  <c r="C352" i="2"/>
  <c r="D352" i="2"/>
  <c r="B353" i="2"/>
  <c r="C353" i="2"/>
  <c r="D353" i="2" s="1"/>
  <c r="B354" i="2"/>
  <c r="C354" i="2"/>
  <c r="B355" i="2"/>
  <c r="C355" i="2" s="1"/>
  <c r="D355" i="2" s="1"/>
  <c r="B356" i="2"/>
  <c r="C356" i="2"/>
  <c r="D356" i="2"/>
  <c r="B357" i="2"/>
  <c r="C357" i="2" s="1"/>
  <c r="B358" i="2"/>
  <c r="C358" i="2"/>
  <c r="D358" i="2"/>
  <c r="B359" i="2"/>
  <c r="C359" i="2"/>
  <c r="D359" i="2"/>
  <c r="B360" i="2"/>
  <c r="D360" i="2" s="1"/>
  <c r="C360" i="2"/>
  <c r="B361" i="2"/>
  <c r="C361" i="2" s="1"/>
  <c r="B362" i="2"/>
  <c r="C362" i="2"/>
  <c r="B363" i="2"/>
  <c r="C363" i="2"/>
  <c r="D363" i="2"/>
  <c r="B364" i="2"/>
  <c r="C364" i="2"/>
  <c r="B365" i="2"/>
  <c r="C365" i="2" s="1"/>
  <c r="B366" i="2"/>
  <c r="C366" i="2"/>
  <c r="D366" i="2"/>
  <c r="B367" i="2"/>
  <c r="C367" i="2"/>
  <c r="D367" i="2"/>
  <c r="B368" i="2"/>
  <c r="C368" i="2"/>
  <c r="D368" i="2" s="1"/>
  <c r="B369" i="2"/>
  <c r="C369" i="2" s="1"/>
  <c r="B370" i="2"/>
  <c r="C370" i="2" s="1"/>
  <c r="B371" i="2"/>
  <c r="C371" i="2" s="1"/>
  <c r="B372" i="2"/>
  <c r="C372" i="2"/>
  <c r="D372" i="2"/>
  <c r="B373" i="2"/>
  <c r="D373" i="2" s="1"/>
  <c r="C373" i="2"/>
  <c r="B374" i="2"/>
  <c r="C374" i="2"/>
  <c r="B375" i="2"/>
  <c r="C375" i="2" s="1"/>
  <c r="D375" i="2" s="1"/>
  <c r="B376" i="2"/>
  <c r="C376" i="2"/>
  <c r="D376" i="2"/>
  <c r="B377" i="2"/>
  <c r="C377" i="2"/>
  <c r="D377" i="2"/>
  <c r="B378" i="2"/>
  <c r="C378" i="2"/>
  <c r="D378" i="2" s="1"/>
  <c r="B379" i="2"/>
  <c r="C379" i="2"/>
  <c r="D379" i="2"/>
  <c r="B380" i="2"/>
  <c r="C380" i="2"/>
  <c r="D380" i="2"/>
  <c r="B381" i="2"/>
  <c r="C381" i="2" s="1"/>
  <c r="B382" i="2"/>
  <c r="C382" i="2"/>
  <c r="B383" i="2"/>
  <c r="C383" i="2"/>
  <c r="D383" i="2"/>
  <c r="B384" i="2"/>
  <c r="C384" i="2"/>
  <c r="B385" i="2"/>
  <c r="C385" i="2"/>
  <c r="D385" i="2"/>
  <c r="B386" i="2"/>
  <c r="C386" i="2"/>
  <c r="D386" i="2" s="1"/>
  <c r="B387" i="2"/>
  <c r="C387" i="2"/>
  <c r="D387" i="2"/>
  <c r="B388" i="2"/>
  <c r="C388" i="2"/>
  <c r="D388" i="2" s="1"/>
  <c r="B389" i="2"/>
  <c r="C389" i="2" s="1"/>
  <c r="B390" i="2"/>
  <c r="C390" i="2" s="1"/>
  <c r="B391" i="2"/>
  <c r="C391" i="2" s="1"/>
  <c r="B392" i="2"/>
  <c r="C392" i="2"/>
  <c r="D392" i="2"/>
  <c r="B393" i="2"/>
  <c r="C393" i="2"/>
  <c r="D393" i="2"/>
  <c r="B394" i="2"/>
  <c r="B395" i="2"/>
  <c r="C395" i="2" s="1"/>
  <c r="D395" i="2" s="1"/>
  <c r="B396" i="2"/>
  <c r="C396" i="2"/>
  <c r="D396" i="2"/>
  <c r="B397" i="2"/>
  <c r="C397" i="2"/>
  <c r="D397" i="2"/>
  <c r="B398" i="2"/>
  <c r="D398" i="2" s="1"/>
  <c r="C398" i="2"/>
  <c r="B399" i="2"/>
  <c r="C399" i="2"/>
  <c r="D399" i="2"/>
  <c r="B400" i="2"/>
  <c r="C400" i="2"/>
  <c r="D400" i="2"/>
  <c r="B401" i="2"/>
  <c r="C401" i="2" s="1"/>
  <c r="B402" i="2"/>
  <c r="C402" i="2"/>
  <c r="B403" i="2"/>
  <c r="C403" i="2"/>
  <c r="D403" i="2" s="1"/>
  <c r="B404" i="2"/>
  <c r="C404" i="2"/>
  <c r="B405" i="2"/>
  <c r="C405" i="2"/>
  <c r="D405" i="2"/>
  <c r="B406" i="2"/>
  <c r="D406" i="2" s="1"/>
  <c r="C406" i="2"/>
  <c r="B407" i="2"/>
  <c r="C407" i="2"/>
  <c r="D407" i="2"/>
  <c r="B408" i="2"/>
  <c r="C408" i="2"/>
  <c r="D408" i="2" s="1"/>
  <c r="B409" i="2"/>
  <c r="C409" i="2" s="1"/>
  <c r="B410" i="2"/>
  <c r="C410" i="2"/>
  <c r="D410" i="2"/>
  <c r="B411" i="2"/>
  <c r="C411" i="2" s="1"/>
  <c r="B412" i="2"/>
  <c r="C412" i="2" s="1"/>
  <c r="B413" i="2"/>
  <c r="C413" i="2"/>
  <c r="D413" i="2"/>
  <c r="B414" i="2"/>
  <c r="C414" i="2"/>
  <c r="B415" i="2"/>
  <c r="C415" i="2" s="1"/>
  <c r="D415" i="2" s="1"/>
  <c r="B416" i="2"/>
  <c r="C416" i="2"/>
  <c r="D416" i="2"/>
  <c r="B417" i="2"/>
  <c r="C417" i="2"/>
  <c r="D417" i="2"/>
  <c r="B418" i="2"/>
  <c r="C418" i="2"/>
  <c r="D418" i="2"/>
  <c r="B419" i="2"/>
  <c r="C419" i="2" s="1"/>
  <c r="B420" i="2"/>
  <c r="C420" i="2"/>
  <c r="D420" i="2"/>
  <c r="B421" i="2"/>
  <c r="C421" i="2" s="1"/>
  <c r="B422" i="2"/>
  <c r="C422" i="2"/>
  <c r="B423" i="2"/>
  <c r="D423" i="2" s="1"/>
  <c r="C423" i="2"/>
  <c r="B424" i="2"/>
  <c r="C424" i="2"/>
  <c r="B425" i="2"/>
  <c r="C425" i="2"/>
  <c r="D425" i="2"/>
  <c r="B426" i="2"/>
  <c r="C426" i="2"/>
  <c r="D426" i="2"/>
  <c r="B427" i="2"/>
  <c r="C427" i="2" s="1"/>
  <c r="B428" i="2"/>
  <c r="C428" i="2"/>
  <c r="D428" i="2" s="1"/>
  <c r="B429" i="2"/>
  <c r="C429" i="2" s="1"/>
  <c r="B430" i="2"/>
  <c r="C430" i="2"/>
  <c r="D430" i="2"/>
  <c r="B431" i="2"/>
  <c r="C431" i="2" s="1"/>
  <c r="B432" i="2"/>
  <c r="C432" i="2" s="1"/>
  <c r="B433" i="2"/>
  <c r="C433" i="2"/>
  <c r="D433" i="2"/>
  <c r="B434" i="2"/>
  <c r="C434" i="2"/>
  <c r="B435" i="2"/>
  <c r="C435" i="2" s="1"/>
  <c r="D435" i="2" s="1"/>
  <c r="B436" i="2"/>
  <c r="D436" i="2" s="1"/>
  <c r="C436" i="2"/>
  <c r="B437" i="2"/>
  <c r="C437" i="2" s="1"/>
  <c r="B438" i="2"/>
  <c r="C438" i="2"/>
  <c r="D438" i="2"/>
  <c r="B439" i="2"/>
  <c r="C439" i="2"/>
  <c r="D439" i="2"/>
  <c r="B440" i="2"/>
  <c r="C440" i="2"/>
  <c r="D440" i="2"/>
  <c r="B441" i="2"/>
  <c r="C441" i="2" s="1"/>
  <c r="B442" i="2"/>
  <c r="C442" i="2"/>
  <c r="B443" i="2"/>
  <c r="C443" i="2"/>
  <c r="D443" i="2"/>
  <c r="B444" i="2"/>
  <c r="B445" i="2"/>
  <c r="C445" i="2" s="1"/>
  <c r="B446" i="2"/>
  <c r="C446" i="2"/>
  <c r="D446" i="2"/>
  <c r="B447" i="2"/>
  <c r="C447" i="2"/>
  <c r="D447" i="2"/>
  <c r="B448" i="2"/>
  <c r="C448" i="2"/>
  <c r="D448" i="2" s="1"/>
  <c r="B449" i="2"/>
  <c r="C449" i="2" s="1"/>
  <c r="B450" i="2"/>
  <c r="C450" i="2"/>
  <c r="D450" i="2"/>
  <c r="B451" i="2"/>
  <c r="C451" i="2" s="1"/>
  <c r="B452" i="2"/>
  <c r="C452" i="2"/>
  <c r="D452" i="2"/>
  <c r="B453" i="2"/>
  <c r="C453" i="2"/>
  <c r="D453" i="2" s="1"/>
  <c r="B454" i="2"/>
  <c r="C454" i="2"/>
  <c r="B455" i="2"/>
  <c r="C455" i="2" s="1"/>
  <c r="D455" i="2" s="1"/>
  <c r="B456" i="2"/>
  <c r="C456" i="2"/>
  <c r="D456" i="2"/>
  <c r="B457" i="2"/>
  <c r="C457" i="2" s="1"/>
  <c r="B458" i="2"/>
  <c r="C458" i="2"/>
  <c r="D458" i="2"/>
  <c r="B459" i="2"/>
  <c r="C459" i="2"/>
  <c r="D459" i="2"/>
  <c r="B460" i="2"/>
  <c r="D460" i="2" s="1"/>
  <c r="C460" i="2"/>
  <c r="B461" i="2"/>
  <c r="C461" i="2" s="1"/>
  <c r="B462" i="2"/>
  <c r="C462" i="2"/>
  <c r="B463" i="2"/>
  <c r="C463" i="2"/>
  <c r="D463" i="2"/>
  <c r="B464" i="2"/>
  <c r="C464" i="2"/>
  <c r="B465" i="2"/>
  <c r="C465" i="2" s="1"/>
  <c r="B466" i="2"/>
  <c r="C466" i="2"/>
  <c r="D466" i="2"/>
  <c r="B467" i="2"/>
  <c r="C467" i="2"/>
  <c r="D467" i="2"/>
  <c r="B468" i="2"/>
  <c r="C468" i="2"/>
  <c r="D468" i="2" s="1"/>
  <c r="B469" i="2"/>
  <c r="C469" i="2" s="1"/>
  <c r="B470" i="2"/>
  <c r="C470" i="2" s="1"/>
  <c r="B471" i="2"/>
  <c r="C471" i="2" s="1"/>
  <c r="B472" i="2"/>
  <c r="C472" i="2"/>
  <c r="D472" i="2"/>
  <c r="B473" i="2"/>
  <c r="D473" i="2" s="1"/>
  <c r="C473" i="2"/>
  <c r="B474" i="2"/>
  <c r="C474" i="2"/>
  <c r="B475" i="2"/>
  <c r="C475" i="2" s="1"/>
  <c r="D475" i="2" s="1"/>
  <c r="B476" i="2"/>
  <c r="C476" i="2"/>
  <c r="D476" i="2"/>
  <c r="B477" i="2"/>
  <c r="C477" i="2"/>
  <c r="D477" i="2"/>
  <c r="B478" i="2"/>
  <c r="C478" i="2"/>
  <c r="D478" i="2" s="1"/>
  <c r="B479" i="2"/>
  <c r="C479" i="2"/>
  <c r="D479" i="2"/>
  <c r="B480" i="2"/>
  <c r="C480" i="2"/>
  <c r="D480" i="2"/>
  <c r="B481" i="2"/>
  <c r="C481" i="2" s="1"/>
  <c r="B482" i="2"/>
  <c r="C482" i="2"/>
  <c r="B483" i="2"/>
  <c r="C483" i="2"/>
  <c r="D483" i="2"/>
  <c r="B484" i="2"/>
  <c r="C484" i="2"/>
  <c r="B485" i="2"/>
  <c r="C485" i="2"/>
  <c r="D485" i="2"/>
  <c r="B486" i="2"/>
  <c r="C486" i="2"/>
  <c r="D486" i="2" s="1"/>
  <c r="B487" i="2"/>
  <c r="C487" i="2"/>
  <c r="D487" i="2"/>
  <c r="B488" i="2"/>
  <c r="C488" i="2"/>
  <c r="D488" i="2" s="1"/>
  <c r="B489" i="2"/>
  <c r="C489" i="2" s="1"/>
  <c r="B490" i="2"/>
  <c r="C490" i="2" s="1"/>
  <c r="B491" i="2"/>
  <c r="C491" i="2" s="1"/>
  <c r="B492" i="2"/>
  <c r="C492" i="2"/>
  <c r="D492" i="2"/>
  <c r="B493" i="2"/>
  <c r="C493" i="2"/>
  <c r="D493" i="2"/>
  <c r="B494" i="2"/>
  <c r="B495" i="2"/>
  <c r="C495" i="2" s="1"/>
  <c r="D495" i="2" s="1"/>
  <c r="B496" i="2"/>
  <c r="C496" i="2"/>
  <c r="D496" i="2"/>
  <c r="B497" i="2"/>
  <c r="C497" i="2"/>
  <c r="D497" i="2"/>
  <c r="B498" i="2"/>
  <c r="D498" i="2" s="1"/>
  <c r="C498" i="2"/>
  <c r="B499" i="2"/>
  <c r="C499" i="2"/>
  <c r="D499" i="2"/>
  <c r="B500" i="2"/>
  <c r="C500" i="2"/>
  <c r="D500" i="2"/>
  <c r="B501" i="2"/>
  <c r="C501" i="2" s="1"/>
  <c r="B502" i="2"/>
  <c r="C502" i="2"/>
  <c r="B503" i="2"/>
  <c r="D503" i="2" s="1"/>
  <c r="C503" i="2"/>
  <c r="B504" i="2"/>
  <c r="C504" i="2"/>
  <c r="B505" i="2"/>
  <c r="C505" i="2"/>
  <c r="D505" i="2"/>
  <c r="B506" i="2"/>
  <c r="D506" i="2" s="1"/>
  <c r="C506" i="2"/>
  <c r="B507" i="2"/>
  <c r="C507" i="2"/>
  <c r="D507" i="2"/>
  <c r="B508" i="2"/>
  <c r="C508" i="2"/>
  <c r="D508" i="2" s="1"/>
  <c r="B509" i="2"/>
  <c r="C509" i="2" s="1"/>
  <c r="B510" i="2"/>
  <c r="C510" i="2"/>
  <c r="D510" i="2"/>
  <c r="B511" i="2"/>
  <c r="C511" i="2" s="1"/>
  <c r="B512" i="2"/>
  <c r="C512" i="2" s="1"/>
  <c r="B513" i="2"/>
  <c r="C513" i="2"/>
  <c r="D513" i="2"/>
  <c r="B514" i="2"/>
  <c r="C514" i="2"/>
  <c r="B515" i="2"/>
  <c r="C515" i="2" s="1"/>
  <c r="D515" i="2" s="1"/>
  <c r="B516" i="2"/>
  <c r="C516" i="2"/>
  <c r="D516" i="2"/>
  <c r="B517" i="2"/>
  <c r="C517" i="2"/>
  <c r="D517" i="2"/>
  <c r="B518" i="2"/>
  <c r="C518" i="2"/>
  <c r="D518" i="2"/>
  <c r="B519" i="2"/>
  <c r="C519" i="2" s="1"/>
  <c r="B520" i="2"/>
  <c r="C520" i="2"/>
  <c r="D520" i="2"/>
  <c r="B521" i="2"/>
  <c r="C521" i="2" s="1"/>
  <c r="B522" i="2"/>
  <c r="C522" i="2"/>
  <c r="B523" i="2"/>
  <c r="D523" i="2" s="1"/>
  <c r="C523" i="2"/>
  <c r="B524" i="2"/>
  <c r="C524" i="2"/>
  <c r="B525" i="2"/>
  <c r="C525" i="2"/>
  <c r="D525" i="2"/>
  <c r="B526" i="2"/>
  <c r="C526" i="2"/>
  <c r="D526" i="2"/>
  <c r="B527" i="2"/>
  <c r="C527" i="2" s="1"/>
  <c r="B528" i="2"/>
  <c r="C528" i="2"/>
  <c r="D528" i="2" s="1"/>
  <c r="B529" i="2"/>
  <c r="C529" i="2" s="1"/>
  <c r="B530" i="2"/>
  <c r="C530" i="2"/>
  <c r="D530" i="2"/>
  <c r="B531" i="2"/>
  <c r="C531" i="2" s="1"/>
  <c r="B532" i="2"/>
  <c r="C532" i="2" s="1"/>
  <c r="B533" i="2"/>
  <c r="C533" i="2"/>
  <c r="D533" i="2"/>
  <c r="B534" i="2"/>
  <c r="C534" i="2"/>
  <c r="B535" i="2"/>
  <c r="C535" i="2" s="1"/>
  <c r="D535" i="2" s="1"/>
  <c r="B536" i="2"/>
  <c r="D536" i="2" s="1"/>
  <c r="C536" i="2"/>
  <c r="B537" i="2"/>
  <c r="C537" i="2" s="1"/>
  <c r="B538" i="2"/>
  <c r="C538" i="2"/>
  <c r="D538" i="2"/>
  <c r="B539" i="2"/>
  <c r="C539" i="2"/>
  <c r="D539" i="2"/>
  <c r="B540" i="2"/>
  <c r="C540" i="2"/>
  <c r="D540" i="2"/>
  <c r="B541" i="2"/>
  <c r="C541" i="2" s="1"/>
  <c r="B542" i="2"/>
  <c r="C542" i="2"/>
  <c r="B543" i="2"/>
  <c r="C543" i="2"/>
  <c r="D543" i="2"/>
  <c r="B544" i="2"/>
  <c r="B545" i="2"/>
  <c r="C545" i="2" s="1"/>
  <c r="D545" i="2" s="1"/>
  <c r="B546" i="2"/>
  <c r="C546" i="2"/>
  <c r="D546" i="2"/>
  <c r="B547" i="2"/>
  <c r="C547" i="2"/>
  <c r="D547" i="2"/>
  <c r="B548" i="2"/>
  <c r="C548" i="2"/>
  <c r="D548" i="2" s="1"/>
  <c r="B549" i="2"/>
  <c r="C549" i="2" s="1"/>
  <c r="B550" i="2"/>
  <c r="C550" i="2"/>
  <c r="D550" i="2"/>
  <c r="B551" i="2"/>
  <c r="C551" i="2" s="1"/>
  <c r="B552" i="2"/>
  <c r="C552" i="2"/>
  <c r="D552" i="2"/>
  <c r="B553" i="2"/>
  <c r="D553" i="2" s="1"/>
  <c r="C553" i="2"/>
  <c r="B554" i="2"/>
  <c r="C554" i="2"/>
  <c r="B555" i="2"/>
  <c r="C555" i="2" s="1"/>
  <c r="D555" i="2" s="1"/>
  <c r="B556" i="2"/>
  <c r="C556" i="2"/>
  <c r="D556" i="2"/>
  <c r="B557" i="2"/>
  <c r="C557" i="2" s="1"/>
  <c r="B558" i="2"/>
  <c r="C558" i="2"/>
  <c r="D558" i="2"/>
  <c r="B559" i="2"/>
  <c r="C559" i="2"/>
  <c r="D559" i="2"/>
  <c r="B560" i="2"/>
  <c r="D560" i="2" s="1"/>
  <c r="C560" i="2"/>
  <c r="B561" i="2"/>
  <c r="C561" i="2" s="1"/>
  <c r="B562" i="2"/>
  <c r="C562" i="2"/>
  <c r="B563" i="2"/>
  <c r="C563" i="2"/>
  <c r="D563" i="2"/>
  <c r="B564" i="2"/>
  <c r="C564" i="2"/>
  <c r="B565" i="2"/>
  <c r="C565" i="2" s="1"/>
  <c r="B566" i="2"/>
  <c r="C566" i="2"/>
  <c r="D566" i="2"/>
  <c r="B567" i="2"/>
  <c r="C567" i="2"/>
  <c r="D567" i="2"/>
  <c r="B568" i="2"/>
  <c r="C568" i="2"/>
  <c r="D568" i="2" s="1"/>
  <c r="B569" i="2"/>
  <c r="C569" i="2" s="1"/>
  <c r="B570" i="2"/>
  <c r="C570" i="2" s="1"/>
  <c r="B571" i="2"/>
  <c r="C571" i="2" s="1"/>
  <c r="B572" i="2"/>
  <c r="C572" i="2"/>
  <c r="D572" i="2"/>
  <c r="B573" i="2"/>
  <c r="D573" i="2" s="1"/>
  <c r="C573" i="2"/>
  <c r="B574" i="2"/>
  <c r="C574" i="2"/>
  <c r="B575" i="2"/>
  <c r="C575" i="2" s="1"/>
  <c r="D575" i="2" s="1"/>
  <c r="B576" i="2"/>
  <c r="C576" i="2"/>
  <c r="D576" i="2"/>
  <c r="B577" i="2"/>
  <c r="C577" i="2"/>
  <c r="D577" i="2"/>
  <c r="B578" i="2"/>
  <c r="D578" i="2" s="1"/>
  <c r="C578" i="2"/>
  <c r="B579" i="2"/>
  <c r="C579" i="2"/>
  <c r="D579" i="2"/>
  <c r="B580" i="2"/>
  <c r="C580" i="2"/>
  <c r="D580" i="2"/>
  <c r="B581" i="2"/>
  <c r="C581" i="2" s="1"/>
  <c r="B582" i="2"/>
  <c r="C582" i="2"/>
  <c r="B583" i="2"/>
  <c r="C583" i="2"/>
  <c r="D583" i="2"/>
  <c r="B584" i="2"/>
  <c r="C584" i="2"/>
  <c r="B585" i="2"/>
  <c r="C585" i="2"/>
  <c r="D585" i="2"/>
  <c r="B586" i="2"/>
  <c r="D586" i="2" s="1"/>
  <c r="C586" i="2"/>
  <c r="B587" i="2"/>
  <c r="C587" i="2"/>
  <c r="D587" i="2"/>
  <c r="B588" i="2"/>
  <c r="C588" i="2"/>
  <c r="D588" i="2" s="1"/>
  <c r="B589" i="2"/>
  <c r="C589" i="2" s="1"/>
  <c r="B590" i="2"/>
  <c r="C590" i="2" s="1"/>
  <c r="B591" i="2"/>
  <c r="C591" i="2" s="1"/>
  <c r="B592" i="2"/>
  <c r="C592" i="2"/>
  <c r="D592" i="2"/>
  <c r="B593" i="2"/>
  <c r="C593" i="2"/>
  <c r="D593" i="2"/>
  <c r="B594" i="2"/>
  <c r="B595" i="2"/>
  <c r="C595" i="2" s="1"/>
  <c r="D595" i="2" s="1"/>
  <c r="B596" i="2"/>
  <c r="C596" i="2"/>
  <c r="D596" i="2"/>
  <c r="B597" i="2"/>
  <c r="C597" i="2"/>
  <c r="D597" i="2"/>
  <c r="B598" i="2"/>
  <c r="D598" i="2" s="1"/>
  <c r="C598" i="2"/>
  <c r="B599" i="2"/>
  <c r="C599" i="2"/>
  <c r="D599" i="2"/>
  <c r="B600" i="2"/>
  <c r="C600" i="2"/>
  <c r="D600" i="2"/>
  <c r="B601" i="2"/>
  <c r="C601" i="2" s="1"/>
  <c r="B602" i="2"/>
  <c r="C602" i="2"/>
  <c r="B603" i="2"/>
  <c r="C603" i="2"/>
  <c r="D603" i="2" s="1"/>
  <c r="B604" i="2"/>
  <c r="C604" i="2"/>
  <c r="B605" i="2"/>
  <c r="C605" i="2"/>
  <c r="D605" i="2"/>
  <c r="B606" i="2"/>
  <c r="D606" i="2" s="1"/>
  <c r="C606" i="2"/>
  <c r="B607" i="2"/>
  <c r="C607" i="2"/>
  <c r="D607" i="2"/>
  <c r="B108" i="2"/>
  <c r="C108" i="2" s="1"/>
  <c r="B109" i="2"/>
  <c r="C109" i="2"/>
  <c r="B110" i="2"/>
  <c r="D110" i="2" s="1"/>
  <c r="C110" i="2"/>
  <c r="B111" i="2"/>
  <c r="C111" i="2" s="1"/>
  <c r="B112" i="2"/>
  <c r="C112" i="2"/>
  <c r="D112" i="2"/>
  <c r="B113" i="2"/>
  <c r="C113" i="2"/>
  <c r="D113" i="2"/>
  <c r="B114" i="2"/>
  <c r="C114" i="2" s="1"/>
  <c r="D114" i="2" s="1"/>
  <c r="B115" i="2"/>
  <c r="C115" i="2"/>
  <c r="B116" i="2"/>
  <c r="C116" i="2" s="1"/>
  <c r="B117" i="2"/>
  <c r="C117" i="2"/>
  <c r="B118" i="2"/>
  <c r="C118" i="2"/>
  <c r="D118" i="2"/>
  <c r="B119" i="2"/>
  <c r="C119" i="2" s="1"/>
  <c r="B120" i="2"/>
  <c r="C120" i="2"/>
  <c r="B121" i="2"/>
  <c r="C121" i="2"/>
  <c r="B122" i="2"/>
  <c r="C122" i="2" s="1"/>
  <c r="B123" i="2"/>
  <c r="C123" i="2"/>
  <c r="D123" i="2"/>
  <c r="B124" i="2"/>
  <c r="C124" i="2" s="1"/>
  <c r="B125" i="2"/>
  <c r="C125" i="2"/>
  <c r="D125" i="2"/>
  <c r="B126" i="2"/>
  <c r="C126" i="2"/>
  <c r="D126" i="2"/>
  <c r="B127" i="2"/>
  <c r="C127" i="2" s="1"/>
  <c r="B128" i="2"/>
  <c r="C128" i="2" s="1"/>
  <c r="B129" i="2"/>
  <c r="C129" i="2" s="1"/>
  <c r="D129" i="2" s="1"/>
  <c r="B130" i="2"/>
  <c r="C130" i="2" s="1"/>
  <c r="B131" i="2"/>
  <c r="C131" i="2"/>
  <c r="D131" i="2"/>
  <c r="B132" i="2"/>
  <c r="C132" i="2"/>
  <c r="D132" i="2"/>
  <c r="B133" i="2"/>
  <c r="C133" i="2"/>
  <c r="D133" i="2"/>
  <c r="B134" i="2"/>
  <c r="C134" i="2" s="1"/>
  <c r="D134" i="2" s="1"/>
  <c r="B135" i="2"/>
  <c r="C135" i="2"/>
  <c r="B136" i="2"/>
  <c r="C136" i="2" s="1"/>
  <c r="B137" i="2"/>
  <c r="C137" i="2"/>
  <c r="B138" i="2"/>
  <c r="C138" i="2" s="1"/>
  <c r="B139" i="2"/>
  <c r="C139" i="2"/>
  <c r="D139" i="2"/>
  <c r="B140" i="2"/>
  <c r="C140" i="2"/>
  <c r="B141" i="2"/>
  <c r="C141" i="2"/>
  <c r="B142" i="2"/>
  <c r="C142" i="2" s="1"/>
  <c r="B143" i="2"/>
  <c r="C143" i="2"/>
  <c r="D143" i="2"/>
  <c r="B144" i="2"/>
  <c r="C144" i="2" s="1"/>
  <c r="B145" i="2"/>
  <c r="C145" i="2"/>
  <c r="D145" i="2"/>
  <c r="B146" i="2"/>
  <c r="C146" i="2"/>
  <c r="D146" i="2"/>
  <c r="B147" i="2"/>
  <c r="C147" i="2" s="1"/>
  <c r="B148" i="2"/>
  <c r="C148" i="2" s="1"/>
  <c r="B149" i="2"/>
  <c r="C149" i="2"/>
  <c r="B150" i="2"/>
  <c r="C150" i="2"/>
  <c r="D150" i="2"/>
  <c r="B151" i="2"/>
  <c r="C151" i="2"/>
  <c r="D151" i="2"/>
  <c r="B152" i="2"/>
  <c r="C152" i="2"/>
  <c r="D152" i="2"/>
  <c r="B153" i="2"/>
  <c r="C153" i="2"/>
  <c r="D153" i="2"/>
  <c r="B154" i="2"/>
  <c r="C154" i="2" s="1"/>
  <c r="D154" i="2" s="1"/>
  <c r="B155" i="2"/>
  <c r="C155" i="2"/>
  <c r="B156" i="2"/>
  <c r="C156" i="2" s="1"/>
  <c r="B157" i="2"/>
  <c r="C157" i="2"/>
  <c r="B158" i="2"/>
  <c r="C158" i="2"/>
  <c r="D158" i="2"/>
  <c r="B159" i="2"/>
  <c r="C159" i="2"/>
  <c r="D159" i="2"/>
  <c r="B160" i="2"/>
  <c r="C160" i="2"/>
  <c r="B161" i="2"/>
  <c r="C161" i="2"/>
  <c r="B162" i="2"/>
  <c r="C162" i="2" s="1"/>
  <c r="B163" i="2"/>
  <c r="C163" i="2"/>
  <c r="D163" i="2"/>
  <c r="B164" i="2"/>
  <c r="C164" i="2" s="1"/>
  <c r="B165" i="2"/>
  <c r="C165" i="2"/>
  <c r="D165" i="2"/>
  <c r="B166" i="2"/>
  <c r="D166" i="2" s="1"/>
  <c r="C166" i="2"/>
  <c r="B167" i="2"/>
  <c r="C167" i="2" s="1"/>
  <c r="B168" i="2"/>
  <c r="C168" i="2" s="1"/>
  <c r="B169" i="2"/>
  <c r="C169" i="2"/>
  <c r="D169" i="2" s="1"/>
  <c r="B170" i="2"/>
  <c r="C170" i="2"/>
  <c r="D170" i="2"/>
  <c r="B171" i="2"/>
  <c r="C171" i="2"/>
  <c r="D171" i="2"/>
  <c r="B172" i="2"/>
  <c r="C172" i="2"/>
  <c r="D172" i="2"/>
  <c r="B173" i="2"/>
  <c r="C173" i="2"/>
  <c r="D173" i="2"/>
  <c r="B174" i="2"/>
  <c r="C174" i="2" s="1"/>
  <c r="D174" i="2" s="1"/>
  <c r="B175" i="2"/>
  <c r="C175" i="2"/>
  <c r="B176" i="2"/>
  <c r="C176" i="2" s="1"/>
  <c r="B177" i="2"/>
  <c r="C177" i="2"/>
  <c r="B178" i="2"/>
  <c r="C178" i="2"/>
  <c r="D178" i="2"/>
  <c r="B179" i="2"/>
  <c r="D179" i="2" s="1"/>
  <c r="C179" i="2"/>
  <c r="B180" i="2"/>
  <c r="C180" i="2"/>
  <c r="B181" i="2"/>
  <c r="C181" i="2"/>
  <c r="B182" i="2"/>
  <c r="C182" i="2" s="1"/>
  <c r="B183" i="2"/>
  <c r="C183" i="2"/>
  <c r="D183" i="2"/>
  <c r="B184" i="2"/>
  <c r="C184" i="2" s="1"/>
  <c r="B185" i="2"/>
  <c r="C185" i="2"/>
  <c r="D185" i="2" s="1"/>
  <c r="B186" i="2"/>
  <c r="C186" i="2"/>
  <c r="D186" i="2"/>
  <c r="B187" i="2"/>
  <c r="C187" i="2" s="1"/>
  <c r="B188" i="2"/>
  <c r="C188" i="2" s="1"/>
  <c r="B189" i="2"/>
  <c r="C189" i="2"/>
  <c r="B190" i="2"/>
  <c r="C190" i="2"/>
  <c r="D190" i="2"/>
  <c r="B191" i="2"/>
  <c r="C191" i="2"/>
  <c r="D191" i="2"/>
  <c r="B192" i="2"/>
  <c r="C192" i="2"/>
  <c r="D192" i="2"/>
  <c r="B193" i="2"/>
  <c r="C193" i="2" s="1"/>
  <c r="B194" i="2"/>
  <c r="C194" i="2" s="1"/>
  <c r="D194" i="2" s="1"/>
  <c r="B195" i="2"/>
  <c r="C195" i="2"/>
  <c r="B196" i="2"/>
  <c r="C196" i="2" s="1"/>
  <c r="B197" i="2"/>
  <c r="C197" i="2"/>
  <c r="B198" i="2"/>
  <c r="D198" i="2" s="1"/>
  <c r="C198" i="2"/>
  <c r="B199" i="2"/>
  <c r="C199" i="2"/>
  <c r="D199" i="2"/>
  <c r="B200" i="2"/>
  <c r="C200" i="2"/>
  <c r="B201" i="2"/>
  <c r="C201" i="2"/>
  <c r="B202" i="2"/>
  <c r="C202" i="2" s="1"/>
  <c r="B203" i="2"/>
  <c r="C203" i="2" s="1"/>
  <c r="B204" i="2"/>
  <c r="C204" i="2" s="1"/>
  <c r="B205" i="2"/>
  <c r="C205" i="2"/>
  <c r="D205" i="2"/>
  <c r="B206" i="2"/>
  <c r="C206" i="2"/>
  <c r="D206" i="2"/>
  <c r="B207" i="2"/>
  <c r="C207" i="2" s="1"/>
  <c r="B68" i="2"/>
  <c r="C68" i="2" s="1"/>
  <c r="D68" i="2" s="1"/>
  <c r="B69" i="2"/>
  <c r="C69" i="2"/>
  <c r="D69" i="2" s="1"/>
  <c r="B70" i="2"/>
  <c r="C70" i="2"/>
  <c r="B71" i="2"/>
  <c r="C71" i="2" s="1"/>
  <c r="B72" i="2"/>
  <c r="C72" i="2"/>
  <c r="D72" i="2"/>
  <c r="B73" i="2"/>
  <c r="C73" i="2" s="1"/>
  <c r="B74" i="2"/>
  <c r="C74" i="2"/>
  <c r="B75" i="2"/>
  <c r="C75" i="2" s="1"/>
  <c r="B76" i="2"/>
  <c r="C76" i="2"/>
  <c r="D76" i="2"/>
  <c r="B77" i="2"/>
  <c r="C77" i="2"/>
  <c r="B78" i="2"/>
  <c r="C78" i="2" s="1"/>
  <c r="B79" i="2"/>
  <c r="C79" i="2" s="1"/>
  <c r="B80" i="2"/>
  <c r="C80" i="2"/>
  <c r="D80" i="2"/>
  <c r="B81" i="2"/>
  <c r="C81" i="2" s="1"/>
  <c r="B82" i="2"/>
  <c r="C82" i="2" s="1"/>
  <c r="D82" i="2" s="1"/>
  <c r="B83" i="2"/>
  <c r="C83" i="2"/>
  <c r="D83" i="2"/>
  <c r="B84" i="2"/>
  <c r="C84" i="2"/>
  <c r="B85" i="2"/>
  <c r="C85" i="2" s="1"/>
  <c r="B86" i="2"/>
  <c r="C86" i="2"/>
  <c r="B87" i="2"/>
  <c r="C87" i="2" s="1"/>
  <c r="B88" i="2"/>
  <c r="C88" i="2" s="1"/>
  <c r="D88" i="2" s="1"/>
  <c r="B89" i="2"/>
  <c r="C89" i="2"/>
  <c r="D89" i="2" s="1"/>
  <c r="B90" i="2"/>
  <c r="C90" i="2" s="1"/>
  <c r="B91" i="2"/>
  <c r="C91" i="2" s="1"/>
  <c r="B92" i="2"/>
  <c r="C92" i="2"/>
  <c r="D92" i="2"/>
  <c r="B93" i="2"/>
  <c r="C93" i="2"/>
  <c r="D93" i="2"/>
  <c r="B94" i="2"/>
  <c r="C94" i="2" s="1"/>
  <c r="B95" i="2"/>
  <c r="C95" i="2" s="1"/>
  <c r="B96" i="2"/>
  <c r="C96" i="2" s="1"/>
  <c r="B97" i="2"/>
  <c r="C97" i="2" s="1"/>
  <c r="B98" i="2"/>
  <c r="C98" i="2" s="1"/>
  <c r="B99" i="2"/>
  <c r="C99" i="2"/>
  <c r="D99" i="2"/>
  <c r="B100" i="2"/>
  <c r="C100" i="2"/>
  <c r="B101" i="2"/>
  <c r="C101" i="2" s="1"/>
  <c r="B102" i="2"/>
  <c r="C102" i="2" s="1"/>
  <c r="D102" i="2" s="1"/>
  <c r="B103" i="2"/>
  <c r="C103" i="2" s="1"/>
  <c r="D103" i="2" s="1"/>
  <c r="B104" i="2"/>
  <c r="C104" i="2"/>
  <c r="B105" i="2"/>
  <c r="C105" i="2"/>
  <c r="D105" i="2"/>
  <c r="B106" i="2"/>
  <c r="C106" i="2"/>
  <c r="B107" i="2"/>
  <c r="C107" i="2"/>
  <c r="K12" i="3"/>
  <c r="K12" i="2"/>
  <c r="K12" i="1"/>
  <c r="K11" i="3"/>
  <c r="K10" i="3"/>
  <c r="K9" i="3"/>
  <c r="K11" i="1"/>
  <c r="K10" i="1"/>
  <c r="K9" i="1"/>
  <c r="K10" i="2"/>
  <c r="K11" i="2"/>
  <c r="K9" i="2"/>
  <c r="B2" i="4"/>
  <c r="F15" i="4"/>
  <c r="H21" i="4" s="1"/>
  <c r="H16" i="4"/>
  <c r="H17" i="4"/>
  <c r="H18" i="4"/>
  <c r="H19" i="4"/>
  <c r="H20" i="4"/>
  <c r="H22" i="4"/>
  <c r="H23" i="4"/>
  <c r="H24" i="4"/>
  <c r="H25" i="4"/>
  <c r="H26" i="4"/>
  <c r="H27" i="4"/>
  <c r="H28" i="4"/>
  <c r="H29" i="4"/>
  <c r="H30" i="4"/>
  <c r="H31" i="4"/>
  <c r="H32" i="4"/>
  <c r="H33" i="4"/>
  <c r="B15" i="4"/>
  <c r="D15" i="4" s="1"/>
  <c r="B67" i="3"/>
  <c r="C67" i="3" s="1"/>
  <c r="B61" i="3"/>
  <c r="C61" i="3" s="1"/>
  <c r="B62" i="3"/>
  <c r="C62" i="3" s="1"/>
  <c r="B63" i="3"/>
  <c r="C63" i="3"/>
  <c r="D63" i="3"/>
  <c r="B64" i="3"/>
  <c r="C64" i="3" s="1"/>
  <c r="B65" i="3"/>
  <c r="C65" i="3" s="1"/>
  <c r="B66" i="3"/>
  <c r="C66" i="3"/>
  <c r="D66" i="3"/>
  <c r="B38" i="3"/>
  <c r="C38" i="3" s="1"/>
  <c r="D38" i="3" s="1"/>
  <c r="B39" i="3"/>
  <c r="C39" i="3" s="1"/>
  <c r="B40" i="3"/>
  <c r="C40" i="3" s="1"/>
  <c r="D40" i="3" s="1"/>
  <c r="B41" i="3"/>
  <c r="C41" i="3" s="1"/>
  <c r="B42" i="3"/>
  <c r="C42" i="3" s="1"/>
  <c r="D42" i="3" s="1"/>
  <c r="B43" i="3"/>
  <c r="C43" i="3"/>
  <c r="D43" i="3"/>
  <c r="B44" i="3"/>
  <c r="B45" i="3"/>
  <c r="C45" i="3" s="1"/>
  <c r="D45" i="3" s="1"/>
  <c r="B46" i="3"/>
  <c r="C46" i="3"/>
  <c r="B47" i="3"/>
  <c r="C47" i="3"/>
  <c r="B48" i="3"/>
  <c r="C48" i="3" s="1"/>
  <c r="D48" i="3" s="1"/>
  <c r="B49" i="3"/>
  <c r="C49" i="3" s="1"/>
  <c r="B50" i="3"/>
  <c r="C50" i="3" s="1"/>
  <c r="B51" i="3"/>
  <c r="C51" i="3" s="1"/>
  <c r="B52" i="3"/>
  <c r="C52" i="3" s="1"/>
  <c r="D52" i="3" s="1"/>
  <c r="B53" i="3"/>
  <c r="C53" i="3" s="1"/>
  <c r="D53" i="3" s="1"/>
  <c r="B54" i="3"/>
  <c r="C54" i="3"/>
  <c r="D54" i="3" s="1"/>
  <c r="B55" i="3"/>
  <c r="C55" i="3" s="1"/>
  <c r="B56" i="3"/>
  <c r="C56" i="3"/>
  <c r="B57" i="3"/>
  <c r="C57" i="3" s="1"/>
  <c r="B58" i="3"/>
  <c r="C58" i="3" s="1"/>
  <c r="D58" i="3" s="1"/>
  <c r="B59" i="3"/>
  <c r="C59" i="3"/>
  <c r="D59" i="3"/>
  <c r="B60" i="3"/>
  <c r="C60" i="3"/>
  <c r="D60" i="3"/>
  <c r="B37" i="3"/>
  <c r="C37" i="3" s="1"/>
  <c r="B67" i="2"/>
  <c r="C67" i="2" s="1"/>
  <c r="B36" i="3"/>
  <c r="B35" i="3"/>
  <c r="B34" i="3"/>
  <c r="B33" i="3"/>
  <c r="B32" i="3"/>
  <c r="B31" i="3"/>
  <c r="B30" i="3"/>
  <c r="B29" i="3"/>
  <c r="C29" i="3" s="1"/>
  <c r="B28" i="3"/>
  <c r="C28" i="3" s="1"/>
  <c r="D28" i="3" s="1"/>
  <c r="B27" i="3"/>
  <c r="C27" i="3" s="1"/>
  <c r="D27" i="3" s="1"/>
  <c r="B26" i="3"/>
  <c r="B25" i="3"/>
  <c r="B24" i="3"/>
  <c r="B23" i="3"/>
  <c r="B22" i="3"/>
  <c r="B21" i="3"/>
  <c r="B20" i="3"/>
  <c r="C20" i="3" s="1"/>
  <c r="D20" i="3" s="1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C7" i="3" s="1"/>
  <c r="B66" i="2"/>
  <c r="B65" i="2"/>
  <c r="B64" i="2"/>
  <c r="B63" i="2"/>
  <c r="B62" i="2"/>
  <c r="C62" i="2" s="1"/>
  <c r="D62" i="2" s="1"/>
  <c r="B61" i="2"/>
  <c r="C61" i="2" s="1"/>
  <c r="D61" i="2" s="1"/>
  <c r="B60" i="2"/>
  <c r="C60" i="2" s="1"/>
  <c r="B59" i="2"/>
  <c r="B58" i="2"/>
  <c r="C58" i="2" s="1"/>
  <c r="D58" i="2" s="1"/>
  <c r="B57" i="2"/>
  <c r="C57" i="2" s="1"/>
  <c r="D57" i="2" s="1"/>
  <c r="B56" i="2"/>
  <c r="C56" i="2" s="1"/>
  <c r="D56" i="2" s="1"/>
  <c r="B55" i="2"/>
  <c r="C55" i="2" s="1"/>
  <c r="B54" i="2"/>
  <c r="C54" i="2" s="1"/>
  <c r="B53" i="2"/>
  <c r="B52" i="2"/>
  <c r="B51" i="2"/>
  <c r="B50" i="2"/>
  <c r="C50" i="2" s="1"/>
  <c r="B49" i="2"/>
  <c r="B48" i="2"/>
  <c r="B47" i="2"/>
  <c r="C47" i="2" s="1"/>
  <c r="B46" i="2"/>
  <c r="B45" i="2"/>
  <c r="C45" i="2" s="1"/>
  <c r="B44" i="2"/>
  <c r="C44" i="2" s="1"/>
  <c r="D44" i="2" s="1"/>
  <c r="B43" i="2"/>
  <c r="B42" i="2"/>
  <c r="B41" i="2"/>
  <c r="C41" i="2" s="1"/>
  <c r="B40" i="2"/>
  <c r="C40" i="2" s="1"/>
  <c r="D40" i="2" s="1"/>
  <c r="B39" i="2"/>
  <c r="C39" i="2" s="1"/>
  <c r="B38" i="2"/>
  <c r="B37" i="2"/>
  <c r="C37" i="2" s="1"/>
  <c r="D37" i="2" s="1"/>
  <c r="B36" i="2"/>
  <c r="B35" i="2"/>
  <c r="B34" i="2"/>
  <c r="C34" i="2" s="1"/>
  <c r="B33" i="2"/>
  <c r="C33" i="2" s="1"/>
  <c r="D33" i="2" s="1"/>
  <c r="B32" i="2"/>
  <c r="B31" i="2"/>
  <c r="B30" i="2"/>
  <c r="C30" i="2" s="1"/>
  <c r="B29" i="2"/>
  <c r="B28" i="2"/>
  <c r="B27" i="2"/>
  <c r="B26" i="2"/>
  <c r="B25" i="2"/>
  <c r="B24" i="2"/>
  <c r="B23" i="2"/>
  <c r="C23" i="2" s="1"/>
  <c r="B22" i="2"/>
  <c r="B21" i="2"/>
  <c r="C21" i="2" s="1"/>
  <c r="B20" i="2"/>
  <c r="C20" i="2" s="1"/>
  <c r="D20" i="2" s="1"/>
  <c r="B19" i="2"/>
  <c r="C19" i="2" s="1"/>
  <c r="D19" i="2" s="1"/>
  <c r="B18" i="2"/>
  <c r="B17" i="2"/>
  <c r="C17" i="2" s="1"/>
  <c r="D17" i="2" s="1"/>
  <c r="B16" i="2"/>
  <c r="C16" i="2" s="1"/>
  <c r="D16" i="2" s="1"/>
  <c r="B15" i="2"/>
  <c r="C15" i="2" s="1"/>
  <c r="D15" i="2" s="1"/>
  <c r="B14" i="2"/>
  <c r="B13" i="2"/>
  <c r="C13" i="2" s="1"/>
  <c r="D13" i="2" s="1"/>
  <c r="B12" i="2"/>
  <c r="C12" i="2" s="1"/>
  <c r="D12" i="2" s="1"/>
  <c r="B11" i="2"/>
  <c r="B10" i="2"/>
  <c r="C10" i="2" s="1"/>
  <c r="B9" i="2"/>
  <c r="C9" i="2" s="1"/>
  <c r="B8" i="2"/>
  <c r="C8" i="2" s="1"/>
  <c r="D8" i="2" s="1"/>
  <c r="B7" i="2"/>
  <c r="B9" i="1"/>
  <c r="B10" i="1"/>
  <c r="B11" i="1"/>
  <c r="C11" i="1" s="1"/>
  <c r="B12" i="1"/>
  <c r="C12" i="1" s="1"/>
  <c r="B13" i="1"/>
  <c r="B14" i="1"/>
  <c r="C14" i="1" s="1"/>
  <c r="B15" i="1"/>
  <c r="C15" i="1" s="1"/>
  <c r="B16" i="1"/>
  <c r="C16" i="1" s="1"/>
  <c r="B17" i="1"/>
  <c r="C17" i="1" s="1"/>
  <c r="B18" i="1"/>
  <c r="B19" i="1"/>
  <c r="C19" i="1" s="1"/>
  <c r="B20" i="1"/>
  <c r="C20" i="1" s="1"/>
  <c r="D20" i="1" s="1"/>
  <c r="B21" i="1"/>
  <c r="B22" i="1"/>
  <c r="C22" i="1" s="1"/>
  <c r="D22" i="1" s="1"/>
  <c r="B23" i="1"/>
  <c r="C23" i="1" s="1"/>
  <c r="B24" i="1"/>
  <c r="C24" i="1" s="1"/>
  <c r="B25" i="1"/>
  <c r="C25" i="1" s="1"/>
  <c r="B26" i="1"/>
  <c r="B27" i="1"/>
  <c r="C27" i="1" s="1"/>
  <c r="B28" i="1"/>
  <c r="B29" i="1"/>
  <c r="C29" i="1" s="1"/>
  <c r="B30" i="1"/>
  <c r="C30" i="1" s="1"/>
  <c r="B31" i="1"/>
  <c r="C31" i="1" s="1"/>
  <c r="B32" i="1"/>
  <c r="B33" i="1"/>
  <c r="B34" i="1"/>
  <c r="C34" i="1" s="1"/>
  <c r="D34" i="1" s="1"/>
  <c r="B35" i="1"/>
  <c r="B36" i="1"/>
  <c r="C36" i="1" s="1"/>
  <c r="B37" i="1"/>
  <c r="C37" i="1" s="1"/>
  <c r="B38" i="1"/>
  <c r="C38" i="1" s="1"/>
  <c r="B39" i="1"/>
  <c r="C39" i="1" s="1"/>
  <c r="B40" i="1"/>
  <c r="B41" i="1"/>
  <c r="B42" i="1"/>
  <c r="C42" i="1" s="1"/>
  <c r="B43" i="1"/>
  <c r="C43" i="1" s="1"/>
  <c r="B44" i="1"/>
  <c r="C44" i="1" s="1"/>
  <c r="B45" i="1"/>
  <c r="C45" i="1" s="1"/>
  <c r="B46" i="1"/>
  <c r="B47" i="1"/>
  <c r="B48" i="1"/>
  <c r="B49" i="1"/>
  <c r="C49" i="1" s="1"/>
  <c r="B50" i="1"/>
  <c r="C50" i="1" s="1"/>
  <c r="B51" i="1"/>
  <c r="C51" i="1" s="1"/>
  <c r="B52" i="1"/>
  <c r="C52" i="1" s="1"/>
  <c r="B53" i="1"/>
  <c r="C53" i="1" s="1"/>
  <c r="B54" i="1"/>
  <c r="C54" i="1" s="1"/>
  <c r="B55" i="1"/>
  <c r="B56" i="1"/>
  <c r="B57" i="1"/>
  <c r="C57" i="1" s="1"/>
  <c r="B58" i="1"/>
  <c r="C58" i="1" s="1"/>
  <c r="B59" i="1"/>
  <c r="C59" i="1" s="1"/>
  <c r="B60" i="1"/>
  <c r="C60" i="1" s="1"/>
  <c r="B61" i="1"/>
  <c r="C61" i="1" s="1"/>
  <c r="B62" i="1"/>
  <c r="B63" i="1"/>
  <c r="B64" i="1"/>
  <c r="B65" i="1"/>
  <c r="C65" i="1" s="1"/>
  <c r="B66" i="1"/>
  <c r="B67" i="1"/>
  <c r="B8" i="1"/>
  <c r="B7" i="1"/>
  <c r="D15" i="1" l="1"/>
  <c r="D220" i="3"/>
  <c r="D215" i="3"/>
  <c r="D496" i="3"/>
  <c r="D172" i="3"/>
  <c r="D600" i="3"/>
  <c r="D183" i="3"/>
  <c r="D255" i="3"/>
  <c r="D355" i="3"/>
  <c r="D540" i="3"/>
  <c r="D275" i="3"/>
  <c r="D240" i="3"/>
  <c r="D475" i="3"/>
  <c r="D316" i="3"/>
  <c r="D536" i="3"/>
  <c r="D456" i="3"/>
  <c r="D376" i="3"/>
  <c r="D83" i="3"/>
  <c r="D169" i="3"/>
  <c r="D130" i="3"/>
  <c r="D119" i="3"/>
  <c r="D589" i="3"/>
  <c r="D580" i="3"/>
  <c r="D571" i="3"/>
  <c r="D545" i="3"/>
  <c r="D509" i="3"/>
  <c r="D500" i="3"/>
  <c r="D491" i="3"/>
  <c r="D465" i="3"/>
  <c r="D446" i="3"/>
  <c r="D401" i="3"/>
  <c r="D358" i="3"/>
  <c r="D288" i="3"/>
  <c r="D279" i="3"/>
  <c r="D271" i="3"/>
  <c r="D253" i="3"/>
  <c r="D236" i="3"/>
  <c r="D440" i="3"/>
  <c r="D300" i="3"/>
  <c r="D420" i="3"/>
  <c r="D315" i="3"/>
  <c r="D280" i="3"/>
  <c r="D179" i="3"/>
  <c r="D139" i="3"/>
  <c r="D535" i="3"/>
  <c r="D455" i="3"/>
  <c r="D375" i="3"/>
  <c r="D340" i="3"/>
  <c r="D575" i="3"/>
  <c r="D156" i="3"/>
  <c r="D380" i="3"/>
  <c r="D556" i="3"/>
  <c r="D596" i="3"/>
  <c r="D516" i="3"/>
  <c r="D435" i="3"/>
  <c r="D400" i="3"/>
  <c r="D295" i="3"/>
  <c r="D415" i="3"/>
  <c r="D90" i="3"/>
  <c r="D495" i="3"/>
  <c r="D335" i="3"/>
  <c r="D396" i="3"/>
  <c r="D476" i="3"/>
  <c r="D555" i="3"/>
  <c r="D360" i="3"/>
  <c r="D71" i="3"/>
  <c r="D436" i="3"/>
  <c r="D235" i="3"/>
  <c r="D118" i="3"/>
  <c r="D49" i="3"/>
  <c r="D177" i="3"/>
  <c r="D137" i="3"/>
  <c r="D127" i="3"/>
  <c r="D206" i="3"/>
  <c r="D605" i="3"/>
  <c r="D569" i="3"/>
  <c r="D560" i="3"/>
  <c r="D551" i="3"/>
  <c r="D525" i="3"/>
  <c r="D489" i="3"/>
  <c r="D480" i="3"/>
  <c r="D471" i="3"/>
  <c r="D408" i="3"/>
  <c r="D399" i="3"/>
  <c r="D391" i="3"/>
  <c r="D373" i="3"/>
  <c r="D356" i="3"/>
  <c r="D338" i="3"/>
  <c r="D312" i="3"/>
  <c r="D294" i="3"/>
  <c r="D260" i="3"/>
  <c r="D225" i="3"/>
  <c r="D576" i="3"/>
  <c r="D460" i="3"/>
  <c r="D143" i="3"/>
  <c r="D520" i="3"/>
  <c r="D395" i="3"/>
  <c r="D296" i="3"/>
  <c r="D167" i="3"/>
  <c r="D595" i="3"/>
  <c r="D515" i="3"/>
  <c r="C416" i="3"/>
  <c r="D416" i="3" s="1"/>
  <c r="C355" i="3"/>
  <c r="C320" i="3"/>
  <c r="D320" i="3" s="1"/>
  <c r="D216" i="3"/>
  <c r="D607" i="3"/>
  <c r="D587" i="3"/>
  <c r="D567" i="3"/>
  <c r="D547" i="3"/>
  <c r="D527" i="3"/>
  <c r="D507" i="3"/>
  <c r="D487" i="3"/>
  <c r="D467" i="3"/>
  <c r="D447" i="3"/>
  <c r="D427" i="3"/>
  <c r="D407" i="3"/>
  <c r="D387" i="3"/>
  <c r="D367" i="3"/>
  <c r="D347" i="3"/>
  <c r="D327" i="3"/>
  <c r="D307" i="3"/>
  <c r="D287" i="3"/>
  <c r="D267" i="3"/>
  <c r="D247" i="3"/>
  <c r="D227" i="3"/>
  <c r="D563" i="3"/>
  <c r="D543" i="3"/>
  <c r="D523" i="3"/>
  <c r="D503" i="3"/>
  <c r="D483" i="3"/>
  <c r="D463" i="3"/>
  <c r="D443" i="3"/>
  <c r="D423" i="3"/>
  <c r="D403" i="3"/>
  <c r="D383" i="3"/>
  <c r="D363" i="3"/>
  <c r="D343" i="3"/>
  <c r="D323" i="3"/>
  <c r="D283" i="3"/>
  <c r="D263" i="3"/>
  <c r="D243" i="3"/>
  <c r="D223" i="3"/>
  <c r="D603" i="3"/>
  <c r="D583" i="3"/>
  <c r="D303" i="3"/>
  <c r="D602" i="3"/>
  <c r="D582" i="3"/>
  <c r="D562" i="3"/>
  <c r="D542" i="3"/>
  <c r="D522" i="3"/>
  <c r="D502" i="3"/>
  <c r="D482" i="3"/>
  <c r="D462" i="3"/>
  <c r="D442" i="3"/>
  <c r="D422" i="3"/>
  <c r="D402" i="3"/>
  <c r="D382" i="3"/>
  <c r="D362" i="3"/>
  <c r="D342" i="3"/>
  <c r="D322" i="3"/>
  <c r="D302" i="3"/>
  <c r="D282" i="3"/>
  <c r="D262" i="3"/>
  <c r="D242" i="3"/>
  <c r="D222" i="3"/>
  <c r="D102" i="3"/>
  <c r="D184" i="3"/>
  <c r="D176" i="3"/>
  <c r="D159" i="3"/>
  <c r="D144" i="3"/>
  <c r="D110" i="3"/>
  <c r="D192" i="3"/>
  <c r="D201" i="3"/>
  <c r="D154" i="3"/>
  <c r="D134" i="3"/>
  <c r="D200" i="3"/>
  <c r="D55" i="3"/>
  <c r="D70" i="3"/>
  <c r="D182" i="3"/>
  <c r="D166" i="3"/>
  <c r="D133" i="3"/>
  <c r="D117" i="3"/>
  <c r="D199" i="3"/>
  <c r="D79" i="3"/>
  <c r="D174" i="3"/>
  <c r="D149" i="3"/>
  <c r="D125" i="3"/>
  <c r="D85" i="3"/>
  <c r="D124" i="3"/>
  <c r="D95" i="3"/>
  <c r="D86" i="3"/>
  <c r="D187" i="3"/>
  <c r="D147" i="3"/>
  <c r="D123" i="3"/>
  <c r="D106" i="3"/>
  <c r="D164" i="3"/>
  <c r="C114" i="3"/>
  <c r="D114" i="3" s="1"/>
  <c r="D197" i="3"/>
  <c r="D207" i="3"/>
  <c r="D204" i="3"/>
  <c r="D195" i="3"/>
  <c r="D188" i="3"/>
  <c r="D171" i="3"/>
  <c r="D151" i="3"/>
  <c r="D131" i="3"/>
  <c r="D111" i="3"/>
  <c r="D175" i="3"/>
  <c r="D155" i="3"/>
  <c r="D135" i="3"/>
  <c r="D115" i="3"/>
  <c r="D181" i="3"/>
  <c r="D161" i="3"/>
  <c r="D141" i="3"/>
  <c r="D121" i="3"/>
  <c r="D39" i="3"/>
  <c r="D100" i="3"/>
  <c r="D47" i="3"/>
  <c r="D65" i="3"/>
  <c r="D98" i="3"/>
  <c r="D72" i="3"/>
  <c r="D56" i="3"/>
  <c r="D61" i="3"/>
  <c r="D80" i="3"/>
  <c r="D97" i="3"/>
  <c r="D89" i="3"/>
  <c r="D50" i="3"/>
  <c r="D41" i="3"/>
  <c r="D93" i="3"/>
  <c r="D69" i="3"/>
  <c r="D77" i="3"/>
  <c r="D107" i="3"/>
  <c r="C94" i="3"/>
  <c r="D94" i="3" s="1"/>
  <c r="D87" i="3"/>
  <c r="C74" i="3"/>
  <c r="D74" i="3" s="1"/>
  <c r="D104" i="3"/>
  <c r="D84" i="3"/>
  <c r="D96" i="3"/>
  <c r="D76" i="3"/>
  <c r="D101" i="3"/>
  <c r="D81" i="3"/>
  <c r="D201" i="2"/>
  <c r="D109" i="2"/>
  <c r="D242" i="2"/>
  <c r="D584" i="2"/>
  <c r="D534" i="2"/>
  <c r="D434" i="2"/>
  <c r="D334" i="2"/>
  <c r="D284" i="2"/>
  <c r="D224" i="2"/>
  <c r="D200" i="2"/>
  <c r="D135" i="2"/>
  <c r="D442" i="2"/>
  <c r="D342" i="2"/>
  <c r="D214" i="2"/>
  <c r="D90" i="2"/>
  <c r="D180" i="2"/>
  <c r="D115" i="2"/>
  <c r="D590" i="2"/>
  <c r="D574" i="2"/>
  <c r="D565" i="2"/>
  <c r="D557" i="2"/>
  <c r="D532" i="2"/>
  <c r="D524" i="2"/>
  <c r="D490" i="2"/>
  <c r="D474" i="2"/>
  <c r="D465" i="2"/>
  <c r="D457" i="2"/>
  <c r="D432" i="2"/>
  <c r="D424" i="2"/>
  <c r="D390" i="2"/>
  <c r="D374" i="2"/>
  <c r="D365" i="2"/>
  <c r="D357" i="2"/>
  <c r="D332" i="2"/>
  <c r="D324" i="2"/>
  <c r="D290" i="2"/>
  <c r="D274" i="2"/>
  <c r="D265" i="2"/>
  <c r="D257" i="2"/>
  <c r="D247" i="2"/>
  <c r="D239" i="2"/>
  <c r="D155" i="2"/>
  <c r="D484" i="2"/>
  <c r="D384" i="2"/>
  <c r="D117" i="2"/>
  <c r="D542" i="2"/>
  <c r="D181" i="2"/>
  <c r="D230" i="2"/>
  <c r="D161" i="2"/>
  <c r="D582" i="2"/>
  <c r="D482" i="2"/>
  <c r="D382" i="2"/>
  <c r="D282" i="2"/>
  <c r="D222" i="2"/>
  <c r="D137" i="2"/>
  <c r="D197" i="2"/>
  <c r="D514" i="2"/>
  <c r="D594" i="2"/>
  <c r="D402" i="2"/>
  <c r="D302" i="2"/>
  <c r="D77" i="2"/>
  <c r="D322" i="2"/>
  <c r="D254" i="2"/>
  <c r="D195" i="2"/>
  <c r="D234" i="2"/>
  <c r="D189" i="2"/>
  <c r="D141" i="2"/>
  <c r="D464" i="2"/>
  <c r="D422" i="2"/>
  <c r="D177" i="2"/>
  <c r="D130" i="2"/>
  <c r="D111" i="2"/>
  <c r="D604" i="2"/>
  <c r="D570" i="2"/>
  <c r="D554" i="2"/>
  <c r="D537" i="2"/>
  <c r="D512" i="2"/>
  <c r="D504" i="2"/>
  <c r="D470" i="2"/>
  <c r="D454" i="2"/>
  <c r="D445" i="2"/>
  <c r="D437" i="2"/>
  <c r="D412" i="2"/>
  <c r="D404" i="2"/>
  <c r="D370" i="2"/>
  <c r="D354" i="2"/>
  <c r="D345" i="2"/>
  <c r="D337" i="2"/>
  <c r="D312" i="2"/>
  <c r="D304" i="2"/>
  <c r="D270" i="2"/>
  <c r="D149" i="2"/>
  <c r="D120" i="2"/>
  <c r="D562" i="2"/>
  <c r="D462" i="2"/>
  <c r="D362" i="2"/>
  <c r="D262" i="2"/>
  <c r="D106" i="2"/>
  <c r="D602" i="2"/>
  <c r="D160" i="2"/>
  <c r="D564" i="2"/>
  <c r="D414" i="2"/>
  <c r="D364" i="2"/>
  <c r="D264" i="2"/>
  <c r="D140" i="2"/>
  <c r="D502" i="2"/>
  <c r="D314" i="2"/>
  <c r="D522" i="2"/>
  <c r="D121" i="2"/>
  <c r="D96" i="2"/>
  <c r="D73" i="2"/>
  <c r="D203" i="2"/>
  <c r="D193" i="2"/>
  <c r="D138" i="2"/>
  <c r="D119" i="2"/>
  <c r="D527" i="2"/>
  <c r="D519" i="2"/>
  <c r="D427" i="2"/>
  <c r="D419" i="2"/>
  <c r="D327" i="2"/>
  <c r="D319" i="2"/>
  <c r="D252" i="2"/>
  <c r="D244" i="2"/>
  <c r="D107" i="2"/>
  <c r="D175" i="2"/>
  <c r="D157" i="2"/>
  <c r="C594" i="2"/>
  <c r="C544" i="2"/>
  <c r="D544" i="2" s="1"/>
  <c r="C494" i="2"/>
  <c r="D494" i="2" s="1"/>
  <c r="C444" i="2"/>
  <c r="D444" i="2" s="1"/>
  <c r="C394" i="2"/>
  <c r="D394" i="2" s="1"/>
  <c r="C344" i="2"/>
  <c r="D344" i="2" s="1"/>
  <c r="C294" i="2"/>
  <c r="D294" i="2" s="1"/>
  <c r="C234" i="2"/>
  <c r="D591" i="2"/>
  <c r="D571" i="2"/>
  <c r="D551" i="2"/>
  <c r="D531" i="2"/>
  <c r="D511" i="2"/>
  <c r="D491" i="2"/>
  <c r="D471" i="2"/>
  <c r="D451" i="2"/>
  <c r="D431" i="2"/>
  <c r="D411" i="2"/>
  <c r="D391" i="2"/>
  <c r="D371" i="2"/>
  <c r="D351" i="2"/>
  <c r="D331" i="2"/>
  <c r="D311" i="2"/>
  <c r="D291" i="2"/>
  <c r="D271" i="2"/>
  <c r="D251" i="2"/>
  <c r="D231" i="2"/>
  <c r="D211" i="2"/>
  <c r="D589" i="2"/>
  <c r="D569" i="2"/>
  <c r="D549" i="2"/>
  <c r="D529" i="2"/>
  <c r="D509" i="2"/>
  <c r="D489" i="2"/>
  <c r="D469" i="2"/>
  <c r="D449" i="2"/>
  <c r="D429" i="2"/>
  <c r="D409" i="2"/>
  <c r="D389" i="2"/>
  <c r="D369" i="2"/>
  <c r="D349" i="2"/>
  <c r="D329" i="2"/>
  <c r="D309" i="2"/>
  <c r="D289" i="2"/>
  <c r="D269" i="2"/>
  <c r="D249" i="2"/>
  <c r="D229" i="2"/>
  <c r="D209" i="2"/>
  <c r="D561" i="2"/>
  <c r="D361" i="2"/>
  <c r="D601" i="2"/>
  <c r="D581" i="2"/>
  <c r="D541" i="2"/>
  <c r="D521" i="2"/>
  <c r="D501" i="2"/>
  <c r="D481" i="2"/>
  <c r="D461" i="2"/>
  <c r="D441" i="2"/>
  <c r="D421" i="2"/>
  <c r="D401" i="2"/>
  <c r="D381" i="2"/>
  <c r="D341" i="2"/>
  <c r="D321" i="2"/>
  <c r="D301" i="2"/>
  <c r="D281" i="2"/>
  <c r="D261" i="2"/>
  <c r="D241" i="2"/>
  <c r="D221" i="2"/>
  <c r="D207" i="2"/>
  <c r="D187" i="2"/>
  <c r="D167" i="2"/>
  <c r="D147" i="2"/>
  <c r="D127" i="2"/>
  <c r="D204" i="2"/>
  <c r="D184" i="2"/>
  <c r="D164" i="2"/>
  <c r="D144" i="2"/>
  <c r="D124" i="2"/>
  <c r="D156" i="2"/>
  <c r="D136" i="2"/>
  <c r="D116" i="2"/>
  <c r="D196" i="2"/>
  <c r="D176" i="2"/>
  <c r="D202" i="2"/>
  <c r="D182" i="2"/>
  <c r="D162" i="2"/>
  <c r="D142" i="2"/>
  <c r="D122" i="2"/>
  <c r="D188" i="2"/>
  <c r="D168" i="2"/>
  <c r="D148" i="2"/>
  <c r="D128" i="2"/>
  <c r="D108" i="2"/>
  <c r="D100" i="2"/>
  <c r="D98" i="2"/>
  <c r="D79" i="2"/>
  <c r="D70" i="2"/>
  <c r="D97" i="2"/>
  <c r="D86" i="2"/>
  <c r="D87" i="2"/>
  <c r="D104" i="2"/>
  <c r="D74" i="2"/>
  <c r="D78" i="2"/>
  <c r="D84" i="2"/>
  <c r="D94" i="2"/>
  <c r="D85" i="2"/>
  <c r="D91" i="2"/>
  <c r="D71" i="2"/>
  <c r="D95" i="2"/>
  <c r="D75" i="2"/>
  <c r="D101" i="2"/>
  <c r="D81" i="2"/>
  <c r="D33" i="4"/>
  <c r="D31" i="4"/>
  <c r="D28" i="4"/>
  <c r="D27" i="4"/>
  <c r="D26" i="4"/>
  <c r="D25" i="4"/>
  <c r="D24" i="4"/>
  <c r="D30" i="4"/>
  <c r="D19" i="4"/>
  <c r="D18" i="4"/>
  <c r="D32" i="4"/>
  <c r="D29" i="4"/>
  <c r="D20" i="4"/>
  <c r="D17" i="4"/>
  <c r="D34" i="4"/>
  <c r="H15" i="4"/>
  <c r="D23" i="4"/>
  <c r="H34" i="4"/>
  <c r="D22" i="4"/>
  <c r="D21" i="4"/>
  <c r="D16" i="4"/>
  <c r="D67" i="3"/>
  <c r="D57" i="3"/>
  <c r="D46" i="3"/>
  <c r="D64" i="3"/>
  <c r="D62" i="3"/>
  <c r="C44" i="3"/>
  <c r="D44" i="3" s="1"/>
  <c r="D51" i="3"/>
  <c r="D54" i="1"/>
  <c r="D24" i="1"/>
  <c r="D61" i="1"/>
  <c r="D23" i="1"/>
  <c r="D37" i="3"/>
  <c r="D67" i="2"/>
  <c r="D65" i="1"/>
  <c r="D60" i="1"/>
  <c r="D57" i="1"/>
  <c r="D14" i="1"/>
  <c r="D59" i="1"/>
  <c r="D58" i="1"/>
  <c r="D37" i="1"/>
  <c r="D36" i="1"/>
  <c r="D38" i="1"/>
  <c r="D25" i="1"/>
  <c r="D19" i="1"/>
  <c r="C16" i="3"/>
  <c r="D16" i="3" s="1"/>
  <c r="C8" i="3"/>
  <c r="C21" i="3"/>
  <c r="D21" i="3" s="1"/>
  <c r="C9" i="3"/>
  <c r="C34" i="3"/>
  <c r="D34" i="3" s="1"/>
  <c r="C22" i="3"/>
  <c r="D22" i="3" s="1"/>
  <c r="C35" i="3"/>
  <c r="D35" i="3" s="1"/>
  <c r="C36" i="3"/>
  <c r="C14" i="3"/>
  <c r="D14" i="3" s="1"/>
  <c r="D29" i="3"/>
  <c r="D7" i="3"/>
  <c r="C15" i="3"/>
  <c r="D15" i="3" s="1"/>
  <c r="C23" i="3"/>
  <c r="D23" i="3" s="1"/>
  <c r="C10" i="3"/>
  <c r="D10" i="3" s="1"/>
  <c r="C30" i="3"/>
  <c r="D30" i="3" s="1"/>
  <c r="C17" i="3"/>
  <c r="D17" i="3" s="1"/>
  <c r="C24" i="3"/>
  <c r="D24" i="3" s="1"/>
  <c r="C11" i="3"/>
  <c r="D11" i="3" s="1"/>
  <c r="C31" i="3"/>
  <c r="D31" i="3" s="1"/>
  <c r="C18" i="3"/>
  <c r="D18" i="3" s="1"/>
  <c r="C25" i="3"/>
  <c r="D25" i="3" s="1"/>
  <c r="C12" i="3"/>
  <c r="D12" i="3" s="1"/>
  <c r="C32" i="3"/>
  <c r="D32" i="3" s="1"/>
  <c r="C19" i="3"/>
  <c r="D19" i="3" s="1"/>
  <c r="C26" i="3"/>
  <c r="D26" i="3" s="1"/>
  <c r="C13" i="3"/>
  <c r="D13" i="3" s="1"/>
  <c r="C33" i="3"/>
  <c r="D33" i="3" s="1"/>
  <c r="D60" i="2"/>
  <c r="D50" i="2"/>
  <c r="C53" i="2"/>
  <c r="D53" i="2" s="1"/>
  <c r="D41" i="2"/>
  <c r="D39" i="2"/>
  <c r="C46" i="2"/>
  <c r="D46" i="2" s="1"/>
  <c r="C43" i="2"/>
  <c r="D43" i="2" s="1"/>
  <c r="C64" i="2"/>
  <c r="D64" i="2" s="1"/>
  <c r="D55" i="2"/>
  <c r="C27" i="2"/>
  <c r="D27" i="2" s="1"/>
  <c r="C48" i="2"/>
  <c r="D48" i="2" s="1"/>
  <c r="C38" i="2"/>
  <c r="D38" i="2" s="1"/>
  <c r="C29" i="2"/>
  <c r="D29" i="2" s="1"/>
  <c r="D21" i="2"/>
  <c r="D10" i="2"/>
  <c r="D45" i="2"/>
  <c r="C35" i="2"/>
  <c r="D35" i="2" s="1"/>
  <c r="C26" i="2"/>
  <c r="D26" i="2" s="1"/>
  <c r="D47" i="2"/>
  <c r="D30" i="2"/>
  <c r="D9" i="2"/>
  <c r="D54" i="2"/>
  <c r="C31" i="2"/>
  <c r="D31" i="2" s="1"/>
  <c r="C65" i="2"/>
  <c r="D65" i="2" s="1"/>
  <c r="C14" i="2"/>
  <c r="D14" i="2" s="1"/>
  <c r="C22" i="2"/>
  <c r="D22" i="2" s="1"/>
  <c r="C49" i="2"/>
  <c r="D49" i="2" s="1"/>
  <c r="C66" i="2"/>
  <c r="D66" i="2"/>
  <c r="D23" i="2"/>
  <c r="C7" i="2"/>
  <c r="D7" i="2" s="1"/>
  <c r="C24" i="2"/>
  <c r="D24" i="2" s="1"/>
  <c r="C42" i="2"/>
  <c r="D42" i="2" s="1"/>
  <c r="C51" i="2"/>
  <c r="D51" i="2" s="1"/>
  <c r="D34" i="2"/>
  <c r="C59" i="2"/>
  <c r="D59" i="2" s="1"/>
  <c r="C28" i="2"/>
  <c r="D28" i="2" s="1"/>
  <c r="C36" i="2"/>
  <c r="D36" i="2" s="1"/>
  <c r="C52" i="2"/>
  <c r="D52" i="2" s="1"/>
  <c r="C11" i="2"/>
  <c r="D11" i="2" s="1"/>
  <c r="C63" i="2"/>
  <c r="D63" i="2" s="1"/>
  <c r="C18" i="2"/>
  <c r="D18" i="2" s="1"/>
  <c r="C25" i="2"/>
  <c r="D25" i="2" s="1"/>
  <c r="C32" i="2"/>
  <c r="D32" i="2" s="1"/>
  <c r="C32" i="1"/>
  <c r="D32" i="1" s="1"/>
  <c r="C9" i="1"/>
  <c r="D9" i="1"/>
  <c r="D31" i="1"/>
  <c r="C48" i="1"/>
  <c r="D48" i="1" s="1"/>
  <c r="C28" i="1"/>
  <c r="D28" i="1" s="1"/>
  <c r="C21" i="1"/>
  <c r="D21" i="1" s="1"/>
  <c r="D30" i="1"/>
  <c r="D29" i="1"/>
  <c r="C64" i="1"/>
  <c r="D64" i="1" s="1"/>
  <c r="C63" i="1"/>
  <c r="D63" i="1" s="1"/>
  <c r="D53" i="1"/>
  <c r="C62" i="1"/>
  <c r="D62" i="1"/>
  <c r="C13" i="1"/>
  <c r="D13" i="1" s="1"/>
  <c r="D52" i="1"/>
  <c r="C10" i="1"/>
  <c r="D10" i="1" s="1"/>
  <c r="C41" i="1"/>
  <c r="D41" i="1" s="1"/>
  <c r="D51" i="1"/>
  <c r="D45" i="1"/>
  <c r="C56" i="1"/>
  <c r="D56" i="1"/>
  <c r="D16" i="1"/>
  <c r="D12" i="1"/>
  <c r="C33" i="1"/>
  <c r="D33" i="1" s="1"/>
  <c r="C40" i="1"/>
  <c r="D40" i="1"/>
  <c r="D50" i="1"/>
  <c r="D49" i="1"/>
  <c r="C18" i="1"/>
  <c r="D18" i="1" s="1"/>
  <c r="D17" i="1"/>
  <c r="D44" i="1"/>
  <c r="D43" i="1"/>
  <c r="D42" i="1"/>
  <c r="D11" i="1"/>
  <c r="C67" i="1"/>
  <c r="D67" i="1" s="1"/>
  <c r="C47" i="1"/>
  <c r="D47" i="1" s="1"/>
  <c r="D27" i="1"/>
  <c r="C66" i="1"/>
  <c r="D66" i="1" s="1"/>
  <c r="C46" i="1"/>
  <c r="D46" i="1" s="1"/>
  <c r="C26" i="1"/>
  <c r="D26" i="1"/>
  <c r="D39" i="1"/>
  <c r="C55" i="1"/>
  <c r="D55" i="1" s="1"/>
  <c r="C35" i="1"/>
  <c r="D35" i="1" s="1"/>
  <c r="C8" i="1"/>
  <c r="D8" i="1" s="1"/>
  <c r="C7" i="1"/>
  <c r="D7" i="1" l="1"/>
  <c r="B4" i="1" s="1"/>
  <c r="B4" i="3" a="1"/>
  <c r="B4" i="3" s="1"/>
  <c r="B4" i="2" a="1"/>
  <c r="B4" i="2" s="1"/>
  <c r="G13" i="4"/>
  <c r="C13" i="4"/>
  <c r="B1" i="4"/>
  <c r="D36" i="3"/>
  <c r="D9" i="3"/>
  <c r="D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<sst xmlns="http://schemas.openxmlformats.org/spreadsheetml/2006/main" count="43" uniqueCount="17">
  <si>
    <t>Length</t>
    <phoneticPr fontId="1"/>
  </si>
  <si>
    <t>Total Length</t>
    <phoneticPr fontId="1"/>
  </si>
  <si>
    <t>Result Force</t>
    <phoneticPr fontId="1"/>
  </si>
  <si>
    <t>Application Point</t>
    <phoneticPr fontId="1"/>
  </si>
  <si>
    <t>f(z)</t>
    <phoneticPr fontId="1"/>
  </si>
  <si>
    <t>z(fz)</t>
    <phoneticPr fontId="1"/>
  </si>
  <si>
    <t>Point</t>
    <phoneticPr fontId="1"/>
  </si>
  <si>
    <t>Total Points</t>
    <phoneticPr fontId="1"/>
  </si>
  <si>
    <t>Points</t>
    <phoneticPr fontId="1"/>
  </si>
  <si>
    <t>x</t>
    <phoneticPr fontId="1"/>
  </si>
  <si>
    <t>k</t>
    <phoneticPr fontId="1"/>
  </si>
  <si>
    <t>SUM</t>
    <phoneticPr fontId="1"/>
  </si>
  <si>
    <t>Ei (-7/3)  =</t>
    <phoneticPr fontId="1"/>
  </si>
  <si>
    <t>Ei (-1/3) =</t>
    <phoneticPr fontId="1"/>
  </si>
  <si>
    <t>Total Points</t>
    <phoneticPr fontId="1"/>
  </si>
  <si>
    <t>Result Force</t>
    <phoneticPr fontId="1"/>
  </si>
  <si>
    <t>Error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</si>
</sst>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%"/>
  </numFmts>
  <fonts count="4" x14ac:knownFonts="1"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sz val="11"/>
      <color theme="1"/>
      <name val="Arial Unicode MS"/>
      <family val="3"/>
      <charset val="128"/>
    </font>
    <font>
      <sz val="11"/>
      <color theme="1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2" fillId="0" borderId="0" xfId="0" applyFont="1">
      <alignment vertical="center"/>
    </xf>
    <xf numFmtId="2" fontId="2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1" xfId="0" applyFont="1" applyBorder="1">
      <alignment vertical="center"/>
    </xf>
    <xf numFmtId="2" fontId="2" fillId="0" borderId="1" xfId="0" applyNumberFormat="1" applyFont="1" applyBorder="1">
      <alignment vertical="center"/>
    </xf>
    <xf numFmtId="0" fontId="2" fillId="0" borderId="3" xfId="0" applyFont="1" applyBorder="1">
      <alignment vertical="center"/>
    </xf>
    <xf numFmtId="2" fontId="2" fillId="0" borderId="4" xfId="0" applyNumberFormat="1" applyFont="1" applyBorder="1">
      <alignment vertical="center"/>
    </xf>
    <xf numFmtId="0" fontId="2" fillId="0" borderId="5" xfId="0" applyFont="1" applyBorder="1">
      <alignment vertical="center"/>
    </xf>
    <xf numFmtId="2" fontId="2" fillId="0" borderId="6" xfId="0" applyNumberFormat="1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>
      <alignment vertical="center"/>
    </xf>
    <xf numFmtId="177" fontId="2" fillId="0" borderId="10" xfId="1" applyNumberFormat="1" applyFont="1" applyBorder="1">
      <alignment vertical="center"/>
    </xf>
    <xf numFmtId="0" fontId="2" fillId="0" borderId="11" xfId="0" applyFont="1" applyBorder="1">
      <alignment vertical="center"/>
    </xf>
    <xf numFmtId="177" fontId="2" fillId="0" borderId="6" xfId="1" applyNumberFormat="1" applyFont="1" applyBorder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15" xfId="0" applyFont="1" applyBorder="1" applyAlignment="1">
      <alignment horizontal="center" vertical="center"/>
    </xf>
    <xf numFmtId="177" fontId="2" fillId="0" borderId="16" xfId="1" applyNumberFormat="1" applyFont="1" applyBorder="1">
      <alignment vertical="center"/>
    </xf>
    <xf numFmtId="177" fontId="2" fillId="0" borderId="17" xfId="1" applyNumberFormat="1" applyFont="1" applyBorder="1">
      <alignment vertical="center"/>
    </xf>
    <xf numFmtId="177" fontId="2" fillId="0" borderId="18" xfId="1" applyNumberFormat="1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19" xfId="0" applyFont="1" applyBorder="1">
      <alignment vertical="center"/>
    </xf>
    <xf numFmtId="0" fontId="2" fillId="0" borderId="20" xfId="0" applyFont="1" applyBorder="1">
      <alignment vertical="center"/>
    </xf>
    <xf numFmtId="0" fontId="2" fillId="0" borderId="21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10" xfId="0" applyFont="1" applyBorder="1">
      <alignment vertical="center"/>
    </xf>
    <xf numFmtId="2" fontId="2" fillId="0" borderId="10" xfId="0" applyNumberFormat="1" applyFont="1" applyBorder="1">
      <alignment vertical="center"/>
    </xf>
    <xf numFmtId="0" fontId="2" fillId="0" borderId="22" xfId="0" applyFont="1" applyBorder="1">
      <alignment vertical="center"/>
    </xf>
    <xf numFmtId="0" fontId="2" fillId="0" borderId="23" xfId="0" applyFont="1" applyBorder="1">
      <alignment vertical="center"/>
    </xf>
    <xf numFmtId="2" fontId="2" fillId="0" borderId="20" xfId="0" applyNumberFormat="1" applyFont="1" applyBorder="1">
      <alignment vertical="center"/>
    </xf>
    <xf numFmtId="2" fontId="2" fillId="0" borderId="21" xfId="0" applyNumberFormat="1" applyFont="1" applyBorder="1">
      <alignment vertical="center"/>
    </xf>
    <xf numFmtId="0" fontId="2" fillId="0" borderId="24" xfId="0" applyFont="1" applyBorder="1" applyAlignment="1">
      <alignment horizontal="center" vertical="center"/>
    </xf>
    <xf numFmtId="2" fontId="2" fillId="0" borderId="24" xfId="0" applyNumberFormat="1" applyFont="1" applyBorder="1">
      <alignment vertical="center"/>
    </xf>
    <xf numFmtId="2" fontId="2" fillId="0" borderId="10" xfId="0" applyNumberFormat="1" applyFont="1" applyBorder="1" applyAlignment="1">
      <alignment vertical="center" wrapText="1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Convergence</a:t>
            </a:r>
            <a:endParaRPr 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round/>
              </a:ln>
              <a:effectLst/>
            </c:spPr>
          </c:marker>
          <c:xVal>
            <c:numRef>
              <c:f>'Trapezoidal Rule'!$I$9:$I$12</c:f>
              <c:numCache>
                <c:formatCode>General</c:formatCode>
                <c:ptCount val="4"/>
                <c:pt idx="0">
                  <c:v>61</c:v>
                </c:pt>
                <c:pt idx="1">
                  <c:v>101</c:v>
                </c:pt>
                <c:pt idx="2">
                  <c:v>201</c:v>
                </c:pt>
                <c:pt idx="3">
                  <c:v>601</c:v>
                </c:pt>
              </c:numCache>
            </c:numRef>
          </c:xVal>
          <c:yVal>
            <c:numRef>
              <c:f>'Trapezoidal Rule'!$K$9:$K$12</c:f>
              <c:numCache>
                <c:formatCode>0.000%</c:formatCode>
                <c:ptCount val="4"/>
                <c:pt idx="0">
                  <c:v>1.9781915176354584E-2</c:v>
                </c:pt>
                <c:pt idx="1">
                  <c:v>1.1197374730604235E-2</c:v>
                </c:pt>
                <c:pt idx="2">
                  <c:v>5.3144992559790846E-3</c:v>
                </c:pt>
                <c:pt idx="3">
                  <c:v>1.7010223570991896E-3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87-4062-84D3-ED057AC75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1132264"/>
        <c:axId val="891129744"/>
      </c:scatterChart>
      <c:valAx>
        <c:axId val="891132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'Trapezoidal Rule'!$I$8</c:f>
              <c:strCache>
                <c:ptCount val="1"/>
                <c:pt idx="0">
                  <c:v>Total Points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91129744"/>
        <c:crosses val="autoZero"/>
        <c:crossBetween val="midCat"/>
      </c:valAx>
      <c:valAx>
        <c:axId val="89112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'Trapezoidal Rule'!$K$8</c:f>
              <c:strCache>
                <c:ptCount val="1"/>
                <c:pt idx="0">
                  <c:v>Error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91132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Convergence</a:t>
            </a:r>
            <a:endParaRPr 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round/>
              </a:ln>
              <a:effectLst/>
            </c:spPr>
          </c:marker>
          <c:xVal>
            <c:numRef>
              <c:f>'Simpson 1_3'!$I$9:$I$12</c:f>
              <c:numCache>
                <c:formatCode>General</c:formatCode>
                <c:ptCount val="4"/>
                <c:pt idx="0">
                  <c:v>61</c:v>
                </c:pt>
                <c:pt idx="1">
                  <c:v>101</c:v>
                </c:pt>
                <c:pt idx="2">
                  <c:v>201</c:v>
                </c:pt>
                <c:pt idx="3">
                  <c:v>601</c:v>
                </c:pt>
              </c:numCache>
            </c:numRef>
          </c:xVal>
          <c:yVal>
            <c:numRef>
              <c:f>'Simpson 1_3'!$K$9:$K$12</c:f>
              <c:numCache>
                <c:formatCode>0.000%</c:formatCode>
                <c:ptCount val="4"/>
                <c:pt idx="0">
                  <c:v>1.9349648780974487E-2</c:v>
                </c:pt>
                <c:pt idx="1">
                  <c:v>1.1021766507481103E-2</c:v>
                </c:pt>
                <c:pt idx="2">
                  <c:v>5.2672201189844364E-3</c:v>
                </c:pt>
                <c:pt idx="3">
                  <c:v>1.6942681946713828E-3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30-42B3-B1CD-49623600D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1132264"/>
        <c:axId val="891129744"/>
      </c:scatterChart>
      <c:valAx>
        <c:axId val="891132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'Simpson 1_3'!$I$8</c:f>
              <c:strCache>
                <c:ptCount val="1"/>
                <c:pt idx="0">
                  <c:v>Total Points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91129744"/>
        <c:crosses val="autoZero"/>
        <c:crossBetween val="midCat"/>
      </c:valAx>
      <c:valAx>
        <c:axId val="89112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'Simpson 1_3'!$K$8</c:f>
              <c:strCache>
                <c:ptCount val="1"/>
                <c:pt idx="0">
                  <c:v>Error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91132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Convergence</a:t>
            </a:r>
            <a:endParaRPr 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round/>
              </a:ln>
              <a:effectLst/>
            </c:spPr>
          </c:marker>
          <c:xVal>
            <c:numRef>
              <c:f>'Simpson 3_8'!$I$9:$I$12</c:f>
              <c:numCache>
                <c:formatCode>General</c:formatCode>
                <c:ptCount val="4"/>
                <c:pt idx="0">
                  <c:v>61</c:v>
                </c:pt>
                <c:pt idx="1">
                  <c:v>101</c:v>
                </c:pt>
                <c:pt idx="2">
                  <c:v>201</c:v>
                </c:pt>
                <c:pt idx="3">
                  <c:v>601</c:v>
                </c:pt>
              </c:numCache>
            </c:numRef>
          </c:xVal>
          <c:yVal>
            <c:numRef>
              <c:f>'Simpson 3_8'!$K$9:$K$12</c:f>
              <c:numCache>
                <c:formatCode>0.000%</c:formatCode>
                <c:ptCount val="4"/>
                <c:pt idx="0">
                  <c:v>1.9349648780974487E-2</c:v>
                </c:pt>
                <c:pt idx="1">
                  <c:v>1.2183482445064958E-2</c:v>
                </c:pt>
                <c:pt idx="2">
                  <c:v>5.5576491033804383E-3</c:v>
                </c:pt>
                <c:pt idx="3">
                  <c:v>1.6942681946713828E-3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72-4893-B9B0-1755E2DB7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1132264"/>
        <c:axId val="891129744"/>
      </c:scatterChart>
      <c:valAx>
        <c:axId val="891132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'Simpson 3_8'!$I$8</c:f>
              <c:strCache>
                <c:ptCount val="1"/>
                <c:pt idx="0">
                  <c:v>Total Points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91129744"/>
        <c:crosses val="autoZero"/>
        <c:crossBetween val="midCat"/>
      </c:valAx>
      <c:valAx>
        <c:axId val="89112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'Simpson 3_8'!$K$8</c:f>
              <c:strCache>
                <c:ptCount val="1"/>
                <c:pt idx="0">
                  <c:v>Error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91132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38913</xdr:colOff>
      <xdr:row>8</xdr:row>
      <xdr:rowOff>120362</xdr:rowOff>
    </xdr:from>
    <xdr:ext cx="1814471" cy="46217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テキスト ボックス 5">
              <a:extLst>
                <a:ext uri="{FF2B5EF4-FFF2-40B4-BE49-F238E27FC236}">
                  <a16:creationId xmlns:a16="http://schemas.microsoft.com/office/drawing/2014/main" id="{9493029E-6C35-C1E1-3D89-4CC63645BE1B}"/>
                </a:ext>
              </a:extLst>
            </xdr:cNvPr>
            <xdr:cNvSpPr txBox="1"/>
          </xdr:nvSpPr>
          <xdr:spPr>
            <a:xfrm>
              <a:off x="2534463" y="1796762"/>
              <a:ext cx="1814471" cy="4621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𝐸𝑖</m:t>
                    </m:r>
                    <m:d>
                      <m:dPr>
                        <m:ctrlP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</m:d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≈</m:t>
                    </m:r>
                    <m:r>
                      <a:rPr kumimoji="1" lang="ja-JP" alt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𝛾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+</m:t>
                    </m:r>
                    <m:func>
                      <m:funcPr>
                        <m:ctrlP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ln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d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𝑥</m:t>
                            </m:r>
                          </m:e>
                        </m:d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+</m:t>
                        </m:r>
                        <m:nary>
                          <m:naryPr>
                            <m:chr m:val="∑"/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𝑘</m:t>
                            </m:r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=1</m:t>
                            </m:r>
                          </m:sub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𝑛</m:t>
                            </m:r>
                          </m:sup>
                          <m:e>
                            <m:f>
                              <m:f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fPr>
                              <m:num>
                                <m:sSup>
                                  <m:sSup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𝑥</m:t>
                                    </m:r>
                                  </m:e>
                                  <m:sup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𝑘</m:t>
                                    </m:r>
                                  </m:sup>
                                </m:sSup>
                              </m:num>
                              <m:den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𝑘</m:t>
                                </m:r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(</m:t>
                                </m:r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𝑘</m:t>
                                </m:r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!)</m:t>
                                </m:r>
                              </m:den>
                            </m:f>
                          </m:e>
                        </m:nary>
                      </m:e>
                    </m:func>
                  </m:oMath>
                </m:oMathPara>
              </a14:m>
              <a:endParaRPr kumimoji="1" lang="ja-JP" altLang="en-US" sz="1100"/>
            </a:p>
          </xdr:txBody>
        </xdr:sp>
      </mc:Choice>
      <mc:Fallback xmlns="">
        <xdr:sp macro="" textlink="">
          <xdr:nvSpPr>
            <xdr:cNvPr id="6" name="テキスト ボックス 5">
              <a:extLst>
                <a:ext uri="{FF2B5EF4-FFF2-40B4-BE49-F238E27FC236}">
                  <a16:creationId xmlns:a16="http://schemas.microsoft.com/office/drawing/2014/main" id="{9493029E-6C35-C1E1-3D89-4CC63645BE1B}"/>
                </a:ext>
              </a:extLst>
            </xdr:cNvPr>
            <xdr:cNvSpPr txBox="1"/>
          </xdr:nvSpPr>
          <xdr:spPr>
            <a:xfrm>
              <a:off x="2534463" y="1796762"/>
              <a:ext cx="1814471" cy="4621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𝐸𝑖(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≈</a:t>
              </a:r>
              <a:r>
                <a:rPr kumimoji="1" lang="ja-JP" alt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𝛾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+ln⁡〖(𝑥)+∑24_(𝑘=1)^𝑛▒𝑥^𝑘/(𝑘(𝑘!))〗</a:t>
              </a:r>
              <a:endParaRPr kumimoji="1" lang="ja-JP" altLang="en-US" sz="1100"/>
            </a:p>
          </xdr:txBody>
        </xdr:sp>
      </mc:Fallback>
    </mc:AlternateContent>
    <xdr:clientData/>
  </xdr:oneCellAnchor>
  <xdr:twoCellAnchor>
    <xdr:from>
      <xdr:col>10</xdr:col>
      <xdr:colOff>228611</xdr:colOff>
      <xdr:row>27</xdr:row>
      <xdr:rowOff>6902</xdr:rowOff>
    </xdr:from>
    <xdr:to>
      <xdr:col>29</xdr:col>
      <xdr:colOff>24276</xdr:colOff>
      <xdr:row>43</xdr:row>
      <xdr:rowOff>180973</xdr:rowOff>
    </xdr:to>
    <xdr:grpSp>
      <xdr:nvGrpSpPr>
        <xdr:cNvPr id="22" name="グループ化 21">
          <a:extLst>
            <a:ext uri="{FF2B5EF4-FFF2-40B4-BE49-F238E27FC236}">
              <a16:creationId xmlns:a16="http://schemas.microsoft.com/office/drawing/2014/main" id="{97B95BFE-D022-B9FB-8A6D-D388C64A1452}"/>
            </a:ext>
          </a:extLst>
        </xdr:cNvPr>
        <xdr:cNvGrpSpPr/>
      </xdr:nvGrpSpPr>
      <xdr:grpSpPr>
        <a:xfrm>
          <a:off x="7772411" y="5674277"/>
          <a:ext cx="13092565" cy="3526871"/>
          <a:chOff x="7524761" y="5664752"/>
          <a:chExt cx="13092565" cy="3526871"/>
        </a:xfrm>
      </xdr:grpSpPr>
      <xdr:grpSp>
        <xdr:nvGrpSpPr>
          <xdr:cNvPr id="12" name="グループ化 11">
            <a:extLst>
              <a:ext uri="{FF2B5EF4-FFF2-40B4-BE49-F238E27FC236}">
                <a16:creationId xmlns:a16="http://schemas.microsoft.com/office/drawing/2014/main" id="{929C0955-2ABE-A2FE-04EE-92E8EF7C729A}"/>
              </a:ext>
            </a:extLst>
          </xdr:cNvPr>
          <xdr:cNvGrpSpPr/>
        </xdr:nvGrpSpPr>
        <xdr:grpSpPr>
          <a:xfrm>
            <a:off x="7524761" y="5664752"/>
            <a:ext cx="13092565" cy="3526871"/>
            <a:chOff x="7501229" y="5755521"/>
            <a:chExt cx="13063429" cy="3582326"/>
          </a:xfrm>
        </xdr:grpSpPr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3" name="テキスト ボックス 2">
                  <a:extLst>
                    <a:ext uri="{FF2B5EF4-FFF2-40B4-BE49-F238E27FC236}">
                      <a16:creationId xmlns:a16="http://schemas.microsoft.com/office/drawing/2014/main" id="{4BD72181-49E2-48D7-AF2D-583DE4818284}"/>
                    </a:ext>
                  </a:extLst>
                </xdr:cNvPr>
                <xdr:cNvSpPr txBox="1"/>
              </xdr:nvSpPr>
              <xdr:spPr>
                <a:xfrm>
                  <a:off x="7501229" y="5762839"/>
                  <a:ext cx="3530101" cy="2507932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𝑑</m:t>
                        </m:r>
                        <m: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=</m:t>
                        </m:r>
                        <m:f>
                          <m:fPr>
                            <m:ctrlP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nary>
                              <m:nary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naryPr>
                              <m:sub>
                                <m:r>
                                  <m:rPr>
                                    <m:brk m:alnAt="23"/>
                                  </m:r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</m:t>
                                </m:r>
                              </m:sub>
                              <m:sup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30</m:t>
                                </m:r>
                              </m:sup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𝑧𝑓</m:t>
                                </m:r>
                                <m:d>
                                  <m:d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𝑧</m:t>
                                    </m:r>
                                  </m:e>
                                </m:d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𝑑𝑧</m:t>
                                </m:r>
                              </m:e>
                            </m:nary>
                          </m:num>
                          <m:den>
                            <m:nary>
                              <m:nary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naryPr>
                              <m:sub>
                                <m:r>
                                  <m:rPr>
                                    <m:brk m:alnAt="23"/>
                                  </m:r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</m:t>
                                </m:r>
                              </m:sub>
                              <m:sup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30</m:t>
                                </m:r>
                              </m:sup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𝑓</m:t>
                                </m:r>
                                <m:d>
                                  <m:d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𝑧</m:t>
                                    </m:r>
                                  </m:e>
                                </m:d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𝑑𝑧</m:t>
                                </m:r>
                              </m:e>
                            </m:nary>
                          </m:den>
                        </m:f>
                      </m:oMath>
                    </m:oMathPara>
                  </a14:m>
                  <a:endParaRPr kumimoji="1" lang="en-US" altLang="ja-JP" sz="1100" b="0" i="1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endParaRPr>
                </a:p>
                <a:p>
                  <a:endParaRPr kumimoji="1" lang="en-US" altLang="ja-JP" sz="1100" b="0" i="1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endParaRPr>
                </a:p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f>
                          <m:f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nary>
                              <m:nary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naryPr>
                              <m:sub>
                                <m:r>
                                  <m:rPr>
                                    <m:brk m:alnAt="23"/>
                                  </m:r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</m:t>
                                </m:r>
                              </m:sub>
                              <m:sup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30</m:t>
                                </m:r>
                              </m:sup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𝑧</m:t>
                                </m:r>
                                <m:d>
                                  <m:d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200</m:t>
                                    </m:r>
                                    <m:d>
                                      <m:d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dPr>
                                      <m:e>
                                        <m:f>
                                          <m:fPr>
                                            <m:ctrlP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fPr>
                                          <m:num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𝑧</m:t>
                                            </m:r>
                                          </m:num>
                                          <m:den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5+</m:t>
                                            </m:r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𝑧</m:t>
                                            </m:r>
                                          </m:den>
                                        </m:f>
                                      </m:e>
                                    </m:d>
                                    <m:sSup>
                                      <m:sSup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𝑒</m:t>
                                        </m:r>
                                      </m:e>
                                      <m:sup>
                                        <m:f>
                                          <m:fPr>
                                            <m:ctrlP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fPr>
                                          <m:num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−2</m:t>
                                            </m:r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𝑧</m:t>
                                            </m:r>
                                          </m:num>
                                          <m:den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30</m:t>
                                            </m:r>
                                          </m:den>
                                        </m:f>
                                      </m:sup>
                                    </m:sSup>
                                  </m:e>
                                </m:d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 </m:t>
                                </m:r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𝑑𝑧</m:t>
                                </m:r>
                              </m:e>
                            </m:nary>
                          </m:num>
                          <m:den>
                            <m:nary>
                              <m:nary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naryPr>
                              <m:sub>
                                <m:r>
                                  <m:rPr>
                                    <m:brk m:alnAt="23"/>
                                  </m:r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</m:t>
                                </m:r>
                              </m:sub>
                              <m:sup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30</m:t>
                                </m:r>
                              </m:sup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200</m:t>
                                </m:r>
                                <m:d>
                                  <m:d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f>
                                      <m:f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fPr>
                                      <m:num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𝑧</m:t>
                                        </m:r>
                                      </m:num>
                                      <m:den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5+</m:t>
                                        </m:r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𝑧</m:t>
                                        </m:r>
                                      </m:den>
                                    </m:f>
                                  </m:e>
                                </m:d>
                                <m:sSup>
                                  <m:sSup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𝑒</m:t>
                                    </m:r>
                                  </m:e>
                                  <m:sup>
                                    <m:f>
                                      <m:f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fPr>
                                      <m:num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−2</m:t>
                                        </m:r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𝑧</m:t>
                                        </m:r>
                                      </m:num>
                                      <m:den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30</m:t>
                                        </m:r>
                                      </m:den>
                                    </m:f>
                                  </m:sup>
                                </m:sSup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 </m:t>
                                </m:r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𝑑𝑧</m:t>
                                </m:r>
                              </m:e>
                            </m:nary>
                          </m:den>
                        </m:f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f>
                          <m:f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nary>
                              <m:nary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naryPr>
                              <m:sub>
                                <m:r>
                                  <m:rPr>
                                    <m:brk m:alnAt="23"/>
                                  </m:r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</m:t>
                                </m:r>
                              </m:sub>
                              <m:sup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30</m:t>
                                </m:r>
                              </m:sup>
                              <m:e>
                                <m:d>
                                  <m:d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f>
                                      <m:f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fPr>
                                      <m:num>
                                        <m:sSup>
                                          <m:sSupPr>
                                            <m:ctrlP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sSupPr>
                                          <m:e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𝑧</m:t>
                                            </m:r>
                                          </m:e>
                                          <m:sup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2</m:t>
                                            </m:r>
                                          </m:sup>
                                        </m:sSup>
                                      </m:num>
                                      <m:den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5+</m:t>
                                        </m:r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𝑧</m:t>
                                        </m:r>
                                      </m:den>
                                    </m:f>
                                  </m:e>
                                </m:d>
                                <m:sSup>
                                  <m:sSup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𝑒</m:t>
                                    </m:r>
                                  </m:e>
                                  <m:sup>
                                    <m:f>
                                      <m:f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fPr>
                                      <m:num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−</m:t>
                                        </m:r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𝑧</m:t>
                                        </m:r>
                                      </m:num>
                                      <m:den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15</m:t>
                                        </m:r>
                                      </m:den>
                                    </m:f>
                                  </m:sup>
                                </m:sSup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 </m:t>
                                </m:r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𝑑𝑧</m:t>
                                </m:r>
                              </m:e>
                            </m:nary>
                          </m:num>
                          <m:den>
                            <m:nary>
                              <m:nary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naryPr>
                              <m:sub>
                                <m:r>
                                  <m:rPr>
                                    <m:brk m:alnAt="23"/>
                                  </m:r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</m:t>
                                </m:r>
                              </m:sub>
                              <m:sup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30</m:t>
                                </m:r>
                              </m:sup>
                              <m:e>
                                <m:d>
                                  <m:d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f>
                                      <m:f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fPr>
                                      <m:num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𝑧</m:t>
                                        </m:r>
                                      </m:num>
                                      <m:den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5+</m:t>
                                        </m:r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𝑧</m:t>
                                        </m:r>
                                      </m:den>
                                    </m:f>
                                  </m:e>
                                </m:d>
                                <m:sSup>
                                  <m:sSup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𝑒</m:t>
                                    </m:r>
                                  </m:e>
                                  <m:sup>
                                    <m:f>
                                      <m:f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fPr>
                                      <m:num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−</m:t>
                                        </m:r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𝑧</m:t>
                                        </m:r>
                                      </m:num>
                                      <m:den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15</m:t>
                                        </m:r>
                                      </m:den>
                                    </m:f>
                                  </m:sup>
                                </m:sSup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 </m:t>
                                </m:r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𝑑𝑧</m:t>
                                </m:r>
                              </m:e>
                            </m:nary>
                          </m:den>
                        </m:f>
                      </m:oMath>
                    </m:oMathPara>
                  </a14:m>
                  <a:endParaRPr kumimoji="1" lang="en-US" altLang="ja-JP" sz="1100" b="0" i="1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endParaRPr>
                </a:p>
                <a:p>
                  <a:endParaRPr kumimoji="1" lang="en-US" altLang="ja-JP" sz="1100" b="0" i="1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endParaRPr>
                </a:p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f>
                          <m:f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d>
                              <m:d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150−600</m:t>
                                </m:r>
                                <m:sSup>
                                  <m:sSup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𝑒</m:t>
                                    </m:r>
                                  </m:e>
                                  <m:sup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−2</m:t>
                                    </m:r>
                                  </m:sup>
                                </m:sSup>
                              </m:e>
                            </m:d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p>
                              <m:sSup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25</m:t>
                                </m:r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𝑒</m:t>
                                </m:r>
                              </m:e>
                              <m:sup>
                                <m:f>
                                  <m:f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</m:t>
                                    </m:r>
                                  </m:num>
                                  <m:den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3</m:t>
                                    </m:r>
                                  </m:den>
                                </m:f>
                              </m:sup>
                            </m:sSup>
                            <m:d>
                              <m:d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𝐸𝑖</m:t>
                                </m:r>
                                <m:d>
                                  <m:d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</m:t>
                                    </m:r>
                                    <m:f>
                                      <m:f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fPr>
                                      <m:num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7</m:t>
                                        </m:r>
                                      </m:num>
                                      <m:den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3</m:t>
                                        </m:r>
                                      </m:den>
                                    </m:f>
                                  </m:e>
                                </m:d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𝐸𝑖</m:t>
                                </m:r>
                                <m:d>
                                  <m:d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</m:t>
                                    </m:r>
                                    <m:f>
                                      <m:f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fPr>
                                      <m:num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1</m:t>
                                        </m:r>
                                      </m:num>
                                      <m:den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3</m:t>
                                        </m:r>
                                      </m:den>
                                    </m:f>
                                  </m:e>
                                </m:d>
                              </m:e>
                            </m:d>
                          </m:num>
                          <m:den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15</m:t>
                            </m:r>
                            <m:d>
                              <m:d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1−</m:t>
                                </m:r>
                                <m:sSup>
                                  <m:sSup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𝑒</m:t>
                                    </m:r>
                                  </m:e>
                                  <m:sup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−2</m:t>
                                    </m:r>
                                  </m:sup>
                                </m:sSup>
                              </m:e>
                            </m:d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p>
                              <m:sSup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𝑒</m:t>
                                </m:r>
                              </m:e>
                              <m:sup>
                                <m:f>
                                  <m:f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</m:t>
                                    </m:r>
                                  </m:num>
                                  <m:den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3</m:t>
                                    </m:r>
                                  </m:den>
                                </m:f>
                              </m:sup>
                            </m:sSup>
                            <m:d>
                              <m:d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𝐸𝑖</m:t>
                                </m:r>
                                <m:d>
                                  <m:d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</m:t>
                                    </m:r>
                                    <m:f>
                                      <m:f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fPr>
                                      <m:num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7</m:t>
                                        </m:r>
                                      </m:num>
                                      <m:den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3</m:t>
                                        </m:r>
                                      </m:den>
                                    </m:f>
                                  </m:e>
                                </m:d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𝐸𝑖</m:t>
                                </m:r>
                                <m:d>
                                  <m:d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</m:t>
                                    </m:r>
                                    <m:f>
                                      <m:f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fPr>
                                      <m:num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1</m:t>
                                        </m:r>
                                      </m:num>
                                      <m:den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3</m:t>
                                        </m:r>
                                      </m:den>
                                    </m:f>
                                  </m:e>
                                </m:d>
                              </m:e>
                            </m:d>
                          </m:den>
                        </m:f>
                      </m:oMath>
                    </m:oMathPara>
                  </a14:m>
                  <a:endParaRPr kumimoji="1" lang="en-US" altLang="ja-JP" sz="1100" b="0">
                    <a:solidFill>
                      <a:schemeClr val="tx1"/>
                    </a:solidFill>
                    <a:effectLst/>
                    <a:ea typeface="+mn-ea"/>
                    <a:cs typeface="+mn-cs"/>
                  </a:endParaRPr>
                </a:p>
              </xdr:txBody>
            </xdr:sp>
          </mc:Choice>
          <mc:Fallback xmlns="">
            <xdr:sp macro="" textlink="">
              <xdr:nvSpPr>
                <xdr:cNvPr id="3" name="テキスト ボックス 2">
                  <a:extLst>
                    <a:ext uri="{FF2B5EF4-FFF2-40B4-BE49-F238E27FC236}">
                      <a16:creationId xmlns:a16="http://schemas.microsoft.com/office/drawing/2014/main" id="{4BD72181-49E2-48D7-AF2D-583DE4818284}"/>
                    </a:ext>
                  </a:extLst>
                </xdr:cNvPr>
                <xdr:cNvSpPr txBox="1"/>
              </xdr:nvSpPr>
              <xdr:spPr>
                <a:xfrm>
                  <a:off x="7501229" y="5762839"/>
                  <a:ext cx="3530101" cy="2507932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/>
                  <a:r>
                    <a:rPr kumimoji="1" lang="en-US" altLang="ja-JP" sz="1100" b="0" i="0">
                      <a:latin typeface="Cambria Math" panose="02040503050406030204" pitchFamily="18" charset="0"/>
                    </a:rPr>
                    <a:t>𝑑=(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∫_0^30▒𝑧𝑓(𝑧)𝑑𝑧)/(∫_0^30▒𝑓(𝑧)𝑑𝑧)</a:t>
                  </a:r>
                  <a:endParaRPr kumimoji="1" lang="en-US" altLang="ja-JP" sz="1100" b="0" i="1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endParaRPr>
                </a:p>
                <a:p>
                  <a:pPr/>
                  <a:endParaRPr kumimoji="1" lang="en-US" altLang="ja-JP" sz="1100" b="0" i="1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endParaRPr>
                </a:p>
                <a:p>
                  <a:pPr/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(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∫_0^30▒〖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𝑧(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200(𝑧/(5+𝑧)) 𝑒^((−2𝑧)/30)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 )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  𝑑𝑧〗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)/(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∫_0^30▒〖200(𝑧/(5+𝑧)) 𝑒^((−2𝑧)/30)  𝑑𝑧〗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)=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(∫_0^30▒〖(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𝑧^2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/(5+𝑧)) 𝑒^((−𝑧)/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15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)  𝑑𝑧〗)/(∫_0^30▒〖(𝑧/(5+𝑧)) 𝑒^((−𝑧)/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15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)  𝑑𝑧〗)</a:t>
                  </a:r>
                  <a:endParaRPr kumimoji="1" lang="en-US" altLang="ja-JP" sz="1100" b="0" i="1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endParaRPr>
                </a:p>
                <a:p>
                  <a:pPr/>
                  <a:endParaRPr kumimoji="1" lang="en-US" altLang="ja-JP" sz="1100" b="0" i="1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endParaRPr>
                </a:p>
                <a:p>
                  <a:pPr/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=(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(150−600𝑒^(−2) )−〖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2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5𝑒〗^(1/3) (𝐸𝑖(−7/3)−𝐸𝑖(−1/3))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)/(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15(1−𝑒^(−2) )−〖5𝑒〗^(1/3) (𝐸𝑖(−7/3)−𝐸𝑖(−1/3))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 )</a:t>
                  </a:r>
                  <a:endParaRPr kumimoji="1" lang="en-US" altLang="ja-JP" sz="1100" b="0">
                    <a:solidFill>
                      <a:schemeClr val="tx1"/>
                    </a:solidFill>
                    <a:effectLst/>
                    <a:ea typeface="+mn-ea"/>
                    <a:cs typeface="+mn-cs"/>
                  </a:endParaRPr>
                </a:p>
              </xdr:txBody>
            </xdr:sp>
          </mc:Fallback>
        </mc:AlternateContent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7" name="テキスト ボックス 6">
                  <a:extLst>
                    <a:ext uri="{FF2B5EF4-FFF2-40B4-BE49-F238E27FC236}">
                      <a16:creationId xmlns:a16="http://schemas.microsoft.com/office/drawing/2014/main" id="{F591BEB4-274B-442E-BCF0-4741E9B5DD9B}"/>
                    </a:ext>
                  </a:extLst>
                </xdr:cNvPr>
                <xdr:cNvSpPr txBox="1"/>
              </xdr:nvSpPr>
              <xdr:spPr>
                <a:xfrm>
                  <a:off x="11084760" y="7889834"/>
                  <a:ext cx="3800913" cy="1448013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nary>
                          <m:nary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30</m:t>
                            </m:r>
                          </m:sup>
                          <m:e>
                            <m:f>
                              <m:f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𝑧</m:t>
                                </m:r>
                              </m:num>
                              <m:den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𝑧</m:t>
                                </m:r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+5</m:t>
                                </m:r>
                              </m:den>
                            </m:f>
                            <m:sSup>
                              <m:sSup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𝑒</m:t>
                                </m:r>
                              </m:e>
                              <m:sup>
                                <m:f>
                                  <m:f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</m:t>
                                    </m:r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𝑧</m:t>
                                    </m:r>
                                  </m:num>
                                  <m:den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15</m:t>
                                    </m:r>
                                  </m:den>
                                </m:f>
                              </m:sup>
                            </m:s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𝑑𝑧</m:t>
                            </m:r>
                          </m:e>
                        </m:nary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d>
                          <m:d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nary>
                              <m:nary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naryPr>
                              <m:sub>
                                <m:r>
                                  <m:rPr>
                                    <m:brk m:alnAt="23"/>
                                  </m:r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</m:t>
                                </m:r>
                              </m:sub>
                              <m:sup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30</m:t>
                                </m:r>
                              </m:sup>
                              <m:e>
                                <m:sSup>
                                  <m:sSup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𝑒</m:t>
                                    </m:r>
                                  </m:e>
                                  <m:sup>
                                    <m:f>
                                      <m:f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fPr>
                                      <m:num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−</m:t>
                                        </m:r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𝑧</m:t>
                                        </m:r>
                                      </m:num>
                                      <m:den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15</m:t>
                                        </m:r>
                                      </m:den>
                                    </m:f>
                                  </m:sup>
                                </m:sSup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 </m:t>
                                </m:r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𝑑𝑧</m:t>
                                </m:r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−5</m:t>
                                </m:r>
                                <m:nary>
                                  <m:nary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naryPr>
                                  <m:sub>
                                    <m:r>
                                      <m:rPr>
                                        <m:brk m:alnAt="23"/>
                                      </m:r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0</m:t>
                                    </m:r>
                                  </m:sub>
                                  <m:sup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30</m:t>
                                    </m:r>
                                  </m:sup>
                                  <m:e>
                                    <m:f>
                                      <m:f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fPr>
                                      <m:num>
                                        <m:sSup>
                                          <m:sSupPr>
                                            <m:ctrlP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sSupPr>
                                          <m:e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𝑒</m:t>
                                            </m:r>
                                          </m:e>
                                          <m:sup>
                                            <m:f>
                                              <m:fPr>
                                                <m:ctrlPr>
                                                  <a:rPr kumimoji="1" lang="en-US" altLang="ja-JP" sz="1100" b="0" i="1">
                                                    <a:solidFill>
                                                      <a:schemeClr val="tx1"/>
                                                    </a:solidFill>
                                                    <a:effectLst/>
                                                    <a:latin typeface="Cambria Math" panose="02040503050406030204" pitchFamily="18" charset="0"/>
                                                    <a:ea typeface="+mn-ea"/>
                                                    <a:cs typeface="+mn-cs"/>
                                                  </a:rPr>
                                                </m:ctrlPr>
                                              </m:fPr>
                                              <m:num>
                                                <m:r>
                                                  <a:rPr kumimoji="1" lang="en-US" altLang="ja-JP" sz="1100" b="0" i="1">
                                                    <a:solidFill>
                                                      <a:schemeClr val="tx1"/>
                                                    </a:solidFill>
                                                    <a:effectLst/>
                                                    <a:latin typeface="Cambria Math" panose="02040503050406030204" pitchFamily="18" charset="0"/>
                                                    <a:ea typeface="+mn-ea"/>
                                                    <a:cs typeface="+mn-cs"/>
                                                  </a:rPr>
                                                  <m:t>−</m:t>
                                                </m:r>
                                                <m:r>
                                                  <a:rPr kumimoji="1" lang="en-US" altLang="ja-JP" sz="1100" b="0" i="1">
                                                    <a:solidFill>
                                                      <a:schemeClr val="tx1"/>
                                                    </a:solidFill>
                                                    <a:effectLst/>
                                                    <a:latin typeface="Cambria Math" panose="02040503050406030204" pitchFamily="18" charset="0"/>
                                                    <a:ea typeface="+mn-ea"/>
                                                    <a:cs typeface="+mn-cs"/>
                                                  </a:rPr>
                                                  <m:t>𝑧</m:t>
                                                </m:r>
                                              </m:num>
                                              <m:den>
                                                <m:r>
                                                  <a:rPr kumimoji="1" lang="en-US" altLang="ja-JP" sz="1100" b="0" i="1">
                                                    <a:solidFill>
                                                      <a:schemeClr val="tx1"/>
                                                    </a:solidFill>
                                                    <a:effectLst/>
                                                    <a:latin typeface="Cambria Math" panose="02040503050406030204" pitchFamily="18" charset="0"/>
                                                    <a:ea typeface="+mn-ea"/>
                                                    <a:cs typeface="+mn-cs"/>
                                                  </a:rPr>
                                                  <m:t>15</m:t>
                                                </m:r>
                                              </m:den>
                                            </m:f>
                                          </m:sup>
                                        </m:sSup>
                                      </m:num>
                                      <m:den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𝑧</m:t>
                                        </m:r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+5</m:t>
                                        </m:r>
                                      </m:den>
                                    </m:f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𝑑𝑧</m:t>
                                    </m:r>
                                  </m:e>
                                </m:nary>
                              </m:e>
                            </m:nary>
                          </m:e>
                        </m:d>
                      </m:oMath>
                    </m:oMathPara>
                  </a14:m>
                  <a:endParaRPr kumimoji="1" lang="en-US" altLang="ja-JP" sz="1100" b="0" i="1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endParaRPr>
                </a:p>
                <a:p>
                  <a:endParaRPr kumimoji="1" lang="en-US" altLang="ja-JP" sz="1100" b="0" i="1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endParaRPr>
                </a:p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=15</m:t>
                        </m:r>
                        <m:d>
                          <m:d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1−</m:t>
                            </m:r>
                            <m:sSup>
                              <m:sSup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𝑒</m:t>
                                </m:r>
                              </m:e>
                              <m:sup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−2</m:t>
                                </m:r>
                              </m:sup>
                            </m:sSup>
                          </m:e>
                        </m:d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p>
                          <m:sSup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5</m:t>
                            </m:r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</m:t>
                            </m:r>
                          </m:e>
                          <m:sup>
                            <m:f>
                              <m:f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den>
                            </m:f>
                          </m:sup>
                        </m:sSup>
                        <m:d>
                          <m:d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𝐸𝑖</m:t>
                            </m:r>
                            <m:d>
                              <m:d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f>
                                  <m:f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7</m:t>
                                    </m:r>
                                  </m:num>
                                  <m:den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3</m:t>
                                    </m:r>
                                  </m:den>
                                </m:f>
                              </m:e>
                            </m:d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𝐸𝑖</m:t>
                            </m:r>
                            <m:d>
                              <m:d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f>
                                  <m:f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</m:t>
                                    </m:r>
                                  </m:num>
                                  <m:den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3</m:t>
                                    </m:r>
                                  </m:den>
                                </m:f>
                              </m:e>
                            </m:d>
                          </m:e>
                        </m:d>
                      </m:oMath>
                    </m:oMathPara>
                  </a14:m>
                  <a:endParaRPr kumimoji="1" lang="ja-JP" altLang="en-US" sz="1100"/>
                </a:p>
              </xdr:txBody>
            </xdr:sp>
          </mc:Choice>
          <mc:Fallback xmlns="">
            <xdr:sp macro="" textlink="">
              <xdr:nvSpPr>
                <xdr:cNvPr id="7" name="テキスト ボックス 6">
                  <a:extLst>
                    <a:ext uri="{FF2B5EF4-FFF2-40B4-BE49-F238E27FC236}">
                      <a16:creationId xmlns:a16="http://schemas.microsoft.com/office/drawing/2014/main" id="{F591BEB4-274B-442E-BCF0-4741E9B5DD9B}"/>
                    </a:ext>
                  </a:extLst>
                </xdr:cNvPr>
                <xdr:cNvSpPr txBox="1"/>
              </xdr:nvSpPr>
              <xdr:spPr>
                <a:xfrm>
                  <a:off x="11084760" y="7889834"/>
                  <a:ext cx="3800913" cy="1448013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/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∫_0^30▒〖𝑧/(𝑧+5) 𝑒^((−𝑧)/15)  𝑑𝑧〗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=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(∫_0^30▒〖𝑒^((−𝑧)/15)  𝑑𝑧−5∫_0^30▒〖𝑒^((−𝑧)/15)/(𝑧+5) 𝑑𝑧〗〗)</a:t>
                  </a:r>
                  <a:endParaRPr kumimoji="1" lang="en-US" altLang="ja-JP" sz="1100" b="0" i="1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endParaRPr>
                </a:p>
                <a:p>
                  <a:pPr/>
                  <a:endParaRPr kumimoji="1" lang="en-US" altLang="ja-JP" sz="1100" b="0" i="1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endParaRPr>
                </a:p>
                <a:p>
                  <a:pPr/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=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15(1−𝑒^(−2) )−〖5𝑒〗^(1/3) (𝐸𝑖(−7/3)−𝐸𝑖(−1/3))</a:t>
                  </a:r>
                  <a:endParaRPr kumimoji="1" lang="ja-JP" altLang="en-US" sz="1100"/>
                </a:p>
              </xdr:txBody>
            </xdr:sp>
          </mc:Fallback>
        </mc:AlternateContent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8" name="テキスト ボックス 7">
                  <a:extLst>
                    <a:ext uri="{FF2B5EF4-FFF2-40B4-BE49-F238E27FC236}">
                      <a16:creationId xmlns:a16="http://schemas.microsoft.com/office/drawing/2014/main" id="{3C1666FC-F070-43F9-A069-D83B23B161FE}"/>
                    </a:ext>
                  </a:extLst>
                </xdr:cNvPr>
                <xdr:cNvSpPr txBox="1"/>
              </xdr:nvSpPr>
              <xdr:spPr>
                <a:xfrm>
                  <a:off x="11251887" y="5757152"/>
                  <a:ext cx="3409717" cy="1781188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nary>
                          <m:nary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30</m:t>
                            </m:r>
                          </m:sup>
                          <m:e>
                            <m:f>
                              <m:f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sSup>
                                  <m:sSup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𝑧</m:t>
                                    </m:r>
                                  </m:e>
                                  <m:sup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</m:num>
                              <m:den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𝑧</m:t>
                                </m:r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+5</m:t>
                                </m:r>
                              </m:den>
                            </m:f>
                            <m:sSup>
                              <m:sSup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𝑒</m:t>
                                </m:r>
                              </m:e>
                              <m:sup>
                                <m:f>
                                  <m:f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</m:t>
                                    </m:r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𝑧</m:t>
                                    </m:r>
                                  </m:num>
                                  <m:den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15</m:t>
                                    </m:r>
                                  </m:den>
                                </m:f>
                              </m:sup>
                            </m:s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𝑑𝑧</m:t>
                            </m:r>
                          </m:e>
                        </m:nary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nary>
                          <m:nary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30</m:t>
                            </m:r>
                          </m:sup>
                          <m:e>
                            <m:d>
                              <m:d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𝑧</m:t>
                                </m:r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−5</m:t>
                                </m:r>
                                <m:f>
                                  <m:f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25</m:t>
                                    </m:r>
                                  </m:num>
                                  <m:den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𝑧</m:t>
                                    </m:r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+5</m:t>
                                    </m:r>
                                  </m:den>
                                </m:f>
                              </m:e>
                            </m:d>
                            <m:sSup>
                              <m:sSup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𝑒</m:t>
                                </m:r>
                              </m:e>
                              <m:sup>
                                <m:f>
                                  <m:f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</m:t>
                                    </m:r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𝑧</m:t>
                                    </m:r>
                                  </m:num>
                                  <m:den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15</m:t>
                                    </m:r>
                                  </m:den>
                                </m:f>
                              </m:sup>
                            </m:s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𝑑𝑧</m:t>
                            </m:r>
                          </m:e>
                        </m:nary>
                      </m:oMath>
                    </m:oMathPara>
                  </a14:m>
                  <a:endParaRPr kumimoji="1" lang="en-US" altLang="ja-JP" sz="1100" b="0" i="1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endParaRPr>
                </a:p>
                <a:p>
                  <a:endParaRPr kumimoji="1" lang="en-US" altLang="ja-JP" sz="1100" b="0" i="1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endParaRPr>
                </a:p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nary>
                          <m:nary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30</m:t>
                            </m:r>
                          </m:sup>
                          <m:e>
                            <m:d>
                              <m:d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𝑧</m:t>
                                </m:r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−5</m:t>
                                </m:r>
                              </m:e>
                            </m:d>
                            <m:sSup>
                              <m:sSup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𝑒</m:t>
                                </m:r>
                              </m:e>
                              <m:sup>
                                <m:f>
                                  <m:f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</m:t>
                                    </m:r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𝑧</m:t>
                                    </m:r>
                                  </m:num>
                                  <m:den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15</m:t>
                                    </m:r>
                                  </m:den>
                                </m:f>
                              </m:sup>
                            </m:s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𝑑𝑧</m:t>
                            </m:r>
                          </m:e>
                        </m:nary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+25</m:t>
                        </m:r>
                        <m:nary>
                          <m:nary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30</m:t>
                            </m:r>
                          </m:sup>
                          <m:e>
                            <m:f>
                              <m:f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sSup>
                                  <m:sSup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𝑒</m:t>
                                    </m:r>
                                  </m:e>
                                  <m:sup>
                                    <m:f>
                                      <m:f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fPr>
                                      <m:num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−</m:t>
                                        </m:r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𝑧</m:t>
                                        </m:r>
                                      </m:num>
                                      <m:den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15</m:t>
                                        </m:r>
                                      </m:den>
                                    </m:f>
                                  </m:sup>
                                </m:sSup>
                              </m:num>
                              <m:den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𝑧</m:t>
                                </m:r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+5</m:t>
                                </m:r>
                              </m:den>
                            </m:f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𝑑𝑧</m:t>
                            </m:r>
                          </m:e>
                        </m:nary>
                      </m:oMath>
                    </m:oMathPara>
                  </a14:m>
                  <a:endParaRPr kumimoji="1" lang="en-US" altLang="ja-JP" sz="1100" b="0" i="1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endParaRPr>
                </a:p>
                <a:p>
                  <a:endParaRPr kumimoji="1" lang="en-US" altLang="ja-JP" sz="1100" b="0" i="1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endParaRPr>
                </a:p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d>
                          <m:d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150−600</m:t>
                            </m:r>
                            <m:sSup>
                              <m:sSup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𝑒</m:t>
                                </m:r>
                              </m:e>
                              <m:sup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−2</m:t>
                                </m:r>
                              </m:sup>
                            </m:sSup>
                          </m:e>
                        </m:d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p>
                          <m:sSup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25</m:t>
                            </m:r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</m:t>
                            </m:r>
                          </m:e>
                          <m:sup>
                            <m:f>
                              <m:f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den>
                            </m:f>
                          </m:sup>
                        </m:sSup>
                        <m:d>
                          <m:d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𝐸𝑖</m:t>
                            </m:r>
                            <m:d>
                              <m:d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f>
                                  <m:f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7</m:t>
                                    </m:r>
                                  </m:num>
                                  <m:den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3</m:t>
                                    </m:r>
                                  </m:den>
                                </m:f>
                              </m:e>
                            </m:d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𝐸𝑖</m:t>
                            </m:r>
                            <m:d>
                              <m:d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f>
                                  <m:f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</m:t>
                                    </m:r>
                                  </m:num>
                                  <m:den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3</m:t>
                                    </m:r>
                                  </m:den>
                                </m:f>
                              </m:e>
                            </m:d>
                          </m:e>
                        </m:d>
                      </m:oMath>
                    </m:oMathPara>
                  </a14:m>
                  <a:endParaRPr kumimoji="1" lang="ja-JP" altLang="en-US" sz="1100"/>
                </a:p>
              </xdr:txBody>
            </xdr:sp>
          </mc:Choice>
          <mc:Fallback xmlns="">
            <xdr:sp macro="" textlink="">
              <xdr:nvSpPr>
                <xdr:cNvPr id="8" name="テキスト ボックス 7">
                  <a:extLst>
                    <a:ext uri="{FF2B5EF4-FFF2-40B4-BE49-F238E27FC236}">
                      <a16:creationId xmlns:a16="http://schemas.microsoft.com/office/drawing/2014/main" id="{3C1666FC-F070-43F9-A069-D83B23B161FE}"/>
                    </a:ext>
                  </a:extLst>
                </xdr:cNvPr>
                <xdr:cNvSpPr txBox="1"/>
              </xdr:nvSpPr>
              <xdr:spPr>
                <a:xfrm>
                  <a:off x="11251887" y="5757152"/>
                  <a:ext cx="3409717" cy="1781188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/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∫_0^30▒〖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𝑧^2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/(𝑧+5) 𝑒^((−𝑧)/15)  𝑑𝑧〗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=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∫_0^30▒〖(𝑧−5 25/(𝑧+5)) 𝑒^((−𝑧)/15) 𝑑𝑧〗</a:t>
                  </a:r>
                  <a:endParaRPr kumimoji="1" lang="en-US" altLang="ja-JP" sz="1100" b="0" i="1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endParaRPr>
                </a:p>
                <a:p>
                  <a:pPr/>
                  <a:endParaRPr kumimoji="1" lang="en-US" altLang="ja-JP" sz="1100" b="0" i="1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endParaRPr>
                </a:p>
                <a:p>
                  <a:pPr/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=∫_0^30▒〖(𝑧−5) 𝑒^((−𝑧)/15) 𝑑𝑧〗+25∫_0^30▒〖𝑒^((−𝑧)/15)/(𝑧+5) 𝑑𝑧〗</a:t>
                  </a:r>
                  <a:endParaRPr kumimoji="1" lang="en-US" altLang="ja-JP" sz="1100" b="0" i="1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endParaRPr>
                </a:p>
                <a:p>
                  <a:pPr/>
                  <a:endParaRPr kumimoji="1" lang="en-US" altLang="ja-JP" sz="1100" b="0" i="1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endParaRPr>
                </a:p>
                <a:p>
                  <a:pPr/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=(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150−600𝑒^(−2)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 )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−〖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2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5𝑒〗^(1/3) (𝐸𝑖(−7/3)−𝐸𝑖(−1/3))</a:t>
                  </a:r>
                  <a:endParaRPr kumimoji="1" lang="ja-JP" altLang="en-US" sz="1100"/>
                </a:p>
              </xdr:txBody>
            </xdr:sp>
          </mc:Fallback>
        </mc:AlternateContent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9" name="テキスト ボックス 8">
                  <a:extLst>
                    <a:ext uri="{FF2B5EF4-FFF2-40B4-BE49-F238E27FC236}">
                      <a16:creationId xmlns:a16="http://schemas.microsoft.com/office/drawing/2014/main" id="{4B89FFA4-192E-3D3C-D5F5-FCC866BEDEB5}"/>
                    </a:ext>
                  </a:extLst>
                </xdr:cNvPr>
                <xdr:cNvSpPr txBox="1"/>
              </xdr:nvSpPr>
              <xdr:spPr>
                <a:xfrm>
                  <a:off x="14896069" y="5761664"/>
                  <a:ext cx="2843273" cy="1728303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nary>
                          <m:nary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30</m:t>
                            </m:r>
                          </m:sup>
                          <m:e>
                            <m:d>
                              <m:d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𝑧</m:t>
                                </m:r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−5</m:t>
                                </m:r>
                              </m:e>
                            </m:d>
                            <m:sSup>
                              <m:sSup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𝑒</m:t>
                                </m:r>
                              </m:e>
                              <m:sup>
                                <m:f>
                                  <m:f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</m:t>
                                    </m:r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𝑧</m:t>
                                    </m:r>
                                  </m:num>
                                  <m:den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15</m:t>
                                    </m:r>
                                  </m:den>
                                </m:f>
                              </m:sup>
                            </m:s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𝑑𝑧</m:t>
                            </m:r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</m:e>
                        </m:nary>
                        <m:nary>
                          <m:nary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30</m:t>
                            </m:r>
                          </m:sup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𝑧</m:t>
                            </m:r>
                            <m:sSup>
                              <m:sSup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𝑒</m:t>
                                </m:r>
                              </m:e>
                              <m:sup>
                                <m:f>
                                  <m:f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</m:t>
                                    </m:r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𝑧</m:t>
                                    </m:r>
                                  </m:num>
                                  <m:den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15</m:t>
                                    </m:r>
                                  </m:den>
                                </m:f>
                              </m:sup>
                            </m:s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−5</m:t>
                            </m:r>
                            <m:nary>
                              <m:nary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naryPr>
                              <m:sub>
                                <m:r>
                                  <m:rPr>
                                    <m:brk m:alnAt="23"/>
                                  </m:r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</m:t>
                                </m:r>
                              </m:sub>
                              <m:sup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30</m:t>
                                </m:r>
                              </m:sup>
                              <m:e>
                                <m:sSup>
                                  <m:sSup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𝑒</m:t>
                                    </m:r>
                                  </m:e>
                                  <m:sup>
                                    <m:f>
                                      <m:f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fPr>
                                      <m:num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−</m:t>
                                        </m:r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𝑧</m:t>
                                        </m:r>
                                      </m:num>
                                      <m:den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15</m:t>
                                        </m:r>
                                      </m:den>
                                    </m:f>
                                  </m:sup>
                                </m:sSup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𝑑𝑧</m:t>
                                </m:r>
                              </m:e>
                            </m:nary>
                          </m:e>
                        </m:nary>
                      </m:oMath>
                    </m:oMathPara>
                  </a14:m>
                  <a:endParaRPr kumimoji="1" lang="en-US" altLang="ja-JP" sz="1100" b="0" i="1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endParaRPr>
                </a:p>
                <a:p>
                  <a:endParaRPr kumimoji="1" lang="en-US" altLang="ja-JP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endParaRPr>
                </a:p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kumimoji="1" lang="en-US" altLang="ja-JP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d>
                          <m:d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kumimoji="1" lang="en-US" altLang="ja-JP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225−675</m:t>
                            </m:r>
                            <m:sSup>
                              <m:sSup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𝑒</m:t>
                                </m:r>
                              </m:e>
                              <m:sup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−2</m:t>
                                </m:r>
                              </m:sup>
                            </m:sSup>
                          </m:e>
                        </m:d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−5</m:t>
                        </m:r>
                        <m:d>
                          <m:d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15</m:t>
                            </m:r>
                            <m:d>
                              <m:d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1−</m:t>
                                </m:r>
                                <m:sSup>
                                  <m:sSup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𝑒</m:t>
                                    </m:r>
                                  </m:e>
                                  <m:sup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−2</m:t>
                                    </m:r>
                                  </m:sup>
                                </m:sSup>
                              </m:e>
                            </m:d>
                          </m:e>
                        </m:d>
                      </m:oMath>
                    </m:oMathPara>
                  </a14:m>
                  <a:endParaRPr kumimoji="1" lang="en-US" altLang="ja-JP" sz="1100" b="0" i="1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endParaRPr>
                </a:p>
                <a:p>
                  <a:endParaRPr kumimoji="1" lang="en-US" altLang="ja-JP" sz="1100" b="0" i="1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endParaRPr>
                </a:p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=225−675</m:t>
                        </m:r>
                        <m:sSup>
                          <m:sSup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</m:t>
                            </m:r>
                          </m:e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−2</m:t>
                            </m:r>
                          </m:sup>
                        </m:sSup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−75+75</m:t>
                        </m:r>
                        <m:sSup>
                          <m:sSup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</m:t>
                            </m:r>
                          </m:e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−2</m:t>
                            </m:r>
                          </m:sup>
                        </m:sSup>
                      </m:oMath>
                    </m:oMathPara>
                  </a14:m>
                  <a:endParaRPr kumimoji="1" lang="en-US" altLang="ja-JP" sz="1100" b="0" i="1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endParaRPr>
                </a:p>
                <a:p>
                  <a:endParaRPr kumimoji="1" lang="en-US" altLang="ja-JP" sz="1100" b="0" i="1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endParaRPr>
                </a:p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=150−600</m:t>
                        </m:r>
                        <m:sSup>
                          <m:sSup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</m:t>
                            </m:r>
                          </m:e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−2</m:t>
                            </m:r>
                          </m:sup>
                        </m:sSup>
                      </m:oMath>
                    </m:oMathPara>
                  </a14:m>
                  <a:endParaRPr kumimoji="1" lang="en-US" altLang="ja-JP" sz="1100" b="0">
                    <a:solidFill>
                      <a:schemeClr val="tx1"/>
                    </a:solidFill>
                    <a:effectLst/>
                    <a:ea typeface="+mn-ea"/>
                    <a:cs typeface="+mn-cs"/>
                  </a:endParaRPr>
                </a:p>
              </xdr:txBody>
            </xdr:sp>
          </mc:Choice>
          <mc:Fallback xmlns="">
            <xdr:sp macro="" textlink="">
              <xdr:nvSpPr>
                <xdr:cNvPr id="9" name="テキスト ボックス 8">
                  <a:extLst>
                    <a:ext uri="{FF2B5EF4-FFF2-40B4-BE49-F238E27FC236}">
                      <a16:creationId xmlns:a16="http://schemas.microsoft.com/office/drawing/2014/main" id="{4B89FFA4-192E-3D3C-D5F5-FCC866BEDEB5}"/>
                    </a:ext>
                  </a:extLst>
                </xdr:cNvPr>
                <xdr:cNvSpPr txBox="1"/>
              </xdr:nvSpPr>
              <xdr:spPr>
                <a:xfrm>
                  <a:off x="14896069" y="5761664"/>
                  <a:ext cx="2843273" cy="1728303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∫_0^30▒〖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(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𝑧−5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)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 𝑒^((−𝑧)/15)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 𝑑𝑧=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〗 ∫_0^30▒〖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𝑧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𝑒^((−𝑧)/15)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−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5∫_0^30▒〖𝑒^((−𝑧)/15) 𝑑𝑧〗〗</a:t>
                  </a:r>
                  <a:endParaRPr kumimoji="1" lang="en-US" altLang="ja-JP" sz="1100" b="0" i="1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endParaRPr>
                </a:p>
                <a:p>
                  <a:endParaRPr kumimoji="1" lang="en-US" altLang="ja-JP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endParaRPr>
                </a:p>
                <a:p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=(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225−675𝑒^(−2)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 )−5(15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(1−𝑒^(−2) )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)</a:t>
                  </a:r>
                  <a:endParaRPr kumimoji="1" lang="en-US" altLang="ja-JP" sz="1100" b="0" i="1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endParaRPr>
                </a:p>
                <a:p>
                  <a:endParaRPr kumimoji="1" lang="en-US" altLang="ja-JP" sz="1100" b="0" i="1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endParaRPr>
                </a:p>
                <a:p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=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225−675𝑒^(−2)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−75+75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𝑒^(−2)</a:t>
                  </a:r>
                  <a:endParaRPr kumimoji="1" lang="en-US" altLang="ja-JP" sz="1100" b="0" i="1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endParaRPr>
                </a:p>
                <a:p>
                  <a:endParaRPr kumimoji="1" lang="en-US" altLang="ja-JP" sz="1100" b="0" i="1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endParaRPr>
                </a:p>
                <a:p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=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150−600𝑒^(−2)</a:t>
                  </a:r>
                  <a:endParaRPr kumimoji="1" lang="en-US" altLang="ja-JP" sz="1100" b="0">
                    <a:solidFill>
                      <a:schemeClr val="tx1"/>
                    </a:solidFill>
                    <a:effectLst/>
                    <a:ea typeface="+mn-ea"/>
                    <a:cs typeface="+mn-cs"/>
                  </a:endParaRPr>
                </a:p>
              </xdr:txBody>
            </xdr:sp>
          </mc:Fallback>
        </mc:AlternateContent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10" name="テキスト ボックス 9">
                  <a:extLst>
                    <a:ext uri="{FF2B5EF4-FFF2-40B4-BE49-F238E27FC236}">
                      <a16:creationId xmlns:a16="http://schemas.microsoft.com/office/drawing/2014/main" id="{D4081E2A-A290-CEB9-65D1-847D319E9F3E}"/>
                    </a:ext>
                  </a:extLst>
                </xdr:cNvPr>
                <xdr:cNvSpPr txBox="1"/>
              </xdr:nvSpPr>
              <xdr:spPr>
                <a:xfrm>
                  <a:off x="18115602" y="5755521"/>
                  <a:ext cx="2449056" cy="91209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nary>
                          <m:nary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30</m:t>
                            </m:r>
                          </m:sup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𝑧</m:t>
                            </m:r>
                            <m:sSup>
                              <m:sSup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𝑒</m:t>
                                </m:r>
                              </m:e>
                              <m:sup>
                                <m:f>
                                  <m:f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</m:t>
                                    </m:r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𝑧</m:t>
                                    </m:r>
                                  </m:num>
                                  <m:den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15</m:t>
                                    </m:r>
                                  </m:den>
                                </m:f>
                              </m:sup>
                            </m:s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𝑑𝑧</m:t>
                            </m:r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sSubSup>
                              <m:sSubSup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SupPr>
                              <m:e>
                                <m:d>
                                  <m:dPr>
                                    <m:begChr m:val="["/>
                                    <m:endChr m:val="]"/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−15</m:t>
                                    </m:r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𝑧</m:t>
                                    </m:r>
                                    <m:sSup>
                                      <m:sSup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𝑒</m:t>
                                        </m:r>
                                      </m:e>
                                      <m:sup>
                                        <m:f>
                                          <m:fPr>
                                            <m:ctrlP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fPr>
                                          <m:num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−</m:t>
                                            </m:r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𝑧</m:t>
                                            </m:r>
                                          </m:num>
                                          <m:den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15</m:t>
                                            </m:r>
                                          </m:den>
                                        </m:f>
                                      </m:sup>
                                    </m:sSup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−225</m:t>
                                    </m:r>
                                    <m:sSup>
                                      <m:sSup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𝑒</m:t>
                                        </m:r>
                                      </m:e>
                                      <m:sup>
                                        <m:f>
                                          <m:fPr>
                                            <m:ctrlP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fPr>
                                          <m:num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−</m:t>
                                            </m:r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𝑧</m:t>
                                            </m:r>
                                          </m:num>
                                          <m:den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15</m:t>
                                            </m:r>
                                          </m:den>
                                        </m:f>
                                      </m:sup>
                                    </m:sSup>
                                  </m:e>
                                </m:d>
                              </m:e>
                              <m:sub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</m:t>
                                </m:r>
                              </m:sub>
                              <m:sup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30</m:t>
                                </m:r>
                              </m:sup>
                            </m:sSubSup>
                          </m:e>
                        </m:nary>
                      </m:oMath>
                    </m:oMathPara>
                  </a14:m>
                  <a:endParaRPr kumimoji="1" lang="en-US" altLang="ja-JP" sz="1100" b="0" i="1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endParaRPr>
                </a:p>
                <a:p>
                  <a:endParaRPr kumimoji="1" lang="en-US" altLang="ja-JP" sz="1100" b="0" i="1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endParaRPr>
                </a:p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=225−675</m:t>
                        </m:r>
                        <m:sSup>
                          <m:sSup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</m:t>
                            </m:r>
                          </m:e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−2</m:t>
                            </m:r>
                          </m:sup>
                        </m:sSup>
                      </m:oMath>
                    </m:oMathPara>
                  </a14:m>
                  <a:endParaRPr kumimoji="1" lang="en-US" altLang="ja-JP" sz="1100" b="0">
                    <a:solidFill>
                      <a:schemeClr val="tx1"/>
                    </a:solidFill>
                    <a:effectLst/>
                    <a:ea typeface="+mn-ea"/>
                    <a:cs typeface="+mn-cs"/>
                  </a:endParaRPr>
                </a:p>
              </xdr:txBody>
            </xdr:sp>
          </mc:Choice>
          <mc:Fallback xmlns="">
            <xdr:sp macro="" textlink="">
              <xdr:nvSpPr>
                <xdr:cNvPr id="10" name="テキスト ボックス 9">
                  <a:extLst>
                    <a:ext uri="{FF2B5EF4-FFF2-40B4-BE49-F238E27FC236}">
                      <a16:creationId xmlns:a16="http://schemas.microsoft.com/office/drawing/2014/main" id="{D4081E2A-A290-CEB9-65D1-847D319E9F3E}"/>
                    </a:ext>
                  </a:extLst>
                </xdr:cNvPr>
                <xdr:cNvSpPr txBox="1"/>
              </xdr:nvSpPr>
              <xdr:spPr>
                <a:xfrm>
                  <a:off x="18115602" y="5755521"/>
                  <a:ext cx="2449056" cy="91209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∫_0^30▒〖𝑧𝑒^((−𝑧)/15)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 𝑑𝑧=[−15𝑧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𝑒^((−𝑧)/15)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−225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𝑒^((−𝑧)/15)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 ]_0^30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 〗</a:t>
                  </a:r>
                  <a:endParaRPr kumimoji="1" lang="en-US" altLang="ja-JP" sz="1100" b="0" i="1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endParaRPr>
                </a:p>
                <a:p>
                  <a:endParaRPr kumimoji="1" lang="en-US" altLang="ja-JP" sz="1100" b="0" i="1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endParaRPr>
                </a:p>
                <a:p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=225−675𝑒^(−2)</a:t>
                  </a:r>
                  <a:endParaRPr kumimoji="1" lang="en-US" altLang="ja-JP" sz="1100" b="0">
                    <a:solidFill>
                      <a:schemeClr val="tx1"/>
                    </a:solidFill>
                    <a:effectLst/>
                    <a:ea typeface="+mn-ea"/>
                    <a:cs typeface="+mn-cs"/>
                  </a:endParaRPr>
                </a:p>
              </xdr:txBody>
            </xdr:sp>
          </mc:Fallback>
        </mc:AlternateContent>
      </xdr:grpSp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C5909476-EF42-B043-0A13-82AF759CD8AA}"/>
              </a:ext>
            </a:extLst>
          </xdr:cNvPr>
          <xdr:cNvSpPr/>
        </xdr:nvSpPr>
        <xdr:spPr>
          <a:xfrm>
            <a:off x="7788648" y="7067550"/>
            <a:ext cx="3031752" cy="934000"/>
          </a:xfrm>
          <a:prstGeom prst="rect">
            <a:avLst/>
          </a:prstGeom>
          <a:noFill/>
          <a:ln w="28575" cap="flat" cmpd="sng" algn="ctr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" name="正方形/長方形 15">
            <a:extLst>
              <a:ext uri="{FF2B5EF4-FFF2-40B4-BE49-F238E27FC236}">
                <a16:creationId xmlns:a16="http://schemas.microsoft.com/office/drawing/2014/main" id="{5D5EDA97-1FF2-40AD-82CE-AA649E45A0E7}"/>
              </a:ext>
            </a:extLst>
          </xdr:cNvPr>
          <xdr:cNvSpPr/>
        </xdr:nvSpPr>
        <xdr:spPr>
          <a:xfrm>
            <a:off x="11462185" y="6762751"/>
            <a:ext cx="3044390" cy="552450"/>
          </a:xfrm>
          <a:prstGeom prst="rect">
            <a:avLst/>
          </a:prstGeom>
          <a:noFill/>
          <a:ln w="28575" cap="flat" cmpd="sng" algn="ctr">
            <a:solidFill>
              <a:srgbClr val="00B050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7" name="正方形/長方形 16">
            <a:extLst>
              <a:ext uri="{FF2B5EF4-FFF2-40B4-BE49-F238E27FC236}">
                <a16:creationId xmlns:a16="http://schemas.microsoft.com/office/drawing/2014/main" id="{AFC20C19-57C8-43F0-9FAB-E2D3CBEFD72D}"/>
              </a:ext>
            </a:extLst>
          </xdr:cNvPr>
          <xdr:cNvSpPr/>
        </xdr:nvSpPr>
        <xdr:spPr>
          <a:xfrm>
            <a:off x="15821025" y="6848475"/>
            <a:ext cx="1095375" cy="327913"/>
          </a:xfrm>
          <a:prstGeom prst="rect">
            <a:avLst/>
          </a:prstGeom>
          <a:noFill/>
          <a:ln w="28575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8" name="正方形/長方形 17">
            <a:extLst>
              <a:ext uri="{FF2B5EF4-FFF2-40B4-BE49-F238E27FC236}">
                <a16:creationId xmlns:a16="http://schemas.microsoft.com/office/drawing/2014/main" id="{1C4C9A1E-FBA4-4BFE-A7EB-BBE259021CCF}"/>
              </a:ext>
            </a:extLst>
          </xdr:cNvPr>
          <xdr:cNvSpPr/>
        </xdr:nvSpPr>
        <xdr:spPr>
          <a:xfrm>
            <a:off x="18830925" y="6181725"/>
            <a:ext cx="1133475" cy="266700"/>
          </a:xfrm>
          <a:prstGeom prst="rect">
            <a:avLst/>
          </a:prstGeom>
          <a:noFill/>
          <a:ln w="28575" cap="flat" cmpd="sng" algn="ctr">
            <a:solidFill>
              <a:srgbClr val="7030A0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9" name="正方形/長方形 18">
            <a:extLst>
              <a:ext uri="{FF2B5EF4-FFF2-40B4-BE49-F238E27FC236}">
                <a16:creationId xmlns:a16="http://schemas.microsoft.com/office/drawing/2014/main" id="{22C51C6B-7F81-411F-A87A-CE56FF423D28}"/>
              </a:ext>
            </a:extLst>
          </xdr:cNvPr>
          <xdr:cNvSpPr/>
        </xdr:nvSpPr>
        <xdr:spPr>
          <a:xfrm>
            <a:off x="11610975" y="8296275"/>
            <a:ext cx="2828925" cy="581025"/>
          </a:xfrm>
          <a:prstGeom prst="rect">
            <a:avLst/>
          </a:prstGeom>
          <a:noFill/>
          <a:ln w="28575" cap="flat" cmpd="sng" algn="ctr">
            <a:solidFill>
              <a:srgbClr val="00B050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9</xdr:col>
      <xdr:colOff>649431</xdr:colOff>
      <xdr:row>2</xdr:row>
      <xdr:rowOff>13855</xdr:rowOff>
    </xdr:from>
    <xdr:to>
      <xdr:col>21</xdr:col>
      <xdr:colOff>446326</xdr:colOff>
      <xdr:row>18</xdr:row>
      <xdr:rowOff>176890</xdr:rowOff>
    </xdr:to>
    <xdr:grpSp>
      <xdr:nvGrpSpPr>
        <xdr:cNvPr id="21" name="グループ化 20">
          <a:extLst>
            <a:ext uri="{FF2B5EF4-FFF2-40B4-BE49-F238E27FC236}">
              <a16:creationId xmlns:a16="http://schemas.microsoft.com/office/drawing/2014/main" id="{F895375D-6196-0D1D-4557-CEBC094E8A1A}"/>
            </a:ext>
          </a:extLst>
        </xdr:cNvPr>
        <xdr:cNvGrpSpPr/>
      </xdr:nvGrpSpPr>
      <xdr:grpSpPr>
        <a:xfrm>
          <a:off x="7507431" y="442480"/>
          <a:ext cx="8188420" cy="3515835"/>
          <a:chOff x="7259781" y="432955"/>
          <a:chExt cx="8188420" cy="3516161"/>
        </a:xfrm>
      </xdr:grpSpPr>
      <xdr:grpSp>
        <xdr:nvGrpSpPr>
          <xdr:cNvPr id="11" name="グループ化 10">
            <a:extLst>
              <a:ext uri="{FF2B5EF4-FFF2-40B4-BE49-F238E27FC236}">
                <a16:creationId xmlns:a16="http://schemas.microsoft.com/office/drawing/2014/main" id="{B63D8289-10DE-32F1-FD91-81C798EE8DC1}"/>
              </a:ext>
            </a:extLst>
          </xdr:cNvPr>
          <xdr:cNvGrpSpPr/>
        </xdr:nvGrpSpPr>
        <xdr:grpSpPr>
          <a:xfrm>
            <a:off x="7259781" y="432955"/>
            <a:ext cx="8188420" cy="3503064"/>
            <a:chOff x="7259781" y="432955"/>
            <a:chExt cx="8188420" cy="3503064"/>
          </a:xfrm>
        </xdr:grpSpPr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2" name="テキスト ボックス 1">
                  <a:extLst>
                    <a:ext uri="{FF2B5EF4-FFF2-40B4-BE49-F238E27FC236}">
                      <a16:creationId xmlns:a16="http://schemas.microsoft.com/office/drawing/2014/main" id="{2E2CA6B1-6535-4C48-BD29-2D63AE3E8050}"/>
                    </a:ext>
                  </a:extLst>
                </xdr:cNvPr>
                <xdr:cNvSpPr txBox="1"/>
              </xdr:nvSpPr>
              <xdr:spPr>
                <a:xfrm>
                  <a:off x="7259781" y="1103040"/>
                  <a:ext cx="3513841" cy="2343732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𝐹</m:t>
                        </m:r>
                        <m: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=</m:t>
                        </m:r>
                        <m:nary>
                          <m:naryPr>
                            <m:ctrlP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  <m:sup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  <m:t>30</m:t>
                            </m:r>
                          </m:sup>
                          <m:e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  <m:t>200</m:t>
                            </m:r>
                            <m:d>
                              <m:dPr>
                                <m:ctrlPr>
                                  <a:rPr kumimoji="1" lang="en-US" altLang="ja-JP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kumimoji="1" lang="en-US" altLang="ja-JP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kumimoji="1" lang="en-US" altLang="ja-JP" sz="1100" b="0" i="1">
                                        <a:latin typeface="Cambria Math" panose="02040503050406030204" pitchFamily="18" charset="0"/>
                                      </a:rPr>
                                      <m:t>𝑧</m:t>
                                    </m:r>
                                  </m:num>
                                  <m:den>
                                    <m:r>
                                      <a:rPr kumimoji="1" lang="en-US" altLang="ja-JP" sz="1100" b="0" i="1">
                                        <a:latin typeface="Cambria Math" panose="02040503050406030204" pitchFamily="18" charset="0"/>
                                      </a:rPr>
                                      <m:t>5+</m:t>
                                    </m:r>
                                    <m:r>
                                      <a:rPr kumimoji="1" lang="en-US" altLang="ja-JP" sz="1100" b="0" i="1">
                                        <a:latin typeface="Cambria Math" panose="02040503050406030204" pitchFamily="18" charset="0"/>
                                      </a:rPr>
                                      <m:t>𝑧</m:t>
                                    </m:r>
                                  </m:den>
                                </m:f>
                              </m:e>
                            </m:d>
                            <m:sSup>
                              <m:sSupPr>
                                <m:ctrlPr>
                                  <a:rPr kumimoji="1" lang="en-US" altLang="ja-JP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kumimoji="1" lang="en-US" altLang="ja-JP" sz="1100" b="0" i="1">
                                    <a:latin typeface="Cambria Math" panose="02040503050406030204" pitchFamily="18" charset="0"/>
                                  </a:rPr>
                                  <m:t>𝑒</m:t>
                                </m:r>
                              </m:e>
                              <m:sup>
                                <m:f>
                                  <m:fPr>
                                    <m:ctrlPr>
                                      <a:rPr kumimoji="1" lang="en-US" altLang="ja-JP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kumimoji="1" lang="en-US" altLang="ja-JP" sz="1100" b="0" i="1">
                                        <a:latin typeface="Cambria Math" panose="02040503050406030204" pitchFamily="18" charset="0"/>
                                      </a:rPr>
                                      <m:t>−2</m:t>
                                    </m:r>
                                    <m:r>
                                      <a:rPr kumimoji="1" lang="en-US" altLang="ja-JP" sz="1100" b="0" i="1">
                                        <a:latin typeface="Cambria Math" panose="02040503050406030204" pitchFamily="18" charset="0"/>
                                      </a:rPr>
                                      <m:t>𝑧</m:t>
                                    </m:r>
                                  </m:num>
                                  <m:den>
                                    <m:r>
                                      <a:rPr kumimoji="1" lang="en-US" altLang="ja-JP" sz="1100" b="0" i="1">
                                        <a:latin typeface="Cambria Math" panose="02040503050406030204" pitchFamily="18" charset="0"/>
                                      </a:rPr>
                                      <m:t>30</m:t>
                                    </m:r>
                                  </m:den>
                                </m:f>
                              </m:sup>
                            </m:sSup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  <m:t>𝑑𝑧</m:t>
                            </m:r>
                          </m:e>
                        </m:nary>
                      </m:oMath>
                    </m:oMathPara>
                  </a14:m>
                  <a:endParaRPr kumimoji="1" lang="en-US" altLang="ja-JP" sz="1100" b="0"/>
                </a:p>
                <a:p>
                  <a:endParaRPr kumimoji="1" lang="en-US" altLang="ja-JP" sz="1100" b="0"/>
                </a:p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200</m:t>
                        </m:r>
                        <m:nary>
                          <m:nary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30</m:t>
                            </m:r>
                          </m:sup>
                          <m:e>
                            <m:f>
                              <m:f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𝑧</m:t>
                                </m:r>
                              </m:num>
                              <m:den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𝑧</m:t>
                                </m:r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+5</m:t>
                                </m:r>
                              </m:den>
                            </m:f>
                            <m:sSup>
                              <m:sSup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𝑒</m:t>
                                </m:r>
                              </m:e>
                              <m:sup>
                                <m:f>
                                  <m:f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</m:t>
                                    </m:r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𝑧</m:t>
                                    </m:r>
                                  </m:num>
                                  <m:den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15</m:t>
                                    </m:r>
                                  </m:den>
                                </m:f>
                              </m:sup>
                            </m:s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𝑑𝑧</m:t>
                            </m:r>
                          </m:e>
                        </m:nary>
                      </m:oMath>
                    </m:oMathPara>
                  </a14:m>
                  <a:endParaRPr kumimoji="1" lang="en-US" altLang="ja-JP" sz="1100" b="0"/>
                </a:p>
                <a:p>
                  <a:endParaRPr kumimoji="1" lang="en-US" altLang="ja-JP" sz="1100"/>
                </a:p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200</m:t>
                        </m:r>
                        <m:d>
                          <m:d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nary>
                              <m:nary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naryPr>
                              <m:sub>
                                <m:r>
                                  <m:rPr>
                                    <m:brk m:alnAt="23"/>
                                  </m:r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</m:t>
                                </m:r>
                              </m:sub>
                              <m:sup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30</m:t>
                                </m:r>
                              </m:sup>
                              <m:e>
                                <m:sSup>
                                  <m:sSup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𝑒</m:t>
                                    </m:r>
                                  </m:e>
                                  <m:sup>
                                    <m:f>
                                      <m:f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fPr>
                                      <m:num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−</m:t>
                                        </m:r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𝑧</m:t>
                                        </m:r>
                                      </m:num>
                                      <m:den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15</m:t>
                                        </m:r>
                                      </m:den>
                                    </m:f>
                                  </m:sup>
                                </m:sSup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 </m:t>
                                </m:r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𝑑𝑧</m:t>
                                </m:r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−5</m:t>
                                </m:r>
                                <m:nary>
                                  <m:nary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naryPr>
                                  <m:sub>
                                    <m:r>
                                      <m:rPr>
                                        <m:brk m:alnAt="23"/>
                                      </m:r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0</m:t>
                                    </m:r>
                                  </m:sub>
                                  <m:sup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30</m:t>
                                    </m:r>
                                  </m:sup>
                                  <m:e>
                                    <m:f>
                                      <m:f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fPr>
                                      <m:num>
                                        <m:sSup>
                                          <m:sSupPr>
                                            <m:ctrlP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sSupPr>
                                          <m:e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𝑒</m:t>
                                            </m:r>
                                          </m:e>
                                          <m:sup>
                                            <m:f>
                                              <m:fPr>
                                                <m:ctrlPr>
                                                  <a:rPr kumimoji="1" lang="en-US" altLang="ja-JP" sz="1100" b="0" i="1">
                                                    <a:solidFill>
                                                      <a:schemeClr val="tx1"/>
                                                    </a:solidFill>
                                                    <a:effectLst/>
                                                    <a:latin typeface="Cambria Math" panose="02040503050406030204" pitchFamily="18" charset="0"/>
                                                    <a:ea typeface="+mn-ea"/>
                                                    <a:cs typeface="+mn-cs"/>
                                                  </a:rPr>
                                                </m:ctrlPr>
                                              </m:fPr>
                                              <m:num>
                                                <m:r>
                                                  <a:rPr kumimoji="1" lang="en-US" altLang="ja-JP" sz="1100" b="0" i="1">
                                                    <a:solidFill>
                                                      <a:schemeClr val="tx1"/>
                                                    </a:solidFill>
                                                    <a:effectLst/>
                                                    <a:latin typeface="Cambria Math" panose="02040503050406030204" pitchFamily="18" charset="0"/>
                                                    <a:ea typeface="+mn-ea"/>
                                                    <a:cs typeface="+mn-cs"/>
                                                  </a:rPr>
                                                  <m:t>−</m:t>
                                                </m:r>
                                                <m:r>
                                                  <a:rPr kumimoji="1" lang="en-US" altLang="ja-JP" sz="1100" b="0" i="1">
                                                    <a:solidFill>
                                                      <a:schemeClr val="tx1"/>
                                                    </a:solidFill>
                                                    <a:effectLst/>
                                                    <a:latin typeface="Cambria Math" panose="02040503050406030204" pitchFamily="18" charset="0"/>
                                                    <a:ea typeface="+mn-ea"/>
                                                    <a:cs typeface="+mn-cs"/>
                                                  </a:rPr>
                                                  <m:t>𝑧</m:t>
                                                </m:r>
                                              </m:num>
                                              <m:den>
                                                <m:r>
                                                  <a:rPr kumimoji="1" lang="en-US" altLang="ja-JP" sz="1100" b="0" i="1">
                                                    <a:solidFill>
                                                      <a:schemeClr val="tx1"/>
                                                    </a:solidFill>
                                                    <a:effectLst/>
                                                    <a:latin typeface="Cambria Math" panose="02040503050406030204" pitchFamily="18" charset="0"/>
                                                    <a:ea typeface="+mn-ea"/>
                                                    <a:cs typeface="+mn-cs"/>
                                                  </a:rPr>
                                                  <m:t>15</m:t>
                                                </m:r>
                                              </m:den>
                                            </m:f>
                                          </m:sup>
                                        </m:sSup>
                                      </m:num>
                                      <m:den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𝑧</m:t>
                                        </m:r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+5</m:t>
                                        </m:r>
                                      </m:den>
                                    </m:f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𝑑𝑧</m:t>
                                    </m:r>
                                  </m:e>
                                </m:nary>
                              </m:e>
                            </m:nary>
                          </m:e>
                        </m:d>
                      </m:oMath>
                    </m:oMathPara>
                  </a14:m>
                  <a:endParaRPr kumimoji="1" lang="en-US" altLang="ja-JP" sz="1100"/>
                </a:p>
                <a:p>
                  <a:endParaRPr kumimoji="1" lang="en-US" altLang="ja-JP" sz="1100"/>
                </a:p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𝐹</m:t>
                        </m:r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=200</m:t>
                        </m:r>
                        <m:d>
                          <m:dPr>
                            <m:begChr m:val="["/>
                            <m:endChr m:val="]"/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15</m:t>
                            </m:r>
                            <m:d>
                              <m:d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1−</m:t>
                                </m:r>
                                <m:sSup>
                                  <m:sSup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𝑒</m:t>
                                    </m:r>
                                  </m:e>
                                  <m:sup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−2</m:t>
                                    </m:r>
                                  </m:sup>
                                </m:sSup>
                              </m:e>
                            </m:d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p>
                              <m:sSup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𝑒</m:t>
                                </m:r>
                              </m:e>
                              <m:sup>
                                <m:f>
                                  <m:f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</m:t>
                                    </m:r>
                                  </m:num>
                                  <m:den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3</m:t>
                                    </m:r>
                                  </m:den>
                                </m:f>
                              </m:sup>
                            </m:sSup>
                            <m:d>
                              <m:d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𝐸𝑖</m:t>
                                </m:r>
                                <m:d>
                                  <m:d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</m:t>
                                    </m:r>
                                    <m:f>
                                      <m:f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fPr>
                                      <m:num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7</m:t>
                                        </m:r>
                                      </m:num>
                                      <m:den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3</m:t>
                                        </m:r>
                                      </m:den>
                                    </m:f>
                                  </m:e>
                                </m:d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𝐸𝑖</m:t>
                                </m:r>
                                <m:d>
                                  <m:d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</m:t>
                                    </m:r>
                                    <m:f>
                                      <m:f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fPr>
                                      <m:num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1</m:t>
                                        </m:r>
                                      </m:num>
                                      <m:den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3</m:t>
                                        </m:r>
                                      </m:den>
                                    </m:f>
                                  </m:e>
                                </m:d>
                              </m:e>
                            </m:d>
                          </m:e>
                        </m:d>
                      </m:oMath>
                    </m:oMathPara>
                  </a14:m>
                  <a:endParaRPr kumimoji="1" lang="ja-JP" altLang="en-US" sz="1100"/>
                </a:p>
              </xdr:txBody>
            </xdr:sp>
          </mc:Choice>
          <mc:Fallback xmlns="">
            <xdr:sp macro="" textlink="">
              <xdr:nvSpPr>
                <xdr:cNvPr id="2" name="テキスト ボックス 1">
                  <a:extLst>
                    <a:ext uri="{FF2B5EF4-FFF2-40B4-BE49-F238E27FC236}">
                      <a16:creationId xmlns:a16="http://schemas.microsoft.com/office/drawing/2014/main" id="{2E2CA6B1-6535-4C48-BD29-2D63AE3E8050}"/>
                    </a:ext>
                  </a:extLst>
                </xdr:cNvPr>
                <xdr:cNvSpPr txBox="1"/>
              </xdr:nvSpPr>
              <xdr:spPr>
                <a:xfrm>
                  <a:off x="7259781" y="1103040"/>
                  <a:ext cx="3513841" cy="2343732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/>
                  <a:r>
                    <a:rPr kumimoji="1" lang="en-US" altLang="ja-JP" sz="1100" b="0" i="0">
                      <a:latin typeface="Cambria Math" panose="02040503050406030204" pitchFamily="18" charset="0"/>
                    </a:rPr>
                    <a:t>𝐹=∫_0^30▒〖200(𝑧/(5+𝑧)) 𝑒^((−2𝑧)/30)  𝑑𝑧〗</a:t>
                  </a:r>
                  <a:endParaRPr kumimoji="1" lang="en-US" altLang="ja-JP" sz="1100" b="0"/>
                </a:p>
                <a:p>
                  <a:endParaRPr kumimoji="1" lang="en-US" altLang="ja-JP" sz="1100" b="0"/>
                </a:p>
                <a:p>
                  <a:pPr/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200∫_0^30▒〖𝑧/(𝑧+5) 𝑒^((−𝑧)/15)  𝑑𝑧〗</a:t>
                  </a:r>
                  <a:endParaRPr kumimoji="1" lang="en-US" altLang="ja-JP" sz="1100" b="0"/>
                </a:p>
                <a:p>
                  <a:endParaRPr kumimoji="1" lang="en-US" altLang="ja-JP" sz="1100"/>
                </a:p>
                <a:p>
                  <a:pPr/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200(∫_0^30▒〖𝑒^((−𝑧)/15)  𝑑𝑧−5∫_0^30▒〖𝑒^((−𝑧)/15)/(𝑧+5) 𝑑𝑧〗〗)</a:t>
                  </a:r>
                  <a:endParaRPr kumimoji="1" lang="en-US" altLang="ja-JP" sz="1100"/>
                </a:p>
                <a:p>
                  <a:endParaRPr kumimoji="1" lang="en-US" altLang="ja-JP" sz="1100"/>
                </a:p>
                <a:p>
                  <a:pPr/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𝐹=200[15(1−𝑒^(−2) )−〖5𝑒〗^(1/3) (𝐸𝑖(−7/3)−𝐸𝑖(−1/3))]</a:t>
                  </a:r>
                  <a:endParaRPr kumimoji="1" lang="ja-JP" altLang="en-US" sz="1100"/>
                </a:p>
              </xdr:txBody>
            </xdr:sp>
          </mc:Fallback>
        </mc:AlternateContent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4" name="テキスト ボックス 3">
                  <a:extLst>
                    <a:ext uri="{FF2B5EF4-FFF2-40B4-BE49-F238E27FC236}">
                      <a16:creationId xmlns:a16="http://schemas.microsoft.com/office/drawing/2014/main" id="{B03D02D8-A4E1-4E63-A4AE-D82E45B45E3E}"/>
                    </a:ext>
                  </a:extLst>
                </xdr:cNvPr>
                <xdr:cNvSpPr txBox="1"/>
              </xdr:nvSpPr>
              <xdr:spPr>
                <a:xfrm>
                  <a:off x="11322864" y="432955"/>
                  <a:ext cx="3993933" cy="384657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spAutoFit/>
                </a:bodyPr>
                <a:lstStyle/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nary>
                          <m:nary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30</m:t>
                            </m:r>
                          </m:sup>
                          <m:e>
                            <m:sSup>
                              <m:sSup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𝑒</m:t>
                                </m:r>
                              </m:e>
                              <m:sup>
                                <m:f>
                                  <m:f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</m:t>
                                    </m:r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𝑧</m:t>
                                    </m:r>
                                  </m:num>
                                  <m:den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15</m:t>
                                    </m:r>
                                  </m:den>
                                </m:f>
                              </m:sup>
                            </m:s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𝑑𝑧</m:t>
                            </m:r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sSubSup>
                              <m:sSubSup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SupPr>
                              <m:e>
                                <m:d>
                                  <m:dPr>
                                    <m:begChr m:val="["/>
                                    <m:endChr m:val="]"/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−15</m:t>
                                    </m:r>
                                    <m:sSup>
                                      <m:sSup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𝑒</m:t>
                                        </m:r>
                                      </m:e>
                                      <m:sup>
                                        <m:f>
                                          <m:fPr>
                                            <m:ctrlP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fPr>
                                          <m:num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−</m:t>
                                            </m:r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𝑧</m:t>
                                            </m:r>
                                          </m:num>
                                          <m:den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15</m:t>
                                            </m:r>
                                          </m:den>
                                        </m:f>
                                      </m:sup>
                                    </m:sSup>
                                  </m:e>
                                </m:d>
                              </m:e>
                              <m:sub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</m:t>
                                </m:r>
                              </m:sub>
                              <m:sup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30</m:t>
                                </m:r>
                              </m:sup>
                            </m:sSub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=−15</m:t>
                            </m:r>
                            <m:sSup>
                              <m:sSup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𝑒</m:t>
                                </m:r>
                              </m:e>
                              <m:sup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−2</m:t>
                                </m:r>
                              </m:sup>
                            </m:s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d>
                              <m:d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−15</m:t>
                                </m:r>
                              </m:e>
                            </m:d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=15</m:t>
                            </m:r>
                            <m:d>
                              <m:d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1−</m:t>
                                </m:r>
                                <m:sSup>
                                  <m:sSup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𝑒</m:t>
                                    </m:r>
                                  </m:e>
                                  <m:sup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−2</m:t>
                                    </m:r>
                                  </m:sup>
                                </m:sSup>
                              </m:e>
                            </m:d>
                          </m:e>
                        </m:nary>
                      </m:oMath>
                    </m:oMathPara>
                  </a14:m>
                  <a:endParaRPr kumimoji="1" lang="ja-JP" altLang="en-US" sz="1100"/>
                </a:p>
              </xdr:txBody>
            </xdr:sp>
          </mc:Choice>
          <mc:Fallback xmlns="">
            <xdr:sp macro="" textlink="">
              <xdr:nvSpPr>
                <xdr:cNvPr id="4" name="テキスト ボックス 3">
                  <a:extLst>
                    <a:ext uri="{FF2B5EF4-FFF2-40B4-BE49-F238E27FC236}">
                      <a16:creationId xmlns:a16="http://schemas.microsoft.com/office/drawing/2014/main" id="{B03D02D8-A4E1-4E63-A4AE-D82E45B45E3E}"/>
                    </a:ext>
                  </a:extLst>
                </xdr:cNvPr>
                <xdr:cNvSpPr txBox="1"/>
              </xdr:nvSpPr>
              <xdr:spPr>
                <a:xfrm>
                  <a:off x="11322864" y="432955"/>
                  <a:ext cx="3993933" cy="384657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spAutoFit/>
                </a:bodyPr>
                <a:lstStyle/>
                <a:p>
                  <a:pPr/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∫_0^30▒〖𝑒^((−𝑧)/15)  𝑑𝑧=[−15𝑒^((−𝑧)/15) ]_0^30=−15𝑒^(−2)−(−15)=15(1−𝑒^(−2) ) 〗</a:t>
                  </a:r>
                  <a:endParaRPr kumimoji="1" lang="ja-JP" altLang="en-US" sz="1100"/>
                </a:p>
              </xdr:txBody>
            </xdr:sp>
          </mc:Fallback>
        </mc:AlternateContent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5" name="テキスト ボックス 4">
                  <a:extLst>
                    <a:ext uri="{FF2B5EF4-FFF2-40B4-BE49-F238E27FC236}">
                      <a16:creationId xmlns:a16="http://schemas.microsoft.com/office/drawing/2014/main" id="{99423206-1E77-46D6-9358-AFB150C1AEED}"/>
                    </a:ext>
                  </a:extLst>
                </xdr:cNvPr>
                <xdr:cNvSpPr txBox="1"/>
              </xdr:nvSpPr>
              <xdr:spPr>
                <a:xfrm>
                  <a:off x="11147297" y="1389130"/>
                  <a:ext cx="4300904" cy="2546889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nary>
                          <m:nary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30</m:t>
                            </m:r>
                          </m:sup>
                          <m:e>
                            <m:f>
                              <m:f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sSup>
                                  <m:sSup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𝑒</m:t>
                                    </m:r>
                                  </m:e>
                                  <m:sup>
                                    <m:f>
                                      <m:f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fPr>
                                      <m:num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−</m:t>
                                        </m:r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𝑧</m:t>
                                        </m:r>
                                      </m:num>
                                      <m:den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15</m:t>
                                        </m:r>
                                      </m:den>
                                    </m:f>
                                  </m:sup>
                                </m:sSup>
                              </m:num>
                              <m:den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𝑧</m:t>
                                </m:r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+5</m:t>
                                </m:r>
                              </m:den>
                            </m:f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𝑑𝑧</m:t>
                            </m:r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 </m:t>
                            </m:r>
                          </m:e>
                        </m:nary>
                      </m:oMath>
                    </m:oMathPara>
                  </a14:m>
                  <a:endParaRPr kumimoji="1" lang="en-US" altLang="ja-JP" sz="1100" b="0">
                    <a:solidFill>
                      <a:schemeClr val="tx1"/>
                    </a:solidFill>
                    <a:effectLst/>
                    <a:ea typeface="+mn-ea"/>
                    <a:cs typeface="+mn-cs"/>
                  </a:endParaRPr>
                </a:p>
                <a:p>
                  <a:endParaRPr kumimoji="1" lang="en-US" altLang="ja-JP" sz="1100" b="0">
                    <a:solidFill>
                      <a:schemeClr val="tx1"/>
                    </a:solidFill>
                    <a:effectLst/>
                    <a:ea typeface="+mn-ea"/>
                    <a:cs typeface="+mn-cs"/>
                  </a:endParaRPr>
                </a:p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𝐶𝑜𝑛𝑠𝑖𝑑𝑒𝑟</m:t>
                        </m:r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:</m:t>
                        </m:r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𝑧</m:t>
                        </m:r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+5, </m:t>
                        </m:r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𝑑𝑡</m:t>
                        </m:r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𝑑𝑧</m:t>
                        </m:r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 </m:t>
                        </m:r>
                      </m:oMath>
                    </m:oMathPara>
                  </a14:m>
                  <a:endParaRPr kumimoji="1" lang="en-US" altLang="ja-JP" sz="1100" b="0" i="1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endParaRPr>
                </a:p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𝑧</m:t>
                        </m:r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=0 →</m:t>
                        </m:r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=5, </m:t>
                        </m:r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𝑧</m:t>
                        </m:r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=30→</m:t>
                        </m:r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=35</m:t>
                        </m:r>
                      </m:oMath>
                    </m:oMathPara>
                  </a14:m>
                  <a:endParaRPr kumimoji="1" lang="en-US" altLang="ja-JP" sz="1100" b="0" i="1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endParaRPr>
                </a:p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sSup>
                          <m:sSup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</m:t>
                            </m:r>
                          </m:e>
                          <m:sup>
                            <m:f>
                              <m:f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𝑧</m:t>
                                </m:r>
                              </m:num>
                              <m:den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15</m:t>
                                </m:r>
                              </m:den>
                            </m:f>
                          </m:sup>
                        </m:sSup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sSup>
                          <m:sSup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</m:t>
                            </m:r>
                          </m:e>
                          <m:sup>
                            <m:f>
                              <m:f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d>
                                  <m:d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𝑡</m:t>
                                    </m:r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−5</m:t>
                                    </m:r>
                                  </m:e>
                                </m:d>
                              </m:num>
                              <m:den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15</m:t>
                                </m:r>
                              </m:den>
                            </m:f>
                          </m:sup>
                        </m:sSup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sSup>
                          <m:sSup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</m:t>
                            </m:r>
                          </m:e>
                          <m:sup>
                            <m:f>
                              <m:f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den>
                            </m:f>
                          </m:sup>
                        </m:sSup>
                        <m:sSup>
                          <m:sSup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</m:t>
                            </m:r>
                          </m:e>
                          <m:sup>
                            <m:f>
                              <m:f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</m:num>
                              <m:den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15</m:t>
                                </m:r>
                              </m:den>
                            </m:f>
                          </m:sup>
                        </m:sSup>
                      </m:oMath>
                    </m:oMathPara>
                  </a14:m>
                  <a:endParaRPr kumimoji="1" lang="en-US" altLang="ja-JP" sz="1100" b="0">
                    <a:solidFill>
                      <a:schemeClr val="tx1"/>
                    </a:solidFill>
                    <a:effectLst/>
                    <a:ea typeface="+mn-ea"/>
                    <a:cs typeface="+mn-cs"/>
                  </a:endParaRPr>
                </a:p>
                <a:p>
                  <a:endParaRPr kumimoji="1" lang="en-US" altLang="ja-JP" sz="1100" b="0">
                    <a:solidFill>
                      <a:schemeClr val="tx1"/>
                    </a:solidFill>
                    <a:effectLst/>
                    <a:ea typeface="+mn-ea"/>
                    <a:cs typeface="+mn-cs"/>
                  </a:endParaRPr>
                </a:p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nary>
                          <m:nary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</m:t>
                            </m:r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=5</m:t>
                            </m:r>
                          </m:sub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35</m:t>
                            </m:r>
                          </m:sup>
                          <m:e>
                            <m:f>
                              <m:f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sSup>
                                  <m:sSup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𝑒</m:t>
                                    </m:r>
                                  </m:e>
                                  <m:sup>
                                    <m:f>
                                      <m:f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fPr>
                                      <m:num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1</m:t>
                                        </m:r>
                                      </m:num>
                                      <m:den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3</m:t>
                                        </m:r>
                                      </m:den>
                                    </m:f>
                                  </m:sup>
                                </m:sSup>
                                <m:sSup>
                                  <m:sSup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𝑒</m:t>
                                    </m:r>
                                  </m:e>
                                  <m:sup>
                                    <m:f>
                                      <m:f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fPr>
                                      <m:num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−</m:t>
                                        </m:r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𝑡</m:t>
                                        </m:r>
                                      </m:num>
                                      <m:den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15</m:t>
                                        </m:r>
                                      </m:den>
                                    </m:f>
                                  </m:sup>
                                </m:sSup>
                              </m:num>
                              <m:den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</m:den>
                            </m:f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𝑑𝑡</m:t>
                            </m:r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sSup>
                              <m:sSup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𝑒</m:t>
                                </m:r>
                              </m:e>
                              <m:sup>
                                <m:f>
                                  <m:f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</m:t>
                                    </m:r>
                                  </m:num>
                                  <m:den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3</m:t>
                                    </m:r>
                                  </m:den>
                                </m:f>
                              </m:sup>
                            </m:sSup>
                            <m:nary>
                              <m:nary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naryPr>
                              <m:sub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b>
                              <m:sup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35</m:t>
                                </m:r>
                              </m:sup>
                              <m:e>
                                <m:f>
                                  <m:f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sSup>
                                      <m:sSup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𝑒</m:t>
                                        </m:r>
                                      </m:e>
                                      <m:sup>
                                        <m:f>
                                          <m:fPr>
                                            <m:ctrlP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fPr>
                                          <m:num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−</m:t>
                                            </m:r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𝑡</m:t>
                                            </m:r>
                                          </m:num>
                                          <m:den>
                                            <m:r>
                                              <a:rPr kumimoji="1" lang="en-US" altLang="ja-JP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15</m:t>
                                            </m:r>
                                          </m:den>
                                        </m:f>
                                      </m:sup>
                                    </m:sSup>
                                  </m:num>
                                  <m:den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𝑡</m:t>
                                    </m:r>
                                  </m:den>
                                </m:f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𝑑𝑡</m:t>
                                </m:r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=</m:t>
                                </m:r>
                              </m:e>
                            </m:nary>
                          </m:e>
                        </m:nary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𝐸𝑖</m:t>
                        </m:r>
                        <m:d>
                          <m:d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f>
                              <m:f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</m:num>
                              <m:den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15</m:t>
                                </m:r>
                              </m:den>
                            </m:f>
                          </m:e>
                        </m:d>
                        <m:r>
                          <a:rPr kumimoji="1" lang="en-US" altLang="ja-JP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m:rPr>
                            <m:sty m:val="p"/>
                          </m:rPr>
                          <a:rPr kumimoji="1" lang="en-US" altLang="ja-JP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C</m:t>
                        </m:r>
                        <m:sSup>
                          <m:sSup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</m:t>
                            </m:r>
                          </m:e>
                          <m:sup>
                            <m:f>
                              <m:f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den>
                            </m:f>
                          </m:sup>
                        </m:sSup>
                        <m:sSubSup>
                          <m:sSubSup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d>
                              <m:dPr>
                                <m:begChr m:val="["/>
                                <m:endChr m:val="]"/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𝐸𝑖</m:t>
                                </m:r>
                                <m:d>
                                  <m:d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</m:t>
                                    </m:r>
                                    <m:f>
                                      <m:fPr>
                                        <m:ctrlP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fPr>
                                      <m:num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𝑡</m:t>
                                        </m:r>
                                      </m:num>
                                      <m:den>
                                        <m:r>
                                          <a:rPr kumimoji="1" lang="en-US" altLang="ja-JP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15</m:t>
                                        </m:r>
                                      </m:den>
                                    </m:f>
                                  </m:e>
                                </m:d>
                              </m:e>
                            </m:d>
                          </m:e>
                          <m:sub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5</m:t>
                            </m:r>
                          </m:sub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35</m:t>
                            </m:r>
                          </m:sup>
                        </m:sSubSup>
                      </m:oMath>
                    </m:oMathPara>
                  </a14:m>
                  <a:endParaRPr kumimoji="1" lang="en-US" altLang="ja-JP" sz="1100" b="0">
                    <a:solidFill>
                      <a:schemeClr val="tx1"/>
                    </a:solidFill>
                    <a:effectLst/>
                    <a:ea typeface="+mn-ea"/>
                    <a:cs typeface="+mn-cs"/>
                  </a:endParaRPr>
                </a:p>
                <a:p>
                  <a:endParaRPr kumimoji="1" lang="en-US" altLang="ja-JP" sz="1100" b="0">
                    <a:solidFill>
                      <a:schemeClr val="tx1"/>
                    </a:solidFill>
                    <a:effectLst/>
                    <a:ea typeface="+mn-ea"/>
                    <a:cs typeface="+mn-cs"/>
                  </a:endParaRPr>
                </a:p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sSup>
                          <m:sSup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</m:t>
                            </m:r>
                          </m:e>
                          <m:sup>
                            <m:f>
                              <m:f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den>
                            </m:f>
                          </m:sup>
                        </m:sSup>
                        <m:d>
                          <m:d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𝐸𝑖</m:t>
                            </m:r>
                            <m:d>
                              <m:d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f>
                                  <m:f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35</m:t>
                                    </m:r>
                                  </m:num>
                                  <m:den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15</m:t>
                                    </m:r>
                                  </m:den>
                                </m:f>
                              </m:e>
                            </m:d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𝐸𝑖</m:t>
                            </m:r>
                            <m:d>
                              <m:d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f>
                                  <m:f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5</m:t>
                                    </m:r>
                                  </m:num>
                                  <m:den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15</m:t>
                                    </m:r>
                                  </m:den>
                                </m:f>
                              </m:e>
                            </m:d>
                          </m:e>
                        </m:d>
                        <m:r>
                          <a:rPr kumimoji="1" lang="en-US" altLang="ja-JP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sSup>
                          <m:sSup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</m:t>
                            </m:r>
                          </m:e>
                          <m:sup>
                            <m:f>
                              <m:f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den>
                            </m:f>
                          </m:sup>
                        </m:sSup>
                        <m:d>
                          <m:dPr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𝐸𝑖</m:t>
                            </m:r>
                            <m:d>
                              <m:d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f>
                                  <m:f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7</m:t>
                                    </m:r>
                                  </m:num>
                                  <m:den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3</m:t>
                                    </m:r>
                                  </m:den>
                                </m:f>
                              </m:e>
                            </m:d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𝐸𝑖</m:t>
                            </m:r>
                            <m:d>
                              <m:d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f>
                                  <m:f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</m:t>
                                    </m:r>
                                  </m:num>
                                  <m:den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3</m:t>
                                    </m:r>
                                  </m:den>
                                </m:f>
                              </m:e>
                            </m:d>
                          </m:e>
                        </m:d>
                      </m:oMath>
                    </m:oMathPara>
                  </a14:m>
                  <a:endParaRPr kumimoji="1" lang="en-US" altLang="ja-JP" sz="1100" b="0">
                    <a:solidFill>
                      <a:schemeClr val="tx1"/>
                    </a:solidFill>
                    <a:effectLst/>
                    <a:ea typeface="+mn-ea"/>
                    <a:cs typeface="+mn-cs"/>
                  </a:endParaRPr>
                </a:p>
              </xdr:txBody>
            </xdr:sp>
          </mc:Choice>
          <mc:Fallback xmlns="">
            <xdr:sp macro="" textlink="">
              <xdr:nvSpPr>
                <xdr:cNvPr id="5" name="テキスト ボックス 4">
                  <a:extLst>
                    <a:ext uri="{FF2B5EF4-FFF2-40B4-BE49-F238E27FC236}">
                      <a16:creationId xmlns:a16="http://schemas.microsoft.com/office/drawing/2014/main" id="{99423206-1E77-46D6-9358-AFB150C1AEED}"/>
                    </a:ext>
                  </a:extLst>
                </xdr:cNvPr>
                <xdr:cNvSpPr txBox="1"/>
              </xdr:nvSpPr>
              <xdr:spPr>
                <a:xfrm>
                  <a:off x="11147297" y="1389130"/>
                  <a:ext cx="4300904" cy="2546889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/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∫_0^30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a:t>▒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〖𝑒^((−𝑧)/15)/(𝑧+5) 𝑑𝑧 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a:t> </a:t>
                  </a:r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〗</a:t>
                  </a:r>
                  <a:endParaRPr kumimoji="1" lang="en-US" altLang="ja-JP" sz="1100" b="0">
                    <a:solidFill>
                      <a:schemeClr val="tx1"/>
                    </a:solidFill>
                    <a:effectLst/>
                    <a:ea typeface="+mn-ea"/>
                    <a:cs typeface="+mn-cs"/>
                  </a:endParaRPr>
                </a:p>
                <a:p>
                  <a:endParaRPr kumimoji="1" lang="en-US" altLang="ja-JP" sz="1100" b="0">
                    <a:solidFill>
                      <a:schemeClr val="tx1"/>
                    </a:solidFill>
                    <a:effectLst/>
                    <a:ea typeface="+mn-ea"/>
                    <a:cs typeface="+mn-cs"/>
                  </a:endParaRPr>
                </a:p>
                <a:p>
                  <a:pPr/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𝐶𝑜𝑛𝑠𝑖𝑑𝑒𝑟:𝑡=𝑧+5, 𝑑𝑡=𝑑𝑧, </a:t>
                  </a:r>
                  <a:endParaRPr kumimoji="1" lang="en-US" altLang="ja-JP" sz="1100" b="0" i="1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endParaRPr>
                </a:p>
                <a:p>
                  <a:pPr/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𝑧=0 →𝑡=5, 𝑧=30→𝑡=35</a:t>
                  </a:r>
                  <a:endParaRPr kumimoji="1" lang="en-US" altLang="ja-JP" sz="1100" b="0" i="1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endParaRPr>
                </a:p>
                <a:p>
                  <a:pPr/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 𝑒^((−𝑧)/15)=𝑒^((−(𝑡−5))/15)=𝑒^(1/3) 𝑒^((−𝑡)/15)</a:t>
                  </a:r>
                  <a:endParaRPr kumimoji="1" lang="en-US" altLang="ja-JP" sz="1100" b="0">
                    <a:solidFill>
                      <a:schemeClr val="tx1"/>
                    </a:solidFill>
                    <a:effectLst/>
                    <a:ea typeface="+mn-ea"/>
                    <a:cs typeface="+mn-cs"/>
                  </a:endParaRPr>
                </a:p>
                <a:p>
                  <a:endParaRPr kumimoji="1" lang="en-US" altLang="ja-JP" sz="1100" b="0">
                    <a:solidFill>
                      <a:schemeClr val="tx1"/>
                    </a:solidFill>
                    <a:effectLst/>
                    <a:ea typeface="+mn-ea"/>
                    <a:cs typeface="+mn-cs"/>
                  </a:endParaRPr>
                </a:p>
                <a:p>
                  <a:pPr/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∫_(𝑡=5)^35▒〖(𝑒^(1/3) 𝑒^((−𝑡)/15))/𝑡 𝑑𝑡=𝑒^(1/3) ∫_5^35▒〖𝑒^((−𝑡)/15)/𝑡 𝑑𝑡=〗〗 𝐸𝑖(−𝑡/15)+C𝑒^(1/3) [𝐸𝑖(−𝑡/15)]_5^35</a:t>
                  </a:r>
                  <a:endParaRPr kumimoji="1" lang="en-US" altLang="ja-JP" sz="1100" b="0">
                    <a:solidFill>
                      <a:schemeClr val="tx1"/>
                    </a:solidFill>
                    <a:effectLst/>
                    <a:ea typeface="+mn-ea"/>
                    <a:cs typeface="+mn-cs"/>
                  </a:endParaRPr>
                </a:p>
                <a:p>
                  <a:endParaRPr kumimoji="1" lang="en-US" altLang="ja-JP" sz="1100" b="0">
                    <a:solidFill>
                      <a:schemeClr val="tx1"/>
                    </a:solidFill>
                    <a:effectLst/>
                    <a:ea typeface="+mn-ea"/>
                    <a:cs typeface="+mn-cs"/>
                  </a:endParaRPr>
                </a:p>
                <a:p>
                  <a:pPr/>
                  <a:r>
                    <a:rPr kumimoji="1" lang="en-US" altLang="ja-JP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𝑒^(1/3) (𝐸𝑖(−35/15)−𝐸𝑖(−5/15))=𝑒^(1/3) (𝐸𝑖(−7/3)−𝐸𝑖(−1/3))</a:t>
                  </a:r>
                  <a:endParaRPr kumimoji="1" lang="en-US" altLang="ja-JP" sz="1100" b="0">
                    <a:solidFill>
                      <a:schemeClr val="tx1"/>
                    </a:solidFill>
                    <a:effectLst/>
                    <a:ea typeface="+mn-ea"/>
                    <a:cs typeface="+mn-cs"/>
                  </a:endParaRPr>
                </a:p>
              </xdr:txBody>
            </xdr:sp>
          </mc:Fallback>
        </mc:AlternateContent>
      </xdr:grpSp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0764397E-BDE2-4259-A9B9-CD8EF2CD5C65}"/>
              </a:ext>
            </a:extLst>
          </xdr:cNvPr>
          <xdr:cNvSpPr/>
        </xdr:nvSpPr>
        <xdr:spPr>
          <a:xfrm>
            <a:off x="7398122" y="2771775"/>
            <a:ext cx="3250827" cy="591273"/>
          </a:xfrm>
          <a:prstGeom prst="rect">
            <a:avLst/>
          </a:prstGeom>
          <a:noFill/>
          <a:ln w="28575" cap="flat" cmpd="sng" algn="ctr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5" name="正方形/長方形 14">
            <a:extLst>
              <a:ext uri="{FF2B5EF4-FFF2-40B4-BE49-F238E27FC236}">
                <a16:creationId xmlns:a16="http://schemas.microsoft.com/office/drawing/2014/main" id="{A7F593B0-2163-4F8B-B7B8-FB4A4B2EC1F6}"/>
              </a:ext>
            </a:extLst>
          </xdr:cNvPr>
          <xdr:cNvSpPr/>
        </xdr:nvSpPr>
        <xdr:spPr>
          <a:xfrm>
            <a:off x="13439775" y="3352799"/>
            <a:ext cx="1638300" cy="596317"/>
          </a:xfrm>
          <a:prstGeom prst="rect">
            <a:avLst/>
          </a:prstGeom>
          <a:noFill/>
          <a:ln w="28575" cap="flat" cmpd="sng" algn="ctr">
            <a:solidFill>
              <a:srgbClr val="00B050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0" name="正方形/長方形 19">
            <a:extLst>
              <a:ext uri="{FF2B5EF4-FFF2-40B4-BE49-F238E27FC236}">
                <a16:creationId xmlns:a16="http://schemas.microsoft.com/office/drawing/2014/main" id="{8A05D558-EBAA-41DA-858B-AF8B18F826B2}"/>
              </a:ext>
            </a:extLst>
          </xdr:cNvPr>
          <xdr:cNvSpPr/>
        </xdr:nvSpPr>
        <xdr:spPr>
          <a:xfrm>
            <a:off x="14392275" y="476250"/>
            <a:ext cx="790575" cy="304800"/>
          </a:xfrm>
          <a:prstGeom prst="rect">
            <a:avLst/>
          </a:prstGeom>
          <a:noFill/>
          <a:ln w="28575" cap="flat" cmpd="sng" algn="ctr">
            <a:solidFill>
              <a:srgbClr val="00B050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14655</xdr:colOff>
      <xdr:row>1</xdr:row>
      <xdr:rowOff>58312</xdr:rowOff>
    </xdr:from>
    <xdr:ext cx="2397672" cy="53796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テキスト ボックス 1">
              <a:extLst>
                <a:ext uri="{FF2B5EF4-FFF2-40B4-BE49-F238E27FC236}">
                  <a16:creationId xmlns:a16="http://schemas.microsoft.com/office/drawing/2014/main" id="{F486335A-CF02-4151-BFA8-3F8D48D22AAB}"/>
                </a:ext>
              </a:extLst>
            </xdr:cNvPr>
            <xdr:cNvSpPr txBox="1"/>
          </xdr:nvSpPr>
          <xdr:spPr>
            <a:xfrm>
              <a:off x="3480290" y="270793"/>
              <a:ext cx="2397672" cy="537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𝐼</m:t>
                    </m:r>
                    <m:r>
                      <a:rPr kumimoji="1" lang="en-US" altLang="ja-JP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≈</m:t>
                    </m:r>
                    <m:f>
                      <m:fPr>
                        <m:ctrlPr>
                          <a:rPr kumimoji="1" lang="en-US" altLang="ja-JP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en-US" altLang="ja-JP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𝑏</m:t>
                        </m:r>
                        <m:r>
                          <a:rPr kumimoji="1" lang="en-US" altLang="ja-JP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kumimoji="1" lang="en-US" altLang="ja-JP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𝑎</m:t>
                        </m:r>
                      </m:num>
                      <m:den>
                        <m:r>
                          <a:rPr kumimoji="1" lang="en-US" altLang="ja-JP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  <m:r>
                          <a:rPr kumimoji="1" lang="en-US" altLang="ja-JP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den>
                    </m:f>
                    <m:d>
                      <m:dPr>
                        <m:begChr m:val="["/>
                        <m:endChr m:val="]"/>
                        <m:ctrlPr>
                          <a:rPr kumimoji="1" lang="en-US" altLang="ja-JP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kumimoji="1" lang="en-US" altLang="ja-JP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</m:t>
                        </m:r>
                        <m:d>
                          <m:dPr>
                            <m:ctrlPr>
                              <a:rPr kumimoji="1" lang="en-US" altLang="ja-JP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</m:t>
                            </m:r>
                          </m:e>
                        </m:d>
                        <m:r>
                          <a:rPr kumimoji="1" lang="en-US" altLang="ja-JP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r>
                          <a:rPr kumimoji="1" lang="en-US" altLang="ja-JP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</m:t>
                        </m:r>
                        <m:d>
                          <m:dPr>
                            <m:ctrlPr>
                              <a:rPr kumimoji="1" lang="en-US" altLang="ja-JP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𝑏</m:t>
                            </m:r>
                          </m:e>
                        </m:d>
                        <m:r>
                          <a:rPr kumimoji="1" lang="en-US" altLang="ja-JP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+2</m:t>
                        </m:r>
                        <m:nary>
                          <m:naryPr>
                            <m:chr m:val="∑"/>
                            <m:ctrlPr>
                              <a:rPr kumimoji="1" lang="en-US" altLang="ja-JP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=1</m:t>
                            </m:r>
                          </m:sub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−1</m:t>
                            </m:r>
                          </m:sup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𝑓</m:t>
                            </m:r>
                            <m:d>
                              <m:d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𝑖</m:t>
                                    </m:r>
                                  </m:sub>
                                </m:sSub>
                              </m:e>
                            </m:d>
                          </m:e>
                        </m:nary>
                      </m:e>
                    </m:d>
                  </m:oMath>
                </m:oMathPara>
              </a14:m>
              <a:endParaRPr kumimoji="1" lang="ja-JP" altLang="en-US" sz="1100"/>
            </a:p>
          </xdr:txBody>
        </xdr:sp>
      </mc:Choice>
      <mc:Fallback xmlns="">
        <xdr:sp macro="" textlink="">
          <xdr:nvSpPr>
            <xdr:cNvPr id="2" name="テキスト ボックス 1">
              <a:extLst>
                <a:ext uri="{FF2B5EF4-FFF2-40B4-BE49-F238E27FC236}">
                  <a16:creationId xmlns:a16="http://schemas.microsoft.com/office/drawing/2014/main" id="{F486335A-CF02-4151-BFA8-3F8D48D22AAB}"/>
                </a:ext>
              </a:extLst>
            </xdr:cNvPr>
            <xdr:cNvSpPr txBox="1"/>
          </xdr:nvSpPr>
          <xdr:spPr>
            <a:xfrm>
              <a:off x="3480290" y="270793"/>
              <a:ext cx="2397672" cy="537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kumimoji="1" lang="en-US" altLang="ja-JP" sz="1100" b="0" i="0">
                  <a:latin typeface="Cambria Math" panose="02040503050406030204" pitchFamily="18" charset="0"/>
                </a:rPr>
                <a:t>𝐼</a:t>
              </a:r>
              <a:r>
                <a:rPr kumimoji="1" lang="en-US" altLang="ja-JP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≈(𝑏−𝑎)/2𝑛 [𝑓(𝑎)+𝑓(𝑏)+2∑24_(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𝑖=1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)^(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𝑛−1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)▒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𝑓(𝑥_𝑖 )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]</a:t>
              </a:r>
              <a:endParaRPr kumimoji="1" lang="ja-JP" altLang="en-US" sz="1100"/>
            </a:p>
          </xdr:txBody>
        </xdr:sp>
      </mc:Fallback>
    </mc:AlternateContent>
    <xdr:clientData/>
  </xdr:oneCellAnchor>
  <xdr:twoCellAnchor>
    <xdr:from>
      <xdr:col>13</xdr:col>
      <xdr:colOff>20731</xdr:colOff>
      <xdr:row>4</xdr:row>
      <xdr:rowOff>26894</xdr:rowOff>
    </xdr:from>
    <xdr:to>
      <xdr:col>19</xdr:col>
      <xdr:colOff>493619</xdr:colOff>
      <xdr:row>17</xdr:row>
      <xdr:rowOff>2241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C70E15F-EDA3-5205-E6F6-EA5AD78FB8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677261</xdr:colOff>
      <xdr:row>1</xdr:row>
      <xdr:rowOff>58463</xdr:rowOff>
    </xdr:from>
    <xdr:ext cx="3924300" cy="6236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テキスト ボックス 4">
              <a:extLst>
                <a:ext uri="{FF2B5EF4-FFF2-40B4-BE49-F238E27FC236}">
                  <a16:creationId xmlns:a16="http://schemas.microsoft.com/office/drawing/2014/main" id="{3DD0AAF6-2B54-4187-9F35-A36DC992B8F6}"/>
                </a:ext>
              </a:extLst>
            </xdr:cNvPr>
            <xdr:cNvSpPr txBox="1"/>
          </xdr:nvSpPr>
          <xdr:spPr>
            <a:xfrm>
              <a:off x="3534761" y="268670"/>
              <a:ext cx="3924300" cy="6236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𝐼</m:t>
                    </m:r>
                    <m:r>
                      <a:rPr kumimoji="1" lang="en-US" altLang="ja-JP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≈</m:t>
                    </m:r>
                    <m:f>
                      <m:fPr>
                        <m:ctrlPr>
                          <a:rPr kumimoji="1" lang="en-US" altLang="ja-JP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en-US" altLang="ja-JP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𝑏</m:t>
                        </m:r>
                        <m:r>
                          <a:rPr kumimoji="1" lang="en-US" altLang="ja-JP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kumimoji="1" lang="en-US" altLang="ja-JP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𝑎</m:t>
                        </m:r>
                      </m:num>
                      <m:den>
                        <m:r>
                          <a:rPr kumimoji="1" lang="en-US" altLang="ja-JP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  <m:r>
                          <a:rPr kumimoji="1" lang="en-US" altLang="ja-JP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den>
                    </m:f>
                    <m:d>
                      <m:dPr>
                        <m:begChr m:val="["/>
                        <m:endChr m:val="]"/>
                        <m:ctrlPr>
                          <a:rPr kumimoji="1" lang="en-US" altLang="ja-JP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kumimoji="1" lang="en-US" altLang="ja-JP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</m:t>
                        </m:r>
                        <m:d>
                          <m:dPr>
                            <m:ctrlPr>
                              <a:rPr kumimoji="1" lang="en-US" altLang="ja-JP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kumimoji="1" lang="en-US" altLang="ja-JP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kumimoji="1" lang="en-US" altLang="ja-JP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kumimoji="1" lang="en-US" altLang="ja-JP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0</m:t>
                                </m:r>
                              </m:sub>
                            </m:sSub>
                          </m:e>
                        </m:d>
                        <m:r>
                          <a:rPr kumimoji="1" lang="en-US" altLang="ja-JP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r>
                          <a:rPr kumimoji="1" lang="en-US" altLang="ja-JP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</m:t>
                        </m:r>
                        <m:d>
                          <m:dPr>
                            <m:ctrlPr>
                              <a:rPr kumimoji="1" lang="en-US" altLang="ja-JP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kumimoji="1" lang="en-US" altLang="ja-JP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kumimoji="1" lang="en-US" altLang="ja-JP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kumimoji="1" lang="en-US" altLang="ja-JP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𝑛</m:t>
                                </m:r>
                              </m:sub>
                            </m:sSub>
                          </m:e>
                        </m:d>
                        <m:r>
                          <a:rPr kumimoji="1" lang="en-US" altLang="ja-JP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r>
                          <m:rPr>
                            <m:brk m:alnAt="23"/>
                          </m:rPr>
                          <a:rPr kumimoji="1" lang="en-US" altLang="ja-JP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  <m:nary>
                          <m:naryPr>
                            <m:chr m:val="∑"/>
                            <m:ctrlPr>
                              <a:rPr kumimoji="1" lang="en-US" altLang="ja-JP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naryPr>
                          <m:sub>
                            <m:eqArr>
                              <m:eqArrPr>
                                <m:ctrlPr>
                                  <a:rPr kumimoji="1" lang="en-US" altLang="ja-JP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eqArrPr>
                              <m:e>
                                <m:r>
                                  <m:rPr>
                                    <m:brk m:alnAt="23"/>
                                  </m:rPr>
                                  <a:rPr kumimoji="1" lang="en-US" altLang="ja-JP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𝑖</m:t>
                                </m:r>
                                <m:r>
                                  <a:rPr kumimoji="1" lang="en-US" altLang="ja-JP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=1</m:t>
                                </m:r>
                              </m:e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𝑖</m:t>
                                </m:r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≡1</m:t>
                                </m:r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𝑚𝑜𝑑</m:t>
                                </m:r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 2)</m:t>
                                </m:r>
                              </m:e>
                            </m:eqArr>
                          </m:sub>
                          <m:sup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𝑛</m:t>
                            </m:r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  <m:e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𝑓</m:t>
                            </m:r>
                            <m:d>
                              <m:dPr>
                                <m:ctrlPr>
                                  <a:rPr kumimoji="1" lang="en-US" altLang="ja-JP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kumimoji="1" lang="en-US" altLang="ja-JP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kumimoji="1" lang="en-US" altLang="ja-JP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kumimoji="1" lang="en-US" altLang="ja-JP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</m:sSub>
                              </m:e>
                            </m:d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+</m:t>
                            </m:r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  <m:nary>
                              <m:naryPr>
                                <m:chr m:val="∑"/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naryPr>
                              <m:sub>
                                <m:eqArr>
                                  <m:eqArr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eqArrPr>
                                  <m:e>
                                    <m:r>
                                      <m:rPr>
                                        <m:brk m:alnAt="23"/>
                                      </m:r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𝑖</m:t>
                                    </m:r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=2</m:t>
                                    </m:r>
                                  </m:e>
                                  <m:e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𝑖</m:t>
                                    </m:r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≡0(</m:t>
                                    </m:r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𝑚𝑜𝑑</m:t>
                                    </m:r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 2</m:t>
                                    </m:r>
                                  </m:e>
                                </m:eqArr>
                              </m:sub>
                              <m:sup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𝑛</m:t>
                                </m:r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−2</m:t>
                                </m:r>
                              </m:sup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𝑓</m:t>
                                </m:r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  <m:sSub>
                                  <m:sSub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𝑗</m:t>
                                    </m:r>
                                  </m:sub>
                                </m:sSub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)</m:t>
                                </m:r>
                              </m:e>
                            </m:nary>
                          </m:e>
                        </m:nary>
                      </m:e>
                    </m:d>
                  </m:oMath>
                </m:oMathPara>
              </a14:m>
              <a:endParaRPr kumimoji="1" lang="ja-JP" altLang="en-US" sz="1100"/>
            </a:p>
          </xdr:txBody>
        </xdr:sp>
      </mc:Choice>
      <mc:Fallback xmlns="">
        <xdr:sp macro="" textlink="">
          <xdr:nvSpPr>
            <xdr:cNvPr id="5" name="テキスト ボックス 4">
              <a:extLst>
                <a:ext uri="{FF2B5EF4-FFF2-40B4-BE49-F238E27FC236}">
                  <a16:creationId xmlns:a16="http://schemas.microsoft.com/office/drawing/2014/main" id="{3DD0AAF6-2B54-4187-9F35-A36DC992B8F6}"/>
                </a:ext>
              </a:extLst>
            </xdr:cNvPr>
            <xdr:cNvSpPr txBox="1"/>
          </xdr:nvSpPr>
          <xdr:spPr>
            <a:xfrm>
              <a:off x="3534761" y="268670"/>
              <a:ext cx="3924300" cy="6236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kumimoji="1" lang="en-US" altLang="ja-JP" sz="1100" b="0" i="0">
                  <a:latin typeface="Cambria Math" panose="02040503050406030204" pitchFamily="18" charset="0"/>
                </a:rPr>
                <a:t>𝐼</a:t>
              </a:r>
              <a:r>
                <a:rPr kumimoji="1" lang="en-US" altLang="ja-JP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≈(𝑏−𝑎)/3𝑛 [𝑓(𝑥_0 )+𝑓(𝑥_𝑛 )+4∑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█(</a:t>
              </a:r>
              <a:r>
                <a:rPr kumimoji="1" lang="en-US" altLang="ja-JP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𝑖=1@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𝑖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≡1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(𝑚𝑜𝑑 2))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^(</a:t>
              </a:r>
              <a:r>
                <a:rPr kumimoji="1" lang="en-US" altLang="ja-JP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𝑛−1)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▒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〖</a:t>
              </a:r>
              <a:r>
                <a:rPr kumimoji="1" lang="en-US" altLang="ja-JP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𝑓(𝑥_𝑖 )+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2∑_█(𝑖=2@𝑖≡0(𝑚𝑜𝑑 2)^(𝑛−2)▒〖𝑓(𝑥_𝑗)〗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〗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]</a:t>
              </a:r>
              <a:endParaRPr kumimoji="1" lang="ja-JP" altLang="en-US" sz="1100"/>
            </a:p>
          </xdr:txBody>
        </xdr:sp>
      </mc:Fallback>
    </mc:AlternateContent>
    <xdr:clientData/>
  </xdr:oneCellAnchor>
  <xdr:twoCellAnchor>
    <xdr:from>
      <xdr:col>12</xdr:col>
      <xdr:colOff>657225</xdr:colOff>
      <xdr:row>3</xdr:row>
      <xdr:rowOff>171450</xdr:rowOff>
    </xdr:from>
    <xdr:to>
      <xdr:col>19</xdr:col>
      <xdr:colOff>444313</xdr:colOff>
      <xdr:row>16</xdr:row>
      <xdr:rowOff>146797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F38303A-96B6-4D32-B3AF-123A93C3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546496</xdr:colOff>
      <xdr:row>1</xdr:row>
      <xdr:rowOff>44053</xdr:rowOff>
    </xdr:from>
    <xdr:ext cx="4466035" cy="6236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テキスト ボックス 2">
              <a:extLst>
                <a:ext uri="{FF2B5EF4-FFF2-40B4-BE49-F238E27FC236}">
                  <a16:creationId xmlns:a16="http://schemas.microsoft.com/office/drawing/2014/main" id="{27570D99-1D30-4F6A-BB54-16B53216D974}"/>
                </a:ext>
              </a:extLst>
            </xdr:cNvPr>
            <xdr:cNvSpPr txBox="1"/>
          </xdr:nvSpPr>
          <xdr:spPr>
            <a:xfrm>
              <a:off x="3403996" y="252412"/>
              <a:ext cx="4466035" cy="6236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𝐼</m:t>
                    </m:r>
                    <m:r>
                      <a:rPr kumimoji="1" lang="en-US" altLang="ja-JP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≈</m:t>
                    </m:r>
                    <m:f>
                      <m:fPr>
                        <m:ctrlPr>
                          <a:rPr kumimoji="1" lang="en-US" altLang="ja-JP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en-US" altLang="ja-JP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  <m:d>
                          <m:dPr>
                            <m:ctrlPr>
                              <a:rPr kumimoji="1" lang="en-US" altLang="ja-JP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</m:t>
                            </m:r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</m:t>
                            </m:r>
                          </m:e>
                        </m:d>
                      </m:num>
                      <m:den>
                        <m:r>
                          <a:rPr kumimoji="1" lang="en-US" altLang="ja-JP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8</m:t>
                        </m:r>
                        <m:r>
                          <a:rPr kumimoji="1" lang="en-US" altLang="ja-JP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den>
                    </m:f>
                    <m:d>
                      <m:dPr>
                        <m:begChr m:val="["/>
                        <m:endChr m:val="]"/>
                        <m:ctrlPr>
                          <a:rPr kumimoji="1" lang="en-US" altLang="ja-JP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kumimoji="1" lang="en-US" altLang="ja-JP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</m:t>
                        </m:r>
                        <m:d>
                          <m:dPr>
                            <m:ctrlPr>
                              <a:rPr kumimoji="1" lang="en-US" altLang="ja-JP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kumimoji="1" lang="en-US" altLang="ja-JP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kumimoji="1" lang="en-US" altLang="ja-JP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kumimoji="1" lang="en-US" altLang="ja-JP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0</m:t>
                                </m:r>
                              </m:sub>
                            </m:sSub>
                          </m:e>
                        </m:d>
                        <m:r>
                          <a:rPr kumimoji="1" lang="en-US" altLang="ja-JP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r>
                          <a:rPr kumimoji="1" lang="en-US" altLang="ja-JP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</m:t>
                        </m:r>
                        <m:d>
                          <m:dPr>
                            <m:ctrlPr>
                              <a:rPr kumimoji="1" lang="en-US" altLang="ja-JP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kumimoji="1" lang="en-US" altLang="ja-JP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kumimoji="1" lang="en-US" altLang="ja-JP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kumimoji="1" lang="en-US" altLang="ja-JP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𝑛</m:t>
                                </m:r>
                              </m:sub>
                            </m:sSub>
                          </m:e>
                        </m:d>
                        <m:r>
                          <a:rPr kumimoji="1" lang="en-US" altLang="ja-JP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+3</m:t>
                        </m:r>
                        <m:nary>
                          <m:naryPr>
                            <m:chr m:val="∑"/>
                            <m:ctrlPr>
                              <a:rPr kumimoji="1" lang="en-US" altLang="ja-JP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naryPr>
                          <m:sub>
                            <m:eqArr>
                              <m:eqArrPr>
                                <m:ctrlPr>
                                  <a:rPr kumimoji="1" lang="en-US" altLang="ja-JP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eqArrPr>
                              <m:e>
                                <m:r>
                                  <m:rPr>
                                    <m:brk m:alnAt="23"/>
                                  </m:rPr>
                                  <a:rPr kumimoji="1" lang="en-US" altLang="ja-JP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𝑖</m:t>
                                </m:r>
                                <m:r>
                                  <a:rPr kumimoji="1" lang="en-US" altLang="ja-JP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=1</m:t>
                                </m:r>
                              </m:e>
                              <m:e>
                                <m:r>
                                  <a:rPr kumimoji="1" lang="en-US" altLang="ja-JP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𝑖</m:t>
                                </m:r>
                                <m:r>
                                  <a:rPr kumimoji="1" lang="en-US" altLang="ja-JP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≢0(</m:t>
                                </m:r>
                                <m:r>
                                  <a:rPr kumimoji="1" lang="en-US" altLang="ja-JP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𝑚𝑜𝑑</m:t>
                                </m:r>
                                <m:r>
                                  <a:rPr kumimoji="1" lang="en-US" altLang="ja-JP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 3)</m:t>
                                </m:r>
                              </m:e>
                            </m:eqArr>
                          </m:sub>
                          <m:sup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𝑛</m:t>
                            </m:r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sup>
                          <m:e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𝑓</m:t>
                            </m:r>
                            <m:d>
                              <m:dPr>
                                <m:ctrlPr>
                                  <a:rPr kumimoji="1" lang="en-US" altLang="ja-JP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kumimoji="1" lang="en-US" altLang="ja-JP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kumimoji="1" lang="en-US" altLang="ja-JP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kumimoji="1" lang="en-US" altLang="ja-JP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</m:sSub>
                              </m:e>
                            </m:d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+</m:t>
                            </m:r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  <m:nary>
                              <m:naryPr>
                                <m:chr m:val="∑"/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naryPr>
                              <m:sub>
                                <m:eqArr>
                                  <m:eqArr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eqArrPr>
                                  <m:e>
                                    <m:r>
                                      <m:rPr>
                                        <m:brk m:alnAt="23"/>
                                      </m:r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𝑖</m:t>
                                    </m:r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=3</m:t>
                                    </m:r>
                                  </m:e>
                                  <m:e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𝑖</m:t>
                                    </m:r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≡</m:t>
                                    </m:r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0(</m:t>
                                    </m:r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𝑚𝑜𝑑</m:t>
                                    </m:r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 3)</m:t>
                                    </m:r>
                                  </m:e>
                                </m:eqArr>
                              </m:sub>
                              <m:sup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𝑛</m:t>
                                </m:r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−3</m:t>
                                </m:r>
                              </m:sup>
                              <m:e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𝑓</m:t>
                                </m:r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  <m:sSub>
                                  <m:sSubPr>
                                    <m:ctrlP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kumimoji="1" lang="en-US" altLang="ja-JP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𝑖</m:t>
                                    </m:r>
                                  </m:sub>
                                </m:sSub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)</m:t>
                                </m:r>
                              </m:e>
                            </m:nary>
                          </m:e>
                        </m:nary>
                      </m:e>
                    </m:d>
                  </m:oMath>
                </m:oMathPara>
              </a14:m>
              <a:endParaRPr kumimoji="1" lang="ja-JP" altLang="en-US" sz="1100"/>
            </a:p>
          </xdr:txBody>
        </xdr:sp>
      </mc:Choice>
      <mc:Fallback xmlns="">
        <xdr:sp macro="" textlink="">
          <xdr:nvSpPr>
            <xdr:cNvPr id="3" name="テキスト ボックス 2">
              <a:extLst>
                <a:ext uri="{FF2B5EF4-FFF2-40B4-BE49-F238E27FC236}">
                  <a16:creationId xmlns:a16="http://schemas.microsoft.com/office/drawing/2014/main" id="{27570D99-1D30-4F6A-BB54-16B53216D974}"/>
                </a:ext>
              </a:extLst>
            </xdr:cNvPr>
            <xdr:cNvSpPr txBox="1"/>
          </xdr:nvSpPr>
          <xdr:spPr>
            <a:xfrm>
              <a:off x="3403996" y="252412"/>
              <a:ext cx="4466035" cy="6236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kumimoji="1" lang="en-US" altLang="ja-JP" sz="1100" b="0" i="0">
                  <a:latin typeface="Cambria Math" panose="02040503050406030204" pitchFamily="18" charset="0"/>
                </a:rPr>
                <a:t>𝐼</a:t>
              </a:r>
              <a:r>
                <a:rPr kumimoji="1" lang="en-US" altLang="ja-JP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≈3(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𝑏−𝑎)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/</a:t>
              </a:r>
              <a:r>
                <a:rPr kumimoji="1" lang="en-US" altLang="ja-JP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8𝑛 [𝑓(𝑥_0 )+𝑓(𝑥_𝑛 )+3∑_█(𝑖=1@𝑖≢0(𝑚𝑜𝑑 3))^(𝑛−1)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▒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〖</a:t>
              </a:r>
              <a:r>
                <a:rPr kumimoji="1" lang="en-US" altLang="ja-JP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𝑓(𝑥_𝑖 )+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2∑_█(𝑖=3@𝑖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≡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0(𝑚𝑜𝑑 3))^(𝑛−3)▒〖𝑓(𝑥_𝑖)〗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〗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]</a:t>
              </a:r>
              <a:endParaRPr kumimoji="1" lang="ja-JP" altLang="en-US" sz="1100"/>
            </a:p>
          </xdr:txBody>
        </xdr:sp>
      </mc:Fallback>
    </mc:AlternateContent>
    <xdr:clientData/>
  </xdr:oneCellAnchor>
  <xdr:twoCellAnchor>
    <xdr:from>
      <xdr:col>12</xdr:col>
      <xdr:colOff>11206</xdr:colOff>
      <xdr:row>6</xdr:row>
      <xdr:rowOff>33617</xdr:rowOff>
    </xdr:from>
    <xdr:to>
      <xdr:col>18</xdr:col>
      <xdr:colOff>497541</xdr:colOff>
      <xdr:row>18</xdr:row>
      <xdr:rowOff>178173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0ADE16D-276C-4A3D-813A-4EF355D667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7929E-40F3-43FF-9A76-1495919573AD}">
  <dimension ref="A1:H34"/>
  <sheetViews>
    <sheetView showGridLines="0" tabSelected="1" zoomScaleNormal="100" workbookViewId="0">
      <selection activeCell="F6" sqref="F6"/>
    </sheetView>
  </sheetViews>
  <sheetFormatPr defaultRowHeight="16.5" x14ac:dyDescent="0.15"/>
  <cols>
    <col min="1" max="1" width="18" style="1" bestFit="1" customWidth="1"/>
    <col min="2" max="20" width="9" style="1"/>
    <col min="21" max="21" width="11.125" style="1" bestFit="1" customWidth="1"/>
    <col min="22" max="24" width="9" style="1"/>
    <col min="25" max="25" width="10.375" style="1" bestFit="1" customWidth="1"/>
    <col min="26" max="16384" width="9" style="1"/>
  </cols>
  <sheetData>
    <row r="1" spans="1:8" x14ac:dyDescent="0.15">
      <c r="A1" s="7" t="s">
        <v>2</v>
      </c>
      <c r="B1" s="8">
        <f>200*((15*(1-EXP(-2)))-(5*EXP(1/3))*($C$13-$G$13))</f>
        <v>1480.5684800858423</v>
      </c>
    </row>
    <row r="2" spans="1:8" ht="17.25" thickBot="1" x14ac:dyDescent="0.2">
      <c r="A2" s="9" t="s">
        <v>3</v>
      </c>
      <c r="B2" s="10">
        <f>((150-600*EXP(-2))+(25*EXP(1/3))*($C$13-$G$13))/(15*(1-EXP(-2))+(-(5*EXP(1/3))*($C$13-$G$13)))</f>
        <v>13.053698375037346</v>
      </c>
    </row>
    <row r="13" spans="1:8" x14ac:dyDescent="0.15">
      <c r="B13" s="1" t="s">
        <v>12</v>
      </c>
      <c r="C13" s="1">
        <f>0.5772156649+LN(ABS(B15))+SUM(D15:D34)</f>
        <v>-3.1083390652118847E-2</v>
      </c>
      <c r="F13" s="1" t="s">
        <v>13</v>
      </c>
      <c r="G13" s="1">
        <f>0.5772156649+LN(ABS(F15))+SUM(H15:H34)</f>
        <v>-0.82888774535011955</v>
      </c>
    </row>
    <row r="14" spans="1:8" x14ac:dyDescent="0.15">
      <c r="B14" s="11" t="s">
        <v>9</v>
      </c>
      <c r="C14" s="11" t="s">
        <v>10</v>
      </c>
      <c r="D14" s="11" t="s">
        <v>11</v>
      </c>
      <c r="F14" s="38" t="s">
        <v>9</v>
      </c>
      <c r="G14" s="11" t="s">
        <v>10</v>
      </c>
      <c r="H14" s="11" t="s">
        <v>11</v>
      </c>
    </row>
    <row r="15" spans="1:8" x14ac:dyDescent="0.15">
      <c r="B15" s="6">
        <f>-7/3</f>
        <v>-2.3333333333333335</v>
      </c>
      <c r="C15" s="5">
        <v>1</v>
      </c>
      <c r="D15" s="5">
        <f t="shared" ref="D15:D34" si="0">($B$15^C15)/(C15*(FACT(C15)))</f>
        <v>-2.3333333333333335</v>
      </c>
      <c r="F15" s="39">
        <f>-1/3</f>
        <v>-0.33333333333333331</v>
      </c>
      <c r="G15" s="5">
        <v>1</v>
      </c>
      <c r="H15" s="5">
        <f t="shared" ref="H15:H34" si="1">($F$15^G15)/(G15*(FACT(G15)))</f>
        <v>-0.33333333333333331</v>
      </c>
    </row>
    <row r="16" spans="1:8" x14ac:dyDescent="0.15">
      <c r="C16" s="5">
        <v>2</v>
      </c>
      <c r="D16" s="5">
        <f t="shared" si="0"/>
        <v>1.3611111111111114</v>
      </c>
      <c r="G16" s="5">
        <v>2</v>
      </c>
      <c r="H16" s="5">
        <f t="shared" si="1"/>
        <v>2.7777777777777776E-2</v>
      </c>
    </row>
    <row r="17" spans="3:8" x14ac:dyDescent="0.15">
      <c r="C17" s="5">
        <v>3</v>
      </c>
      <c r="D17" s="5">
        <f t="shared" si="0"/>
        <v>-0.70576131687242816</v>
      </c>
      <c r="G17" s="5">
        <v>3</v>
      </c>
      <c r="H17" s="5">
        <f t="shared" si="1"/>
        <v>-2.0576131687242796E-3</v>
      </c>
    </row>
    <row r="18" spans="3:8" x14ac:dyDescent="0.15">
      <c r="C18" s="5">
        <v>4</v>
      </c>
      <c r="D18" s="5">
        <f t="shared" si="0"/>
        <v>0.3087705761316874</v>
      </c>
      <c r="G18" s="5">
        <v>4</v>
      </c>
      <c r="H18" s="5">
        <f t="shared" si="1"/>
        <v>1.2860082304526747E-4</v>
      </c>
    </row>
    <row r="19" spans="3:8" x14ac:dyDescent="0.15">
      <c r="C19" s="5">
        <v>5</v>
      </c>
      <c r="D19" s="5">
        <f t="shared" si="0"/>
        <v>-0.11527434842249663</v>
      </c>
      <c r="G19" s="5">
        <v>5</v>
      </c>
      <c r="H19" s="5">
        <f t="shared" si="1"/>
        <v>-6.8587105624142652E-6</v>
      </c>
    </row>
    <row r="20" spans="3:8" x14ac:dyDescent="0.15">
      <c r="C20" s="5">
        <v>6</v>
      </c>
      <c r="D20" s="5">
        <f t="shared" si="0"/>
        <v>3.7357427729512803E-2</v>
      </c>
      <c r="G20" s="5">
        <v>6</v>
      </c>
      <c r="H20" s="5">
        <f t="shared" si="1"/>
        <v>3.1753289640806785E-7</v>
      </c>
    </row>
    <row r="21" spans="3:8" x14ac:dyDescent="0.15">
      <c r="C21" s="5">
        <v>7</v>
      </c>
      <c r="D21" s="5">
        <f t="shared" si="0"/>
        <v>-1.0673550779860801E-2</v>
      </c>
      <c r="G21" s="5">
        <v>7</v>
      </c>
      <c r="H21" s="5">
        <f t="shared" si="1"/>
        <v>-1.2960526384002769E-8</v>
      </c>
    </row>
    <row r="22" spans="3:8" x14ac:dyDescent="0.15">
      <c r="C22" s="5">
        <v>8</v>
      </c>
      <c r="D22" s="5">
        <f t="shared" si="0"/>
        <v>2.7239791052769756E-3</v>
      </c>
      <c r="G22" s="5">
        <v>8</v>
      </c>
      <c r="H22" s="5">
        <f t="shared" si="1"/>
        <v>4.7251919108343429E-10</v>
      </c>
    </row>
    <row r="23" spans="3:8" x14ac:dyDescent="0.15">
      <c r="C23" s="5">
        <v>9</v>
      </c>
      <c r="D23" s="5">
        <f t="shared" si="0"/>
        <v>-6.2774827117494092E-4</v>
      </c>
      <c r="G23" s="5">
        <v>9</v>
      </c>
      <c r="H23" s="5">
        <f t="shared" si="1"/>
        <v>-1.5556187360771498E-11</v>
      </c>
    </row>
    <row r="24" spans="3:8" x14ac:dyDescent="0.15">
      <c r="C24" s="5">
        <v>10</v>
      </c>
      <c r="D24" s="5">
        <f t="shared" si="0"/>
        <v>1.3182713694673761E-4</v>
      </c>
      <c r="G24" s="5">
        <v>10</v>
      </c>
      <c r="H24" s="5">
        <f t="shared" si="1"/>
        <v>4.6668562082314494E-13</v>
      </c>
    </row>
    <row r="25" spans="3:8" x14ac:dyDescent="0.15">
      <c r="C25" s="5">
        <v>11</v>
      </c>
      <c r="D25" s="5">
        <f t="shared" si="0"/>
        <v>-2.5421210981464557E-5</v>
      </c>
      <c r="G25" s="5">
        <v>11</v>
      </c>
      <c r="H25" s="5">
        <f t="shared" si="1"/>
        <v>-1.2856353190720246E-14</v>
      </c>
    </row>
    <row r="26" spans="3:8" x14ac:dyDescent="0.15">
      <c r="C26" s="5">
        <v>12</v>
      </c>
      <c r="D26" s="5">
        <f t="shared" si="0"/>
        <v>4.5310954758628965E-6</v>
      </c>
      <c r="G26" s="5">
        <v>12</v>
      </c>
      <c r="H26" s="5">
        <f t="shared" si="1"/>
        <v>3.2736084513408033E-16</v>
      </c>
    </row>
    <row r="27" spans="3:8" x14ac:dyDescent="0.15">
      <c r="C27" s="5">
        <v>13</v>
      </c>
      <c r="D27" s="5">
        <f t="shared" si="0"/>
        <v>-7.5071404333823135E-7</v>
      </c>
      <c r="G27" s="5">
        <v>13</v>
      </c>
      <c r="H27" s="5">
        <f t="shared" si="1"/>
        <v>-7.7481856836468714E-18</v>
      </c>
    </row>
    <row r="28" spans="3:8" x14ac:dyDescent="0.15">
      <c r="C28" s="5">
        <v>14</v>
      </c>
      <c r="D28" s="5">
        <f t="shared" si="0"/>
        <v>1.1618193527853584E-7</v>
      </c>
      <c r="G28" s="5">
        <v>14</v>
      </c>
      <c r="H28" s="5">
        <f t="shared" si="1"/>
        <v>1.713034249785873E-19</v>
      </c>
    </row>
    <row r="29" spans="3:8" x14ac:dyDescent="0.15">
      <c r="C29" s="5">
        <v>15</v>
      </c>
      <c r="D29" s="5">
        <f t="shared" si="0"/>
        <v>-1.6867895788587425E-8</v>
      </c>
      <c r="G29" s="5">
        <v>15</v>
      </c>
      <c r="H29" s="5">
        <f t="shared" si="1"/>
        <v>-3.5529599254818097E-21</v>
      </c>
    </row>
    <row r="30" spans="3:8" x14ac:dyDescent="0.15">
      <c r="C30" s="5">
        <v>16</v>
      </c>
      <c r="D30" s="5">
        <f t="shared" si="0"/>
        <v>2.3061576273459375E-9</v>
      </c>
      <c r="G30" s="5">
        <v>16</v>
      </c>
      <c r="H30" s="5">
        <f t="shared" si="1"/>
        <v>6.9393748544566602E-23</v>
      </c>
    </row>
    <row r="31" spans="3:8" x14ac:dyDescent="0.15">
      <c r="C31" s="5">
        <v>17</v>
      </c>
      <c r="D31" s="5">
        <f t="shared" si="0"/>
        <v>-2.9791194263292387E-10</v>
      </c>
      <c r="G31" s="5">
        <v>17</v>
      </c>
      <c r="H31" s="5">
        <f t="shared" si="1"/>
        <v>-1.2806228105110331E-24</v>
      </c>
    </row>
    <row r="32" spans="3:8" x14ac:dyDescent="0.15">
      <c r="C32" s="5">
        <v>18</v>
      </c>
      <c r="D32" s="5">
        <f t="shared" si="0"/>
        <v>3.6472758408763313E-11</v>
      </c>
      <c r="G32" s="5">
        <v>18</v>
      </c>
      <c r="H32" s="5">
        <f t="shared" si="1"/>
        <v>2.2397724052147698E-26</v>
      </c>
    </row>
    <row r="33" spans="3:8" x14ac:dyDescent="0.15">
      <c r="C33" s="5">
        <v>19</v>
      </c>
      <c r="D33" s="5">
        <f t="shared" si="0"/>
        <v>-4.2433680143159547E-12</v>
      </c>
      <c r="G33" s="5">
        <v>19</v>
      </c>
      <c r="H33" s="5">
        <f t="shared" si="1"/>
        <v>-3.7226134158694231E-28</v>
      </c>
    </row>
    <row r="34" spans="3:8" x14ac:dyDescent="0.15">
      <c r="C34" s="5">
        <v>20</v>
      </c>
      <c r="D34" s="5">
        <f t="shared" si="0"/>
        <v>4.7030662158668496E-13</v>
      </c>
      <c r="G34" s="5">
        <v>20</v>
      </c>
      <c r="H34" s="5">
        <f t="shared" si="1"/>
        <v>5.8941379084599207E-30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E2E6D-59EA-407B-A980-6078C40846F9}">
  <dimension ref="A1:K607"/>
  <sheetViews>
    <sheetView showGridLines="0" zoomScaleNormal="100" workbookViewId="0">
      <selection activeCell="I24" sqref="I24"/>
    </sheetView>
  </sheetViews>
  <sheetFormatPr defaultRowHeight="16.5" x14ac:dyDescent="0.15"/>
  <cols>
    <col min="1" max="1" width="15.5" style="1" bestFit="1" customWidth="1"/>
    <col min="2" max="2" width="8" style="1" bestFit="1" customWidth="1"/>
    <col min="3" max="3" width="6" style="1" bestFit="1" customWidth="1"/>
    <col min="4" max="4" width="7" style="1" bestFit="1" customWidth="1"/>
    <col min="5" max="8" width="9" style="1"/>
    <col min="9" max="9" width="11.25" style="1" bestFit="1" customWidth="1"/>
    <col min="10" max="10" width="12.25" style="1" bestFit="1" customWidth="1"/>
    <col min="11" max="11" width="7.75" style="1" bestFit="1" customWidth="1"/>
    <col min="12" max="16384" width="9" style="1"/>
  </cols>
  <sheetData>
    <row r="1" spans="1:11" x14ac:dyDescent="0.15">
      <c r="A1" s="34" t="s">
        <v>1</v>
      </c>
      <c r="B1" s="35">
        <v>30</v>
      </c>
    </row>
    <row r="2" spans="1:11" x14ac:dyDescent="0.15">
      <c r="A2" s="21" t="s">
        <v>7</v>
      </c>
      <c r="B2" s="29">
        <v>61</v>
      </c>
    </row>
    <row r="3" spans="1:11" x14ac:dyDescent="0.15">
      <c r="A3" s="21" t="s">
        <v>2</v>
      </c>
      <c r="B3" s="36">
        <f>(($B$67-$B$7)/(2*$B$2))*(($C$7+$C$67)+(2*SUM($C$8:$C$66)))</f>
        <v>1451.2841567743167</v>
      </c>
    </row>
    <row r="4" spans="1:11" ht="17.25" thickBot="1" x14ac:dyDescent="0.2">
      <c r="A4" s="22" t="s">
        <v>3</v>
      </c>
      <c r="B4" s="37">
        <f>(($B$607-$B$7)/(2*$B$2))*(($D$7+$D$607)+(2*SUM($D$8:$D$606)))/$B$3</f>
        <v>-0.22021810915667953</v>
      </c>
    </row>
    <row r="6" spans="1:11" x14ac:dyDescent="0.15">
      <c r="A6" s="11" t="s">
        <v>8</v>
      </c>
      <c r="B6" s="11" t="s">
        <v>0</v>
      </c>
      <c r="C6" s="11" t="s">
        <v>4</v>
      </c>
      <c r="D6" s="11" t="s">
        <v>5</v>
      </c>
    </row>
    <row r="7" spans="1:11" ht="17.25" thickBot="1" x14ac:dyDescent="0.2">
      <c r="A7" s="11">
        <v>1</v>
      </c>
      <c r="B7" s="5">
        <f>$B$1/$B$2*A7</f>
        <v>0.49180327868852458</v>
      </c>
      <c r="C7" s="6">
        <f>200*(B7/(5+B7))*EXP(-2*B7/$B$1)</f>
        <v>17.332742297992553</v>
      </c>
      <c r="D7" s="6">
        <f>B7*C7</f>
        <v>8.5242994908160092</v>
      </c>
    </row>
    <row r="8" spans="1:11" ht="17.25" thickBot="1" x14ac:dyDescent="0.2">
      <c r="A8" s="11">
        <v>2</v>
      </c>
      <c r="B8" s="5">
        <f>$B$1/$B$2*A8</f>
        <v>0.98360655737704916</v>
      </c>
      <c r="C8" s="6">
        <f t="shared" ref="C8:C67" si="0">200*(B8/(5+B8))*EXP(-2*B8/$B$1)</f>
        <v>30.790025948573891</v>
      </c>
      <c r="D8" s="6">
        <f t="shared" ref="D8:D67" si="1">B8*C8</f>
        <v>30.285271424826778</v>
      </c>
      <c r="I8" s="19" t="s">
        <v>14</v>
      </c>
      <c r="J8" s="27" t="s">
        <v>15</v>
      </c>
      <c r="K8" s="23" t="s">
        <v>16</v>
      </c>
    </row>
    <row r="9" spans="1:11" x14ac:dyDescent="0.15">
      <c r="A9" s="11">
        <v>3</v>
      </c>
      <c r="B9" s="5">
        <f t="shared" ref="B9:B67" si="2">$B$1/$B$2*A9</f>
        <v>1.4754098360655736</v>
      </c>
      <c r="C9" s="6">
        <f t="shared" si="0"/>
        <v>41.300748208831109</v>
      </c>
      <c r="D9" s="6">
        <f t="shared" si="1"/>
        <v>60.935530144177044</v>
      </c>
      <c r="I9" s="20">
        <v>61</v>
      </c>
      <c r="J9" s="28">
        <v>1451.28</v>
      </c>
      <c r="K9" s="24">
        <f>(ABS(J9-'Hand Calculation'!$B$1)/'Hand Calculation'!$B$1)</f>
        <v>1.9781915176354584E-2</v>
      </c>
    </row>
    <row r="10" spans="1:11" x14ac:dyDescent="0.15">
      <c r="A10" s="11">
        <v>4</v>
      </c>
      <c r="B10" s="5">
        <f t="shared" si="2"/>
        <v>1.9672131147540983</v>
      </c>
      <c r="C10" s="6">
        <f t="shared" si="0"/>
        <v>49.529695531205157</v>
      </c>
      <c r="D10" s="6">
        <f t="shared" si="1"/>
        <v>97.435466618764238</v>
      </c>
      <c r="I10" s="21">
        <v>101</v>
      </c>
      <c r="J10" s="29">
        <v>1463.99</v>
      </c>
      <c r="K10" s="25">
        <f>(ABS(J10-'Hand Calculation'!$B$1)/'Hand Calculation'!$B$1)</f>
        <v>1.1197374730604235E-2</v>
      </c>
    </row>
    <row r="11" spans="1:11" x14ac:dyDescent="0.15">
      <c r="A11" s="11">
        <v>5</v>
      </c>
      <c r="B11" s="5">
        <f t="shared" si="2"/>
        <v>2.459016393442623</v>
      </c>
      <c r="C11" s="6">
        <f t="shared" si="0"/>
        <v>55.96468212656422</v>
      </c>
      <c r="D11" s="6">
        <f t="shared" si="1"/>
        <v>137.61807080302677</v>
      </c>
      <c r="I11" s="21">
        <v>201</v>
      </c>
      <c r="J11" s="29">
        <v>1472.7</v>
      </c>
      <c r="K11" s="25">
        <f>(ABS(J11-'Hand Calculation'!$B$1)/'Hand Calculation'!$B$1)</f>
        <v>5.3144992559790846E-3</v>
      </c>
    </row>
    <row r="12" spans="1:11" ht="17.25" thickBot="1" x14ac:dyDescent="0.2">
      <c r="A12" s="11">
        <v>6</v>
      </c>
      <c r="B12" s="5">
        <f t="shared" si="2"/>
        <v>2.9508196721311473</v>
      </c>
      <c r="C12" s="6">
        <f t="shared" si="0"/>
        <v>60.971345934045978</v>
      </c>
      <c r="D12" s="6">
        <f t="shared" si="1"/>
        <v>179.91544701849631</v>
      </c>
      <c r="I12" s="22">
        <v>601</v>
      </c>
      <c r="J12" s="30">
        <v>1478.05</v>
      </c>
      <c r="K12" s="26">
        <f>(ABS(J12-'Hand Calculation'!$B$1)/'Hand Calculation'!$B$1)</f>
        <v>1.7010223570991896E-3</v>
      </c>
    </row>
    <row r="13" spans="1:11" x14ac:dyDescent="0.15">
      <c r="A13" s="11">
        <v>7</v>
      </c>
      <c r="B13" s="5">
        <f t="shared" si="2"/>
        <v>3.442622950819672</v>
      </c>
      <c r="C13" s="6">
        <f t="shared" si="0"/>
        <v>64.828790328448918</v>
      </c>
      <c r="D13" s="6">
        <f t="shared" si="1"/>
        <v>223.18108145859463</v>
      </c>
    </row>
    <row r="14" spans="1:11" x14ac:dyDescent="0.15">
      <c r="A14" s="11">
        <v>8</v>
      </c>
      <c r="B14" s="5">
        <f t="shared" si="2"/>
        <v>3.9344262295081966</v>
      </c>
      <c r="C14" s="6">
        <f t="shared" si="0"/>
        <v>67.753452187558551</v>
      </c>
      <c r="D14" s="6">
        <f t="shared" si="1"/>
        <v>266.57095942645986</v>
      </c>
    </row>
    <row r="15" spans="1:11" x14ac:dyDescent="0.15">
      <c r="A15" s="11">
        <v>9</v>
      </c>
      <c r="B15" s="5">
        <f t="shared" si="2"/>
        <v>4.4262295081967213</v>
      </c>
      <c r="C15" s="6">
        <f t="shared" si="0"/>
        <v>69.915496331362334</v>
      </c>
      <c r="D15" s="6">
        <f t="shared" si="1"/>
        <v>309.46203294209556</v>
      </c>
    </row>
    <row r="16" spans="1:11" x14ac:dyDescent="0.15">
      <c r="A16" s="11">
        <v>10</v>
      </c>
      <c r="B16" s="5">
        <f t="shared" si="2"/>
        <v>4.918032786885246</v>
      </c>
      <c r="C16" s="6">
        <f t="shared" si="0"/>
        <v>71.450330552650698</v>
      </c>
      <c r="D16" s="6">
        <f t="shared" si="1"/>
        <v>351.39506829172473</v>
      </c>
    </row>
    <row r="17" spans="1:4" x14ac:dyDescent="0.15">
      <c r="A17" s="11">
        <v>11</v>
      </c>
      <c r="B17" s="5">
        <f t="shared" si="2"/>
        <v>5.4098360655737707</v>
      </c>
      <c r="C17" s="6">
        <f t="shared" si="0"/>
        <v>72.466854963714852</v>
      </c>
      <c r="D17" s="6">
        <f t="shared" si="1"/>
        <v>392.03380554140824</v>
      </c>
    </row>
    <row r="18" spans="1:4" x14ac:dyDescent="0.15">
      <c r="A18" s="11">
        <v>12</v>
      </c>
      <c r="B18" s="5">
        <f t="shared" si="2"/>
        <v>5.9016393442622945</v>
      </c>
      <c r="C18" s="6">
        <f t="shared" si="0"/>
        <v>73.053476984775855</v>
      </c>
      <c r="D18" s="6">
        <f t="shared" si="1"/>
        <v>431.13527400851319</v>
      </c>
    </row>
    <row r="19" spans="1:4" x14ac:dyDescent="0.15">
      <c r="A19" s="11">
        <v>13</v>
      </c>
      <c r="B19" s="5">
        <f t="shared" si="2"/>
        <v>6.3934426229508192</v>
      </c>
      <c r="C19" s="6">
        <f t="shared" si="0"/>
        <v>73.282567156534753</v>
      </c>
      <c r="D19" s="6">
        <f t="shared" si="1"/>
        <v>468.5278883778451</v>
      </c>
    </row>
    <row r="20" spans="1:4" x14ac:dyDescent="0.15">
      <c r="A20" s="11">
        <v>14</v>
      </c>
      <c r="B20" s="5">
        <f t="shared" si="2"/>
        <v>6.8852459016393439</v>
      </c>
      <c r="C20" s="6">
        <f t="shared" si="0"/>
        <v>73.213807448717517</v>
      </c>
      <c r="D20" s="6">
        <f t="shared" si="1"/>
        <v>504.09506767969435</v>
      </c>
    </row>
    <row r="21" spans="1:4" x14ac:dyDescent="0.15">
      <c r="A21" s="11">
        <v>15</v>
      </c>
      <c r="B21" s="5">
        <f t="shared" si="2"/>
        <v>7.3770491803278686</v>
      </c>
      <c r="C21" s="6">
        <f t="shared" si="0"/>
        <v>72.896740156948312</v>
      </c>
      <c r="D21" s="6">
        <f t="shared" si="1"/>
        <v>537.76283722338917</v>
      </c>
    </row>
    <row r="22" spans="1:4" x14ac:dyDescent="0.15">
      <c r="A22" s="11">
        <v>16</v>
      </c>
      <c r="B22" s="5">
        <f t="shared" si="2"/>
        <v>7.8688524590163933</v>
      </c>
      <c r="C22" s="6">
        <f t="shared" si="0"/>
        <v>72.372731284852577</v>
      </c>
      <c r="D22" s="6">
        <f t="shared" si="1"/>
        <v>569.49034453654485</v>
      </c>
    </row>
    <row r="23" spans="1:4" x14ac:dyDescent="0.15">
      <c r="A23" s="11">
        <v>17</v>
      </c>
      <c r="B23" s="5">
        <f t="shared" si="2"/>
        <v>8.3606557377049171</v>
      </c>
      <c r="C23" s="6">
        <f t="shared" si="0"/>
        <v>71.676499318763192</v>
      </c>
      <c r="D23" s="6">
        <f t="shared" si="1"/>
        <v>599.2625352880201</v>
      </c>
    </row>
    <row r="24" spans="1:4" x14ac:dyDescent="0.15">
      <c r="A24" s="11">
        <v>18</v>
      </c>
      <c r="B24" s="5">
        <f t="shared" si="2"/>
        <v>8.8524590163934427</v>
      </c>
      <c r="C24" s="6">
        <f t="shared" si="0"/>
        <v>70.837317439758152</v>
      </c>
      <c r="D24" s="6">
        <f t="shared" si="1"/>
        <v>627.08444946671148</v>
      </c>
    </row>
    <row r="25" spans="1:4" x14ac:dyDescent="0.15">
      <c r="A25" s="11">
        <v>19</v>
      </c>
      <c r="B25" s="5">
        <f t="shared" si="2"/>
        <v>9.3442622950819665</v>
      </c>
      <c r="C25" s="6">
        <f t="shared" si="0"/>
        <v>69.879967581349973</v>
      </c>
      <c r="D25" s="6">
        <f t="shared" si="1"/>
        <v>652.97674625195873</v>
      </c>
    </row>
    <row r="26" spans="1:4" x14ac:dyDescent="0.15">
      <c r="A26" s="11">
        <v>20</v>
      </c>
      <c r="B26" s="5">
        <f t="shared" si="2"/>
        <v>9.8360655737704921</v>
      </c>
      <c r="C26" s="6">
        <f t="shared" si="0"/>
        <v>68.825503946585556</v>
      </c>
      <c r="D26" s="6">
        <f t="shared" si="1"/>
        <v>676.97216996641532</v>
      </c>
    </row>
    <row r="27" spans="1:4" x14ac:dyDescent="0.15">
      <c r="A27" s="11">
        <v>21</v>
      </c>
      <c r="B27" s="5">
        <f t="shared" si="2"/>
        <v>10.327868852459016</v>
      </c>
      <c r="C27" s="6">
        <f t="shared" si="0"/>
        <v>67.691868808641587</v>
      </c>
      <c r="D27" s="6">
        <f t="shared" si="1"/>
        <v>699.11274343351147</v>
      </c>
    </row>
    <row r="28" spans="1:4" x14ac:dyDescent="0.15">
      <c r="A28" s="11">
        <v>22</v>
      </c>
      <c r="B28" s="5">
        <f t="shared" si="2"/>
        <v>10.819672131147541</v>
      </c>
      <c r="C28" s="6">
        <f t="shared" si="0"/>
        <v>66.494392767411071</v>
      </c>
      <c r="D28" s="6">
        <f t="shared" si="1"/>
        <v>719.44752830313621</v>
      </c>
    </row>
    <row r="29" spans="1:4" x14ac:dyDescent="0.15">
      <c r="A29" s="11">
        <v>23</v>
      </c>
      <c r="B29" s="5">
        <f t="shared" si="2"/>
        <v>11.311475409836065</v>
      </c>
      <c r="C29" s="6">
        <f t="shared" si="0"/>
        <v>65.246203873404284</v>
      </c>
      <c r="D29" s="6">
        <f t="shared" si="1"/>
        <v>738.03083069916318</v>
      </c>
    </row>
    <row r="30" spans="1:4" x14ac:dyDescent="0.15">
      <c r="A30" s="11">
        <v>24</v>
      </c>
      <c r="B30" s="5">
        <f t="shared" si="2"/>
        <v>11.803278688524589</v>
      </c>
      <c r="C30" s="6">
        <f t="shared" si="0"/>
        <v>63.958564313555797</v>
      </c>
      <c r="D30" s="6">
        <f t="shared" si="1"/>
        <v>754.92075911082247</v>
      </c>
    </row>
    <row r="31" spans="1:4" x14ac:dyDescent="0.15">
      <c r="A31" s="11">
        <v>25</v>
      </c>
      <c r="B31" s="5">
        <f t="shared" si="2"/>
        <v>12.295081967213115</v>
      </c>
      <c r="C31" s="6">
        <f t="shared" si="0"/>
        <v>62.641149099880622</v>
      </c>
      <c r="D31" s="6">
        <f t="shared" si="1"/>
        <v>770.17806270345022</v>
      </c>
    </row>
    <row r="32" spans="1:4" x14ac:dyDescent="0.15">
      <c r="A32" s="11">
        <v>26</v>
      </c>
      <c r="B32" s="5">
        <f t="shared" si="2"/>
        <v>12.786885245901638</v>
      </c>
      <c r="C32" s="6">
        <f t="shared" si="0"/>
        <v>61.302278006814483</v>
      </c>
      <c r="D32" s="6">
        <f t="shared" si="1"/>
        <v>783.86519418549665</v>
      </c>
    </row>
    <row r="33" spans="1:4" x14ac:dyDescent="0.15">
      <c r="A33" s="11">
        <v>27</v>
      </c>
      <c r="B33" s="5">
        <f t="shared" si="2"/>
        <v>13.278688524590164</v>
      </c>
      <c r="C33" s="6">
        <f t="shared" si="0"/>
        <v>59.949109581698309</v>
      </c>
      <c r="D33" s="6">
        <f t="shared" si="1"/>
        <v>796.04555346189557</v>
      </c>
    </row>
    <row r="34" spans="1:4" x14ac:dyDescent="0.15">
      <c r="A34" s="11">
        <v>28</v>
      </c>
      <c r="B34" s="5">
        <f t="shared" si="2"/>
        <v>13.770491803278688</v>
      </c>
      <c r="C34" s="6">
        <f t="shared" si="0"/>
        <v>58.587804202497431</v>
      </c>
      <c r="D34" s="6">
        <f t="shared" si="1"/>
        <v>806.78287754258758</v>
      </c>
    </row>
    <row r="35" spans="1:4" x14ac:dyDescent="0.15">
      <c r="A35" s="11">
        <v>29</v>
      </c>
      <c r="B35" s="5">
        <f t="shared" si="2"/>
        <v>14.262295081967213</v>
      </c>
      <c r="C35" s="6">
        <f t="shared" si="0"/>
        <v>57.22366173169145</v>
      </c>
      <c r="D35" s="6">
        <f t="shared" si="1"/>
        <v>816.14074928805837</v>
      </c>
    </row>
    <row r="36" spans="1:4" x14ac:dyDescent="0.15">
      <c r="A36" s="11">
        <v>30</v>
      </c>
      <c r="B36" s="5">
        <f t="shared" si="2"/>
        <v>14.754098360655737</v>
      </c>
      <c r="C36" s="6">
        <f t="shared" si="0"/>
        <v>55.861238209472241</v>
      </c>
      <c r="D36" s="6">
        <f t="shared" si="1"/>
        <v>824.18220309057403</v>
      </c>
    </row>
    <row r="37" spans="1:4" x14ac:dyDescent="0.15">
      <c r="A37" s="11">
        <v>31</v>
      </c>
      <c r="B37" s="5">
        <f t="shared" si="2"/>
        <v>15.245901639344263</v>
      </c>
      <c r="C37" s="6">
        <f t="shared" si="0"/>
        <v>54.504445165360501</v>
      </c>
      <c r="D37" s="6">
        <f t="shared" si="1"/>
        <v>830.96940989811912</v>
      </c>
    </row>
    <row r="38" spans="1:4" x14ac:dyDescent="0.15">
      <c r="A38" s="11">
        <v>32</v>
      </c>
      <c r="B38" s="5">
        <f t="shared" si="2"/>
        <v>15.737704918032787</v>
      </c>
      <c r="C38" s="6">
        <f t="shared" si="0"/>
        <v>53.156634447765569</v>
      </c>
      <c r="D38" s="6">
        <f t="shared" si="1"/>
        <v>836.56342737467128</v>
      </c>
    </row>
    <row r="39" spans="1:4" x14ac:dyDescent="0.15">
      <c r="A39" s="11">
        <v>33</v>
      </c>
      <c r="B39" s="5">
        <f t="shared" si="2"/>
        <v>16.229508196721312</v>
      </c>
      <c r="C39" s="6">
        <f t="shared" si="0"/>
        <v>51.820670933134835</v>
      </c>
      <c r="D39" s="6">
        <f t="shared" si="1"/>
        <v>841.0240036689097</v>
      </c>
    </row>
    <row r="40" spans="1:4" x14ac:dyDescent="0.15">
      <c r="A40" s="11">
        <v>34</v>
      </c>
      <c r="B40" s="5">
        <f t="shared" si="2"/>
        <v>16.721311475409834</v>
      </c>
      <c r="C40" s="6">
        <f t="shared" si="0"/>
        <v>50.498995048084502</v>
      </c>
      <c r="D40" s="6">
        <f t="shared" si="1"/>
        <v>844.40942539419973</v>
      </c>
    </row>
    <row r="41" spans="1:4" x14ac:dyDescent="0.15">
      <c r="A41" s="11">
        <v>35</v>
      </c>
      <c r="B41" s="5">
        <f t="shared" si="2"/>
        <v>17.21311475409836</v>
      </c>
      <c r="C41" s="6">
        <f t="shared" si="0"/>
        <v>49.193676695002615</v>
      </c>
      <c r="D41" s="6">
        <f t="shared" si="1"/>
        <v>846.77640212709412</v>
      </c>
    </row>
    <row r="42" spans="1:4" x14ac:dyDescent="0.15">
      <c r="A42" s="11">
        <v>36</v>
      </c>
      <c r="B42" s="5">
        <f t="shared" si="2"/>
        <v>17.704918032786885</v>
      </c>
      <c r="C42" s="6">
        <f t="shared" si="0"/>
        <v>47.906461895576285</v>
      </c>
      <c r="D42" s="6">
        <f t="shared" si="1"/>
        <v>848.17998110200642</v>
      </c>
    </row>
    <row r="43" spans="1:4" x14ac:dyDescent="0.15">
      <c r="A43" s="11">
        <v>37</v>
      </c>
      <c r="B43" s="5">
        <f t="shared" si="2"/>
        <v>18.196721311475411</v>
      </c>
      <c r="C43" s="6">
        <f t="shared" si="0"/>
        <v>46.638813243344266</v>
      </c>
      <c r="D43" s="6">
        <f t="shared" si="1"/>
        <v>848.67348688708421</v>
      </c>
    </row>
    <row r="44" spans="1:4" x14ac:dyDescent="0.15">
      <c r="A44" s="11">
        <v>38</v>
      </c>
      <c r="B44" s="5">
        <f t="shared" si="2"/>
        <v>18.688524590163933</v>
      </c>
      <c r="C44" s="6">
        <f t="shared" si="0"/>
        <v>45.391945074773055</v>
      </c>
      <c r="D44" s="6">
        <f t="shared" si="1"/>
        <v>848.30848172526692</v>
      </c>
    </row>
    <row r="45" spans="1:4" x14ac:dyDescent="0.15">
      <c r="A45" s="11">
        <v>39</v>
      </c>
      <c r="B45" s="5">
        <f t="shared" si="2"/>
        <v>19.180327868852459</v>
      </c>
      <c r="C45" s="6">
        <f t="shared" si="0"/>
        <v>44.166854120007905</v>
      </c>
      <c r="D45" s="6">
        <f t="shared" si="1"/>
        <v>847.1347429575286</v>
      </c>
    </row>
    <row r="46" spans="1:4" x14ac:dyDescent="0.15">
      <c r="A46" s="11">
        <v>40</v>
      </c>
      <c r="B46" s="5">
        <f t="shared" si="2"/>
        <v>19.672131147540984</v>
      </c>
      <c r="C46" s="6">
        <f t="shared" si="0"/>
        <v>42.964346272730211</v>
      </c>
      <c r="D46" s="6">
        <f t="shared" si="1"/>
        <v>845.20025454551239</v>
      </c>
    </row>
    <row r="47" spans="1:4" x14ac:dyDescent="0.15">
      <c r="A47" s="11">
        <v>41</v>
      </c>
      <c r="B47" s="5">
        <f t="shared" si="2"/>
        <v>20.163934426229506</v>
      </c>
      <c r="C47" s="6">
        <f t="shared" si="0"/>
        <v>41.785060018255265</v>
      </c>
      <c r="D47" s="6">
        <f t="shared" si="1"/>
        <v>842.55121020416345</v>
      </c>
    </row>
    <row r="48" spans="1:4" x14ac:dyDescent="0.15">
      <c r="A48" s="11">
        <v>42</v>
      </c>
      <c r="B48" s="5">
        <f t="shared" si="2"/>
        <v>20.655737704918032</v>
      </c>
      <c r="C48" s="6">
        <f t="shared" si="0"/>
        <v>40.629486976021873</v>
      </c>
      <c r="D48" s="6">
        <f t="shared" si="1"/>
        <v>839.23202606209111</v>
      </c>
    </row>
    <row r="49" spans="1:4" x14ac:dyDescent="0.15">
      <c r="A49" s="11">
        <v>43</v>
      </c>
      <c r="B49" s="5">
        <f t="shared" si="2"/>
        <v>21.147540983606557</v>
      </c>
      <c r="C49" s="6">
        <f t="shared" si="0"/>
        <v>39.49798994370164</v>
      </c>
      <c r="D49" s="6">
        <f t="shared" si="1"/>
        <v>835.28536110451012</v>
      </c>
    </row>
    <row r="50" spans="1:4" x14ac:dyDescent="0.15">
      <c r="A50" s="11">
        <v>44</v>
      </c>
      <c r="B50" s="5">
        <f t="shared" si="2"/>
        <v>21.639344262295083</v>
      </c>
      <c r="C50" s="6">
        <f t="shared" si="0"/>
        <v>38.390818772693741</v>
      </c>
      <c r="D50" s="6">
        <f t="shared" si="1"/>
        <v>830.75214393370072</v>
      </c>
    </row>
    <row r="51" spans="1:4" x14ac:dyDescent="0.15">
      <c r="A51" s="11">
        <v>45</v>
      </c>
      <c r="B51" s="5">
        <f t="shared" si="2"/>
        <v>22.131147540983605</v>
      </c>
      <c r="C51" s="6">
        <f t="shared" si="0"/>
        <v>37.30812435669376</v>
      </c>
      <c r="D51" s="6">
        <f t="shared" si="1"/>
        <v>825.67160461535366</v>
      </c>
    </row>
    <row r="52" spans="1:4" x14ac:dyDescent="0.15">
      <c r="A52" s="11">
        <v>46</v>
      </c>
      <c r="B52" s="5">
        <f t="shared" si="2"/>
        <v>22.622950819672131</v>
      </c>
      <c r="C52" s="6">
        <f t="shared" si="0"/>
        <v>36.249970974660755</v>
      </c>
      <c r="D52" s="6">
        <f t="shared" si="1"/>
        <v>820.0813105742925</v>
      </c>
    </row>
    <row r="53" spans="1:4" x14ac:dyDescent="0.15">
      <c r="A53" s="11">
        <v>47</v>
      </c>
      <c r="B53" s="5">
        <f t="shared" si="2"/>
        <v>23.114754098360656</v>
      </c>
      <c r="C53" s="6">
        <f t="shared" si="0"/>
        <v>35.216347195506366</v>
      </c>
      <c r="D53" s="6">
        <f t="shared" si="1"/>
        <v>814.01720566662254</v>
      </c>
    </row>
    <row r="54" spans="1:4" x14ac:dyDescent="0.15">
      <c r="A54" s="11">
        <v>48</v>
      </c>
      <c r="B54" s="5">
        <f t="shared" si="2"/>
        <v>23.606557377049178</v>
      </c>
      <c r="C54" s="6">
        <f t="shared" si="0"/>
        <v>34.207175523097533</v>
      </c>
      <c r="D54" s="6">
        <f t="shared" si="1"/>
        <v>807.51365169279416</v>
      </c>
    </row>
    <row r="55" spans="1:4" x14ac:dyDescent="0.15">
      <c r="A55" s="11">
        <v>49</v>
      </c>
      <c r="B55" s="5">
        <f t="shared" si="2"/>
        <v>24.098360655737704</v>
      </c>
      <c r="C55" s="6">
        <f t="shared" si="0"/>
        <v>33.222320935812085</v>
      </c>
      <c r="D55" s="6">
        <f t="shared" si="1"/>
        <v>800.60347173186494</v>
      </c>
    </row>
    <row r="56" spans="1:4" x14ac:dyDescent="0.15">
      <c r="A56" s="11">
        <v>50</v>
      </c>
      <c r="B56" s="5">
        <f t="shared" si="2"/>
        <v>24.590163934426229</v>
      </c>
      <c r="C56" s="6">
        <f t="shared" si="0"/>
        <v>32.261598454183058</v>
      </c>
      <c r="D56" s="6">
        <f t="shared" si="1"/>
        <v>793.31799477499328</v>
      </c>
    </row>
    <row r="57" spans="1:4" x14ac:dyDescent="0.15">
      <c r="A57" s="11">
        <v>51</v>
      </c>
      <c r="B57" s="5">
        <f t="shared" si="2"/>
        <v>25.081967213114755</v>
      </c>
      <c r="C57" s="6">
        <f t="shared" si="0"/>
        <v>31.324779852518152</v>
      </c>
      <c r="D57" s="6">
        <f t="shared" si="1"/>
        <v>785.68710121889796</v>
      </c>
    </row>
    <row r="58" spans="1:4" x14ac:dyDescent="0.15">
      <c r="A58" s="11">
        <v>52</v>
      </c>
      <c r="B58" s="5">
        <f t="shared" si="2"/>
        <v>25.573770491803277</v>
      </c>
      <c r="C58" s="6">
        <f t="shared" si="0"/>
        <v>30.411599615293454</v>
      </c>
      <c r="D58" s="6">
        <f t="shared" si="1"/>
        <v>777.73926885012759</v>
      </c>
    </row>
    <row r="59" spans="1:4" x14ac:dyDescent="0.15">
      <c r="A59" s="11">
        <v>53</v>
      </c>
      <c r="B59" s="5">
        <f t="shared" si="2"/>
        <v>26.065573770491802</v>
      </c>
      <c r="C59" s="6">
        <f t="shared" si="0"/>
        <v>29.521760226188633</v>
      </c>
      <c r="D59" s="6">
        <f t="shared" si="1"/>
        <v>769.50161901049057</v>
      </c>
    </row>
    <row r="60" spans="1:4" x14ac:dyDescent="0.15">
      <c r="A60" s="11">
        <v>54</v>
      </c>
      <c r="B60" s="5">
        <f t="shared" si="2"/>
        <v>26.557377049180328</v>
      </c>
      <c r="C60" s="6">
        <f t="shared" si="0"/>
        <v>28.654936866519414</v>
      </c>
      <c r="D60" s="6">
        <f t="shared" si="1"/>
        <v>760.99996268461393</v>
      </c>
    </row>
    <row r="61" spans="1:4" x14ac:dyDescent="0.15">
      <c r="A61" s="11">
        <v>55</v>
      </c>
      <c r="B61" s="5">
        <f t="shared" si="2"/>
        <v>27.049180327868854</v>
      </c>
      <c r="C61" s="6">
        <f t="shared" si="0"/>
        <v>27.810781590251462</v>
      </c>
      <c r="D61" s="6">
        <f t="shared" si="1"/>
        <v>752.25884629368716</v>
      </c>
    </row>
    <row r="62" spans="1:4" x14ac:dyDescent="0.15">
      <c r="A62" s="11">
        <v>56</v>
      </c>
      <c r="B62" s="5">
        <f t="shared" si="2"/>
        <v>27.540983606557376</v>
      </c>
      <c r="C62" s="6">
        <f t="shared" si="0"/>
        <v>26.988927034516191</v>
      </c>
      <c r="D62" s="6">
        <f t="shared" si="1"/>
        <v>743.30159701618356</v>
      </c>
    </row>
    <row r="63" spans="1:4" x14ac:dyDescent="0.15">
      <c r="A63" s="11">
        <v>57</v>
      </c>
      <c r="B63" s="5">
        <f t="shared" si="2"/>
        <v>28.032786885245901</v>
      </c>
      <c r="C63" s="6">
        <f t="shared" si="0"/>
        <v>26.18898971739727</v>
      </c>
      <c r="D63" s="6">
        <f t="shared" si="1"/>
        <v>734.15036748769398</v>
      </c>
    </row>
    <row r="64" spans="1:4" x14ac:dyDescent="0.15">
      <c r="A64" s="11">
        <v>58</v>
      </c>
      <c r="B64" s="5">
        <f t="shared" si="2"/>
        <v>28.524590163934427</v>
      </c>
      <c r="C64" s="6">
        <f t="shared" si="0"/>
        <v>25.410572968554348</v>
      </c>
      <c r="D64" s="6">
        <f t="shared" si="1"/>
        <v>724.82617975876337</v>
      </c>
    </row>
    <row r="65" spans="1:4" x14ac:dyDescent="0.15">
      <c r="A65" s="11">
        <v>59</v>
      </c>
      <c r="B65" s="5">
        <f t="shared" si="2"/>
        <v>29.016393442622949</v>
      </c>
      <c r="C65" s="6">
        <f t="shared" si="0"/>
        <v>24.653269532859834</v>
      </c>
      <c r="D65" s="6">
        <f t="shared" si="1"/>
        <v>715.34896841249019</v>
      </c>
    </row>
    <row r="66" spans="1:4" x14ac:dyDescent="0.15">
      <c r="A66" s="11">
        <v>60</v>
      </c>
      <c r="B66" s="5">
        <f t="shared" si="2"/>
        <v>29.508196721311474</v>
      </c>
      <c r="C66" s="6">
        <f t="shared" si="0"/>
        <v>23.916663882529857</v>
      </c>
      <c r="D66" s="6">
        <f t="shared" si="1"/>
        <v>705.73762276317609</v>
      </c>
    </row>
    <row r="67" spans="1:4" x14ac:dyDescent="0.15">
      <c r="A67" s="11">
        <v>61</v>
      </c>
      <c r="B67" s="5">
        <f t="shared" si="2"/>
        <v>30</v>
      </c>
      <c r="C67" s="6">
        <f t="shared" si="0"/>
        <v>23.200334269133606</v>
      </c>
      <c r="D67" s="6">
        <f t="shared" si="1"/>
        <v>696.01002807400823</v>
      </c>
    </row>
    <row r="68" spans="1:4" x14ac:dyDescent="0.15">
      <c r="A68" s="3"/>
      <c r="C68" s="2"/>
      <c r="D68" s="2"/>
    </row>
    <row r="69" spans="1:4" x14ac:dyDescent="0.15">
      <c r="A69" s="3"/>
      <c r="C69" s="2"/>
      <c r="D69" s="2"/>
    </row>
    <row r="70" spans="1:4" x14ac:dyDescent="0.15">
      <c r="A70" s="3"/>
      <c r="C70" s="2"/>
      <c r="D70" s="2"/>
    </row>
    <row r="71" spans="1:4" x14ac:dyDescent="0.15">
      <c r="A71" s="3"/>
      <c r="C71" s="2"/>
      <c r="D71" s="2"/>
    </row>
    <row r="72" spans="1:4" x14ac:dyDescent="0.15">
      <c r="A72" s="3"/>
      <c r="C72" s="2"/>
      <c r="D72" s="2"/>
    </row>
    <row r="73" spans="1:4" x14ac:dyDescent="0.15">
      <c r="A73" s="3"/>
      <c r="C73" s="2"/>
      <c r="D73" s="2"/>
    </row>
    <row r="74" spans="1:4" x14ac:dyDescent="0.15">
      <c r="A74" s="3"/>
      <c r="C74" s="2"/>
      <c r="D74" s="2"/>
    </row>
    <row r="75" spans="1:4" x14ac:dyDescent="0.15">
      <c r="A75" s="3"/>
      <c r="C75" s="2"/>
      <c r="D75" s="2"/>
    </row>
    <row r="76" spans="1:4" x14ac:dyDescent="0.15">
      <c r="A76" s="3"/>
      <c r="C76" s="2"/>
      <c r="D76" s="2"/>
    </row>
    <row r="77" spans="1:4" x14ac:dyDescent="0.15">
      <c r="A77" s="3"/>
      <c r="C77" s="2"/>
      <c r="D77" s="2"/>
    </row>
    <row r="78" spans="1:4" x14ac:dyDescent="0.15">
      <c r="A78" s="3"/>
      <c r="C78" s="2"/>
      <c r="D78" s="2"/>
    </row>
    <row r="79" spans="1:4" x14ac:dyDescent="0.15">
      <c r="A79" s="3"/>
      <c r="C79" s="2"/>
      <c r="D79" s="2"/>
    </row>
    <row r="80" spans="1:4" x14ac:dyDescent="0.15">
      <c r="A80" s="3"/>
      <c r="C80" s="2"/>
      <c r="D80" s="2"/>
    </row>
    <row r="81" spans="1:4" x14ac:dyDescent="0.15">
      <c r="A81" s="3"/>
      <c r="C81" s="2"/>
      <c r="D81" s="2"/>
    </row>
    <row r="82" spans="1:4" x14ac:dyDescent="0.15">
      <c r="A82" s="3"/>
      <c r="C82" s="2"/>
      <c r="D82" s="2"/>
    </row>
    <row r="83" spans="1:4" x14ac:dyDescent="0.15">
      <c r="A83" s="3"/>
      <c r="C83" s="2"/>
      <c r="D83" s="2"/>
    </row>
    <row r="84" spans="1:4" x14ac:dyDescent="0.15">
      <c r="A84" s="3"/>
      <c r="C84" s="2"/>
      <c r="D84" s="2"/>
    </row>
    <row r="85" spans="1:4" x14ac:dyDescent="0.15">
      <c r="A85" s="3"/>
      <c r="C85" s="2"/>
      <c r="D85" s="2"/>
    </row>
    <row r="86" spans="1:4" x14ac:dyDescent="0.15">
      <c r="A86" s="3"/>
      <c r="C86" s="2"/>
      <c r="D86" s="2"/>
    </row>
    <row r="87" spans="1:4" x14ac:dyDescent="0.15">
      <c r="A87" s="3"/>
      <c r="C87" s="2"/>
      <c r="D87" s="2"/>
    </row>
    <row r="88" spans="1:4" x14ac:dyDescent="0.15">
      <c r="A88" s="3"/>
      <c r="C88" s="2"/>
      <c r="D88" s="2"/>
    </row>
    <row r="89" spans="1:4" x14ac:dyDescent="0.15">
      <c r="A89" s="3"/>
      <c r="C89" s="2"/>
      <c r="D89" s="2"/>
    </row>
    <row r="90" spans="1:4" x14ac:dyDescent="0.15">
      <c r="A90" s="3"/>
      <c r="C90" s="2"/>
      <c r="D90" s="2"/>
    </row>
    <row r="91" spans="1:4" x14ac:dyDescent="0.15">
      <c r="A91" s="3"/>
      <c r="C91" s="2"/>
      <c r="D91" s="2"/>
    </row>
    <row r="92" spans="1:4" x14ac:dyDescent="0.15">
      <c r="A92" s="3"/>
      <c r="C92" s="2"/>
      <c r="D92" s="2"/>
    </row>
    <row r="93" spans="1:4" x14ac:dyDescent="0.15">
      <c r="A93" s="3"/>
      <c r="C93" s="2"/>
      <c r="D93" s="2"/>
    </row>
    <row r="94" spans="1:4" x14ac:dyDescent="0.15">
      <c r="A94" s="3"/>
      <c r="C94" s="2"/>
      <c r="D94" s="2"/>
    </row>
    <row r="95" spans="1:4" x14ac:dyDescent="0.15">
      <c r="A95" s="3"/>
      <c r="C95" s="2"/>
      <c r="D95" s="2"/>
    </row>
    <row r="96" spans="1:4" x14ac:dyDescent="0.15">
      <c r="A96" s="3"/>
      <c r="C96" s="2"/>
      <c r="D96" s="2"/>
    </row>
    <row r="97" spans="1:4" x14ac:dyDescent="0.15">
      <c r="A97" s="3"/>
      <c r="C97" s="2"/>
      <c r="D97" s="2"/>
    </row>
    <row r="98" spans="1:4" x14ac:dyDescent="0.15">
      <c r="A98" s="3"/>
      <c r="C98" s="2"/>
      <c r="D98" s="2"/>
    </row>
    <row r="99" spans="1:4" x14ac:dyDescent="0.15">
      <c r="A99" s="3"/>
      <c r="C99" s="2"/>
      <c r="D99" s="2"/>
    </row>
    <row r="100" spans="1:4" x14ac:dyDescent="0.15">
      <c r="A100" s="3"/>
      <c r="C100" s="2"/>
      <c r="D100" s="2"/>
    </row>
    <row r="101" spans="1:4" x14ac:dyDescent="0.15">
      <c r="A101" s="3"/>
      <c r="C101" s="2"/>
      <c r="D101" s="2"/>
    </row>
    <row r="102" spans="1:4" x14ac:dyDescent="0.15">
      <c r="A102" s="3"/>
      <c r="C102" s="2"/>
      <c r="D102" s="2"/>
    </row>
    <row r="103" spans="1:4" x14ac:dyDescent="0.15">
      <c r="A103" s="3"/>
      <c r="C103" s="2"/>
      <c r="D103" s="2"/>
    </row>
    <row r="104" spans="1:4" x14ac:dyDescent="0.15">
      <c r="A104" s="3"/>
      <c r="C104" s="2"/>
      <c r="D104" s="2"/>
    </row>
    <row r="105" spans="1:4" x14ac:dyDescent="0.15">
      <c r="A105" s="3"/>
      <c r="C105" s="2"/>
      <c r="D105" s="2"/>
    </row>
    <row r="106" spans="1:4" x14ac:dyDescent="0.15">
      <c r="A106" s="3"/>
      <c r="C106" s="2"/>
      <c r="D106" s="2"/>
    </row>
    <row r="107" spans="1:4" x14ac:dyDescent="0.15">
      <c r="A107" s="3"/>
      <c r="C107" s="2"/>
      <c r="D107" s="2"/>
    </row>
    <row r="108" spans="1:4" x14ac:dyDescent="0.15">
      <c r="A108" s="3"/>
      <c r="C108" s="2"/>
      <c r="D108" s="2"/>
    </row>
    <row r="109" spans="1:4" x14ac:dyDescent="0.15">
      <c r="A109" s="3"/>
      <c r="C109" s="2"/>
      <c r="D109" s="2"/>
    </row>
    <row r="110" spans="1:4" x14ac:dyDescent="0.15">
      <c r="A110" s="3"/>
      <c r="C110" s="2"/>
      <c r="D110" s="2"/>
    </row>
    <row r="111" spans="1:4" x14ac:dyDescent="0.15">
      <c r="A111" s="3"/>
      <c r="C111" s="2"/>
      <c r="D111" s="2"/>
    </row>
    <row r="112" spans="1:4" x14ac:dyDescent="0.15">
      <c r="A112" s="3"/>
      <c r="C112" s="2"/>
      <c r="D112" s="2"/>
    </row>
    <row r="113" spans="1:4" x14ac:dyDescent="0.15">
      <c r="A113" s="3"/>
      <c r="C113" s="2"/>
      <c r="D113" s="2"/>
    </row>
    <row r="114" spans="1:4" x14ac:dyDescent="0.15">
      <c r="A114" s="3"/>
      <c r="C114" s="2"/>
      <c r="D114" s="2"/>
    </row>
    <row r="115" spans="1:4" x14ac:dyDescent="0.15">
      <c r="A115" s="3"/>
      <c r="C115" s="2"/>
      <c r="D115" s="2"/>
    </row>
    <row r="116" spans="1:4" x14ac:dyDescent="0.15">
      <c r="A116" s="3"/>
      <c r="C116" s="2"/>
      <c r="D116" s="2"/>
    </row>
    <row r="117" spans="1:4" x14ac:dyDescent="0.15">
      <c r="A117" s="3"/>
      <c r="C117" s="2"/>
      <c r="D117" s="2"/>
    </row>
    <row r="118" spans="1:4" x14ac:dyDescent="0.15">
      <c r="A118" s="3"/>
      <c r="C118" s="2"/>
      <c r="D118" s="2"/>
    </row>
    <row r="119" spans="1:4" x14ac:dyDescent="0.15">
      <c r="A119" s="3"/>
      <c r="C119" s="2"/>
      <c r="D119" s="2"/>
    </row>
    <row r="120" spans="1:4" x14ac:dyDescent="0.15">
      <c r="A120" s="3"/>
      <c r="C120" s="2"/>
      <c r="D120" s="2"/>
    </row>
    <row r="121" spans="1:4" x14ac:dyDescent="0.15">
      <c r="A121" s="3"/>
      <c r="C121" s="2"/>
      <c r="D121" s="2"/>
    </row>
    <row r="122" spans="1:4" x14ac:dyDescent="0.15">
      <c r="A122" s="3"/>
      <c r="C122" s="2"/>
      <c r="D122" s="2"/>
    </row>
    <row r="123" spans="1:4" x14ac:dyDescent="0.15">
      <c r="A123" s="3"/>
      <c r="C123" s="2"/>
      <c r="D123" s="2"/>
    </row>
    <row r="124" spans="1:4" x14ac:dyDescent="0.15">
      <c r="A124" s="3"/>
      <c r="C124" s="2"/>
      <c r="D124" s="2"/>
    </row>
    <row r="125" spans="1:4" x14ac:dyDescent="0.15">
      <c r="A125" s="3"/>
      <c r="C125" s="2"/>
      <c r="D125" s="2"/>
    </row>
    <row r="126" spans="1:4" x14ac:dyDescent="0.15">
      <c r="A126" s="3"/>
      <c r="C126" s="2"/>
      <c r="D126" s="2"/>
    </row>
    <row r="127" spans="1:4" x14ac:dyDescent="0.15">
      <c r="A127" s="3"/>
      <c r="C127" s="2"/>
      <c r="D127" s="2"/>
    </row>
    <row r="128" spans="1:4" x14ac:dyDescent="0.15">
      <c r="A128" s="3"/>
      <c r="C128" s="2"/>
      <c r="D128" s="2"/>
    </row>
    <row r="129" spans="1:4" x14ac:dyDescent="0.15">
      <c r="A129" s="3"/>
      <c r="C129" s="2"/>
      <c r="D129" s="2"/>
    </row>
    <row r="130" spans="1:4" x14ac:dyDescent="0.15">
      <c r="A130" s="3"/>
      <c r="C130" s="2"/>
      <c r="D130" s="2"/>
    </row>
    <row r="131" spans="1:4" x14ac:dyDescent="0.15">
      <c r="A131" s="3"/>
      <c r="C131" s="2"/>
      <c r="D131" s="2"/>
    </row>
    <row r="132" spans="1:4" x14ac:dyDescent="0.15">
      <c r="A132" s="3"/>
      <c r="C132" s="2"/>
      <c r="D132" s="2"/>
    </row>
    <row r="133" spans="1:4" x14ac:dyDescent="0.15">
      <c r="A133" s="3"/>
      <c r="C133" s="2"/>
      <c r="D133" s="2"/>
    </row>
    <row r="134" spans="1:4" x14ac:dyDescent="0.15">
      <c r="A134" s="3"/>
      <c r="C134" s="2"/>
      <c r="D134" s="2"/>
    </row>
    <row r="135" spans="1:4" x14ac:dyDescent="0.15">
      <c r="A135" s="3"/>
      <c r="C135" s="2"/>
      <c r="D135" s="2"/>
    </row>
    <row r="136" spans="1:4" x14ac:dyDescent="0.15">
      <c r="A136" s="3"/>
      <c r="C136" s="2"/>
      <c r="D136" s="2"/>
    </row>
    <row r="137" spans="1:4" x14ac:dyDescent="0.15">
      <c r="A137" s="3"/>
      <c r="C137" s="2"/>
      <c r="D137" s="2"/>
    </row>
    <row r="138" spans="1:4" x14ac:dyDescent="0.15">
      <c r="A138" s="3"/>
      <c r="C138" s="2"/>
      <c r="D138" s="2"/>
    </row>
    <row r="139" spans="1:4" x14ac:dyDescent="0.15">
      <c r="A139" s="3"/>
      <c r="C139" s="2"/>
      <c r="D139" s="2"/>
    </row>
    <row r="140" spans="1:4" x14ac:dyDescent="0.15">
      <c r="A140" s="3"/>
      <c r="C140" s="2"/>
      <c r="D140" s="2"/>
    </row>
    <row r="141" spans="1:4" x14ac:dyDescent="0.15">
      <c r="A141" s="3"/>
      <c r="C141" s="2"/>
      <c r="D141" s="2"/>
    </row>
    <row r="142" spans="1:4" x14ac:dyDescent="0.15">
      <c r="A142" s="3"/>
      <c r="C142" s="2"/>
      <c r="D142" s="2"/>
    </row>
    <row r="143" spans="1:4" x14ac:dyDescent="0.15">
      <c r="A143" s="3"/>
      <c r="C143" s="2"/>
      <c r="D143" s="2"/>
    </row>
    <row r="144" spans="1:4" x14ac:dyDescent="0.15">
      <c r="A144" s="3"/>
      <c r="C144" s="2"/>
      <c r="D144" s="2"/>
    </row>
    <row r="145" spans="1:4" x14ac:dyDescent="0.15">
      <c r="A145" s="3"/>
      <c r="C145" s="2"/>
      <c r="D145" s="2"/>
    </row>
    <row r="146" spans="1:4" x14ac:dyDescent="0.15">
      <c r="A146" s="3"/>
      <c r="C146" s="2"/>
      <c r="D146" s="2"/>
    </row>
    <row r="147" spans="1:4" x14ac:dyDescent="0.15">
      <c r="A147" s="3"/>
      <c r="C147" s="2"/>
      <c r="D147" s="2"/>
    </row>
    <row r="148" spans="1:4" x14ac:dyDescent="0.15">
      <c r="A148" s="3"/>
      <c r="C148" s="2"/>
      <c r="D148" s="2"/>
    </row>
    <row r="149" spans="1:4" x14ac:dyDescent="0.15">
      <c r="A149" s="3"/>
      <c r="C149" s="2"/>
      <c r="D149" s="2"/>
    </row>
    <row r="150" spans="1:4" x14ac:dyDescent="0.15">
      <c r="A150" s="3"/>
      <c r="C150" s="2"/>
      <c r="D150" s="2"/>
    </row>
    <row r="151" spans="1:4" x14ac:dyDescent="0.15">
      <c r="A151" s="3"/>
      <c r="C151" s="2"/>
      <c r="D151" s="2"/>
    </row>
    <row r="152" spans="1:4" x14ac:dyDescent="0.15">
      <c r="A152" s="3"/>
      <c r="C152" s="2"/>
      <c r="D152" s="2"/>
    </row>
    <row r="153" spans="1:4" x14ac:dyDescent="0.15">
      <c r="A153" s="3"/>
      <c r="C153" s="2"/>
      <c r="D153" s="2"/>
    </row>
    <row r="154" spans="1:4" x14ac:dyDescent="0.15">
      <c r="A154" s="3"/>
      <c r="C154" s="2"/>
      <c r="D154" s="2"/>
    </row>
    <row r="155" spans="1:4" x14ac:dyDescent="0.15">
      <c r="A155" s="3"/>
      <c r="C155" s="2"/>
      <c r="D155" s="2"/>
    </row>
    <row r="156" spans="1:4" x14ac:dyDescent="0.15">
      <c r="A156" s="3"/>
      <c r="C156" s="2"/>
      <c r="D156" s="2"/>
    </row>
    <row r="157" spans="1:4" x14ac:dyDescent="0.15">
      <c r="A157" s="3"/>
      <c r="C157" s="2"/>
      <c r="D157" s="2"/>
    </row>
    <row r="158" spans="1:4" x14ac:dyDescent="0.15">
      <c r="A158" s="3"/>
      <c r="C158" s="2"/>
      <c r="D158" s="2"/>
    </row>
    <row r="159" spans="1:4" x14ac:dyDescent="0.15">
      <c r="A159" s="3"/>
      <c r="C159" s="2"/>
      <c r="D159" s="2"/>
    </row>
    <row r="160" spans="1:4" x14ac:dyDescent="0.15">
      <c r="A160" s="3"/>
      <c r="C160" s="2"/>
      <c r="D160" s="2"/>
    </row>
    <row r="161" spans="1:4" x14ac:dyDescent="0.15">
      <c r="A161" s="3"/>
      <c r="C161" s="2"/>
      <c r="D161" s="2"/>
    </row>
    <row r="162" spans="1:4" x14ac:dyDescent="0.15">
      <c r="A162" s="3"/>
      <c r="C162" s="2"/>
      <c r="D162" s="2"/>
    </row>
    <row r="163" spans="1:4" x14ac:dyDescent="0.15">
      <c r="A163" s="3"/>
      <c r="C163" s="2"/>
      <c r="D163" s="2"/>
    </row>
    <row r="164" spans="1:4" x14ac:dyDescent="0.15">
      <c r="A164" s="3"/>
      <c r="C164" s="2"/>
      <c r="D164" s="2"/>
    </row>
    <row r="165" spans="1:4" x14ac:dyDescent="0.15">
      <c r="A165" s="3"/>
      <c r="C165" s="2"/>
      <c r="D165" s="2"/>
    </row>
    <row r="166" spans="1:4" x14ac:dyDescent="0.15">
      <c r="A166" s="3"/>
      <c r="C166" s="2"/>
      <c r="D166" s="2"/>
    </row>
    <row r="167" spans="1:4" x14ac:dyDescent="0.15">
      <c r="A167" s="3"/>
      <c r="C167" s="2"/>
      <c r="D167" s="2"/>
    </row>
    <row r="168" spans="1:4" x14ac:dyDescent="0.15">
      <c r="A168" s="3"/>
      <c r="C168" s="2"/>
      <c r="D168" s="2"/>
    </row>
    <row r="169" spans="1:4" x14ac:dyDescent="0.15">
      <c r="A169" s="3"/>
      <c r="C169" s="2"/>
      <c r="D169" s="2"/>
    </row>
    <row r="170" spans="1:4" x14ac:dyDescent="0.15">
      <c r="A170" s="3"/>
      <c r="C170" s="2"/>
      <c r="D170" s="2"/>
    </row>
    <row r="171" spans="1:4" x14ac:dyDescent="0.15">
      <c r="A171" s="3"/>
      <c r="C171" s="2"/>
      <c r="D171" s="2"/>
    </row>
    <row r="172" spans="1:4" x14ac:dyDescent="0.15">
      <c r="A172" s="3"/>
      <c r="C172" s="2"/>
      <c r="D172" s="2"/>
    </row>
    <row r="173" spans="1:4" x14ac:dyDescent="0.15">
      <c r="A173" s="3"/>
      <c r="C173" s="2"/>
      <c r="D173" s="2"/>
    </row>
    <row r="174" spans="1:4" x14ac:dyDescent="0.15">
      <c r="A174" s="3"/>
      <c r="C174" s="2"/>
      <c r="D174" s="2"/>
    </row>
    <row r="175" spans="1:4" x14ac:dyDescent="0.15">
      <c r="A175" s="3"/>
      <c r="C175" s="2"/>
      <c r="D175" s="2"/>
    </row>
    <row r="176" spans="1:4" x14ac:dyDescent="0.15">
      <c r="A176" s="3"/>
      <c r="C176" s="2"/>
      <c r="D176" s="2"/>
    </row>
    <row r="177" spans="1:4" x14ac:dyDescent="0.15">
      <c r="A177" s="3"/>
      <c r="C177" s="2"/>
      <c r="D177" s="2"/>
    </row>
    <row r="178" spans="1:4" x14ac:dyDescent="0.15">
      <c r="A178" s="3"/>
      <c r="C178" s="2"/>
      <c r="D178" s="2"/>
    </row>
    <row r="179" spans="1:4" x14ac:dyDescent="0.15">
      <c r="A179" s="3"/>
      <c r="C179" s="2"/>
      <c r="D179" s="2"/>
    </row>
    <row r="180" spans="1:4" x14ac:dyDescent="0.15">
      <c r="A180" s="3"/>
      <c r="C180" s="2"/>
      <c r="D180" s="2"/>
    </row>
    <row r="181" spans="1:4" x14ac:dyDescent="0.15">
      <c r="A181" s="3"/>
      <c r="C181" s="2"/>
      <c r="D181" s="2"/>
    </row>
    <row r="182" spans="1:4" x14ac:dyDescent="0.15">
      <c r="A182" s="3"/>
      <c r="C182" s="2"/>
      <c r="D182" s="2"/>
    </row>
    <row r="183" spans="1:4" x14ac:dyDescent="0.15">
      <c r="A183" s="3"/>
      <c r="C183" s="2"/>
      <c r="D183" s="2"/>
    </row>
    <row r="184" spans="1:4" x14ac:dyDescent="0.15">
      <c r="A184" s="3"/>
      <c r="C184" s="2"/>
      <c r="D184" s="2"/>
    </row>
    <row r="185" spans="1:4" x14ac:dyDescent="0.15">
      <c r="A185" s="3"/>
      <c r="C185" s="2"/>
      <c r="D185" s="2"/>
    </row>
    <row r="186" spans="1:4" x14ac:dyDescent="0.15">
      <c r="A186" s="3"/>
      <c r="C186" s="2"/>
      <c r="D186" s="2"/>
    </row>
    <row r="187" spans="1:4" x14ac:dyDescent="0.15">
      <c r="A187" s="3"/>
      <c r="C187" s="2"/>
      <c r="D187" s="2"/>
    </row>
    <row r="188" spans="1:4" x14ac:dyDescent="0.15">
      <c r="A188" s="3"/>
      <c r="C188" s="2"/>
      <c r="D188" s="2"/>
    </row>
    <row r="189" spans="1:4" x14ac:dyDescent="0.15">
      <c r="A189" s="3"/>
      <c r="C189" s="2"/>
      <c r="D189" s="2"/>
    </row>
    <row r="190" spans="1:4" x14ac:dyDescent="0.15">
      <c r="A190" s="3"/>
      <c r="C190" s="2"/>
      <c r="D190" s="2"/>
    </row>
    <row r="191" spans="1:4" x14ac:dyDescent="0.15">
      <c r="A191" s="3"/>
      <c r="C191" s="2"/>
      <c r="D191" s="2"/>
    </row>
    <row r="192" spans="1:4" x14ac:dyDescent="0.15">
      <c r="A192" s="3"/>
      <c r="C192" s="2"/>
      <c r="D192" s="2"/>
    </row>
    <row r="193" spans="1:4" x14ac:dyDescent="0.15">
      <c r="A193" s="3"/>
      <c r="C193" s="2"/>
      <c r="D193" s="2"/>
    </row>
    <row r="194" spans="1:4" x14ac:dyDescent="0.15">
      <c r="A194" s="3"/>
      <c r="C194" s="2"/>
      <c r="D194" s="2"/>
    </row>
    <row r="195" spans="1:4" x14ac:dyDescent="0.15">
      <c r="A195" s="3"/>
      <c r="C195" s="2"/>
      <c r="D195" s="2"/>
    </row>
    <row r="196" spans="1:4" x14ac:dyDescent="0.15">
      <c r="A196" s="3"/>
      <c r="C196" s="2"/>
      <c r="D196" s="2"/>
    </row>
    <row r="197" spans="1:4" x14ac:dyDescent="0.15">
      <c r="A197" s="3"/>
      <c r="C197" s="2"/>
      <c r="D197" s="2"/>
    </row>
    <row r="198" spans="1:4" x14ac:dyDescent="0.15">
      <c r="A198" s="3"/>
      <c r="C198" s="2"/>
      <c r="D198" s="2"/>
    </row>
    <row r="199" spans="1:4" x14ac:dyDescent="0.15">
      <c r="A199" s="3"/>
      <c r="C199" s="2"/>
      <c r="D199" s="2"/>
    </row>
    <row r="200" spans="1:4" x14ac:dyDescent="0.15">
      <c r="A200" s="3"/>
      <c r="C200" s="2"/>
      <c r="D200" s="2"/>
    </row>
    <row r="201" spans="1:4" x14ac:dyDescent="0.15">
      <c r="A201" s="3"/>
      <c r="C201" s="2"/>
      <c r="D201" s="2"/>
    </row>
    <row r="202" spans="1:4" x14ac:dyDescent="0.15">
      <c r="A202" s="3"/>
      <c r="C202" s="2"/>
      <c r="D202" s="2"/>
    </row>
    <row r="203" spans="1:4" x14ac:dyDescent="0.15">
      <c r="A203" s="3"/>
      <c r="C203" s="2"/>
      <c r="D203" s="2"/>
    </row>
    <row r="204" spans="1:4" x14ac:dyDescent="0.15">
      <c r="A204" s="3"/>
      <c r="C204" s="2"/>
      <c r="D204" s="2"/>
    </row>
    <row r="205" spans="1:4" x14ac:dyDescent="0.15">
      <c r="A205" s="3"/>
      <c r="C205" s="2"/>
      <c r="D205" s="2"/>
    </row>
    <row r="206" spans="1:4" x14ac:dyDescent="0.15">
      <c r="A206" s="3"/>
      <c r="C206" s="2"/>
      <c r="D206" s="2"/>
    </row>
    <row r="207" spans="1:4" x14ac:dyDescent="0.15">
      <c r="A207" s="3"/>
      <c r="C207" s="2"/>
      <c r="D207" s="2"/>
    </row>
    <row r="208" spans="1:4" x14ac:dyDescent="0.15">
      <c r="A208" s="3"/>
      <c r="C208" s="2"/>
      <c r="D208" s="2"/>
    </row>
    <row r="209" spans="1:4" x14ac:dyDescent="0.15">
      <c r="A209" s="3"/>
      <c r="C209" s="2"/>
      <c r="D209" s="2"/>
    </row>
    <row r="210" spans="1:4" x14ac:dyDescent="0.15">
      <c r="A210" s="3"/>
      <c r="C210" s="2"/>
      <c r="D210" s="2"/>
    </row>
    <row r="211" spans="1:4" x14ac:dyDescent="0.15">
      <c r="A211" s="3"/>
      <c r="C211" s="2"/>
      <c r="D211" s="2"/>
    </row>
    <row r="212" spans="1:4" x14ac:dyDescent="0.15">
      <c r="A212" s="3"/>
      <c r="C212" s="2"/>
      <c r="D212" s="2"/>
    </row>
    <row r="213" spans="1:4" x14ac:dyDescent="0.15">
      <c r="A213" s="3"/>
      <c r="C213" s="2"/>
      <c r="D213" s="2"/>
    </row>
    <row r="214" spans="1:4" x14ac:dyDescent="0.15">
      <c r="A214" s="3"/>
      <c r="C214" s="2"/>
      <c r="D214" s="2"/>
    </row>
    <row r="215" spans="1:4" x14ac:dyDescent="0.15">
      <c r="A215" s="3"/>
      <c r="C215" s="2"/>
      <c r="D215" s="2"/>
    </row>
    <row r="216" spans="1:4" x14ac:dyDescent="0.15">
      <c r="A216" s="3"/>
      <c r="C216" s="2"/>
      <c r="D216" s="2"/>
    </row>
    <row r="217" spans="1:4" x14ac:dyDescent="0.15">
      <c r="A217" s="3"/>
      <c r="C217" s="2"/>
      <c r="D217" s="2"/>
    </row>
    <row r="218" spans="1:4" x14ac:dyDescent="0.15">
      <c r="A218" s="3"/>
      <c r="C218" s="2"/>
      <c r="D218" s="2"/>
    </row>
    <row r="219" spans="1:4" x14ac:dyDescent="0.15">
      <c r="A219" s="3"/>
      <c r="C219" s="2"/>
      <c r="D219" s="2"/>
    </row>
    <row r="220" spans="1:4" x14ac:dyDescent="0.15">
      <c r="A220" s="3"/>
      <c r="C220" s="2"/>
      <c r="D220" s="2"/>
    </row>
    <row r="221" spans="1:4" x14ac:dyDescent="0.15">
      <c r="A221" s="3"/>
      <c r="C221" s="2"/>
      <c r="D221" s="2"/>
    </row>
    <row r="222" spans="1:4" x14ac:dyDescent="0.15">
      <c r="A222" s="3"/>
      <c r="C222" s="2"/>
      <c r="D222" s="2"/>
    </row>
    <row r="223" spans="1:4" x14ac:dyDescent="0.15">
      <c r="A223" s="3"/>
      <c r="C223" s="2"/>
      <c r="D223" s="2"/>
    </row>
    <row r="224" spans="1:4" x14ac:dyDescent="0.15">
      <c r="A224" s="3"/>
      <c r="C224" s="2"/>
      <c r="D224" s="2"/>
    </row>
    <row r="225" spans="1:4" x14ac:dyDescent="0.15">
      <c r="A225" s="3"/>
      <c r="C225" s="2"/>
      <c r="D225" s="2"/>
    </row>
    <row r="226" spans="1:4" x14ac:dyDescent="0.15">
      <c r="A226" s="3"/>
      <c r="C226" s="2"/>
      <c r="D226" s="2"/>
    </row>
    <row r="227" spans="1:4" x14ac:dyDescent="0.15">
      <c r="A227" s="3"/>
      <c r="C227" s="2"/>
      <c r="D227" s="2"/>
    </row>
    <row r="228" spans="1:4" x14ac:dyDescent="0.15">
      <c r="A228" s="3"/>
      <c r="C228" s="2"/>
      <c r="D228" s="2"/>
    </row>
    <row r="229" spans="1:4" x14ac:dyDescent="0.15">
      <c r="A229" s="3"/>
      <c r="C229" s="2"/>
      <c r="D229" s="2"/>
    </row>
    <row r="230" spans="1:4" x14ac:dyDescent="0.15">
      <c r="A230" s="3"/>
      <c r="C230" s="2"/>
      <c r="D230" s="2"/>
    </row>
    <row r="231" spans="1:4" x14ac:dyDescent="0.15">
      <c r="A231" s="3"/>
      <c r="C231" s="2"/>
      <c r="D231" s="2"/>
    </row>
    <row r="232" spans="1:4" x14ac:dyDescent="0.15">
      <c r="A232" s="3"/>
      <c r="C232" s="2"/>
      <c r="D232" s="2"/>
    </row>
    <row r="233" spans="1:4" x14ac:dyDescent="0.15">
      <c r="A233" s="3"/>
      <c r="C233" s="2"/>
      <c r="D233" s="2"/>
    </row>
    <row r="234" spans="1:4" x14ac:dyDescent="0.15">
      <c r="A234" s="3"/>
      <c r="C234" s="2"/>
      <c r="D234" s="2"/>
    </row>
    <row r="235" spans="1:4" x14ac:dyDescent="0.15">
      <c r="A235" s="3"/>
      <c r="C235" s="2"/>
      <c r="D235" s="2"/>
    </row>
    <row r="236" spans="1:4" x14ac:dyDescent="0.15">
      <c r="A236" s="3"/>
      <c r="C236" s="2"/>
      <c r="D236" s="2"/>
    </row>
    <row r="237" spans="1:4" x14ac:dyDescent="0.15">
      <c r="A237" s="3"/>
      <c r="C237" s="2"/>
      <c r="D237" s="2"/>
    </row>
    <row r="238" spans="1:4" x14ac:dyDescent="0.15">
      <c r="A238" s="3"/>
      <c r="C238" s="2"/>
      <c r="D238" s="2"/>
    </row>
    <row r="239" spans="1:4" x14ac:dyDescent="0.15">
      <c r="A239" s="3"/>
      <c r="C239" s="2"/>
      <c r="D239" s="2"/>
    </row>
    <row r="240" spans="1:4" x14ac:dyDescent="0.15">
      <c r="A240" s="3"/>
      <c r="C240" s="2"/>
      <c r="D240" s="2"/>
    </row>
    <row r="241" spans="1:4" x14ac:dyDescent="0.15">
      <c r="A241" s="3"/>
      <c r="C241" s="2"/>
      <c r="D241" s="2"/>
    </row>
    <row r="242" spans="1:4" x14ac:dyDescent="0.15">
      <c r="A242" s="3"/>
      <c r="C242" s="2"/>
      <c r="D242" s="2"/>
    </row>
    <row r="243" spans="1:4" x14ac:dyDescent="0.15">
      <c r="A243" s="3"/>
      <c r="C243" s="2"/>
      <c r="D243" s="2"/>
    </row>
    <row r="244" spans="1:4" x14ac:dyDescent="0.15">
      <c r="A244" s="3"/>
      <c r="C244" s="2"/>
      <c r="D244" s="2"/>
    </row>
    <row r="245" spans="1:4" x14ac:dyDescent="0.15">
      <c r="A245" s="3"/>
      <c r="C245" s="2"/>
      <c r="D245" s="2"/>
    </row>
    <row r="246" spans="1:4" x14ac:dyDescent="0.15">
      <c r="A246" s="3"/>
      <c r="C246" s="2"/>
      <c r="D246" s="2"/>
    </row>
    <row r="247" spans="1:4" x14ac:dyDescent="0.15">
      <c r="A247" s="3"/>
      <c r="C247" s="2"/>
      <c r="D247" s="2"/>
    </row>
    <row r="248" spans="1:4" x14ac:dyDescent="0.15">
      <c r="A248" s="3"/>
      <c r="C248" s="2"/>
      <c r="D248" s="2"/>
    </row>
    <row r="249" spans="1:4" x14ac:dyDescent="0.15">
      <c r="A249" s="3"/>
      <c r="C249" s="2"/>
      <c r="D249" s="2"/>
    </row>
    <row r="250" spans="1:4" x14ac:dyDescent="0.15">
      <c r="A250" s="3"/>
      <c r="C250" s="2"/>
      <c r="D250" s="2"/>
    </row>
    <row r="251" spans="1:4" x14ac:dyDescent="0.15">
      <c r="A251" s="3"/>
      <c r="C251" s="2"/>
      <c r="D251" s="2"/>
    </row>
    <row r="252" spans="1:4" x14ac:dyDescent="0.15">
      <c r="A252" s="3"/>
      <c r="C252" s="2"/>
      <c r="D252" s="2"/>
    </row>
    <row r="253" spans="1:4" x14ac:dyDescent="0.15">
      <c r="A253" s="3"/>
      <c r="C253" s="2"/>
      <c r="D253" s="2"/>
    </row>
    <row r="254" spans="1:4" x14ac:dyDescent="0.15">
      <c r="A254" s="3"/>
      <c r="C254" s="2"/>
      <c r="D254" s="2"/>
    </row>
    <row r="255" spans="1:4" x14ac:dyDescent="0.15">
      <c r="A255" s="3"/>
      <c r="C255" s="2"/>
      <c r="D255" s="2"/>
    </row>
    <row r="256" spans="1:4" x14ac:dyDescent="0.15">
      <c r="A256" s="3"/>
      <c r="C256" s="2"/>
      <c r="D256" s="2"/>
    </row>
    <row r="257" spans="1:4" x14ac:dyDescent="0.15">
      <c r="A257" s="3"/>
      <c r="C257" s="2"/>
      <c r="D257" s="2"/>
    </row>
    <row r="258" spans="1:4" x14ac:dyDescent="0.15">
      <c r="A258" s="3"/>
      <c r="C258" s="2"/>
      <c r="D258" s="2"/>
    </row>
    <row r="259" spans="1:4" x14ac:dyDescent="0.15">
      <c r="A259" s="3"/>
      <c r="C259" s="2"/>
      <c r="D259" s="2"/>
    </row>
    <row r="260" spans="1:4" x14ac:dyDescent="0.15">
      <c r="A260" s="3"/>
      <c r="C260" s="2"/>
      <c r="D260" s="2"/>
    </row>
    <row r="261" spans="1:4" x14ac:dyDescent="0.15">
      <c r="A261" s="3"/>
      <c r="C261" s="2"/>
      <c r="D261" s="2"/>
    </row>
    <row r="262" spans="1:4" x14ac:dyDescent="0.15">
      <c r="A262" s="3"/>
      <c r="C262" s="2"/>
      <c r="D262" s="2"/>
    </row>
    <row r="263" spans="1:4" x14ac:dyDescent="0.15">
      <c r="A263" s="3"/>
      <c r="C263" s="2"/>
      <c r="D263" s="2"/>
    </row>
    <row r="264" spans="1:4" x14ac:dyDescent="0.15">
      <c r="A264" s="3"/>
      <c r="C264" s="2"/>
      <c r="D264" s="2"/>
    </row>
    <row r="265" spans="1:4" x14ac:dyDescent="0.15">
      <c r="A265" s="3"/>
      <c r="C265" s="2"/>
      <c r="D265" s="2"/>
    </row>
    <row r="266" spans="1:4" x14ac:dyDescent="0.15">
      <c r="A266" s="3"/>
      <c r="C266" s="2"/>
      <c r="D266" s="2"/>
    </row>
    <row r="267" spans="1:4" x14ac:dyDescent="0.15">
      <c r="A267" s="3"/>
      <c r="C267" s="2"/>
      <c r="D267" s="2"/>
    </row>
    <row r="268" spans="1:4" x14ac:dyDescent="0.15">
      <c r="A268" s="3"/>
      <c r="C268" s="2"/>
      <c r="D268" s="2"/>
    </row>
    <row r="269" spans="1:4" x14ac:dyDescent="0.15">
      <c r="A269" s="3"/>
      <c r="C269" s="2"/>
      <c r="D269" s="2"/>
    </row>
    <row r="270" spans="1:4" x14ac:dyDescent="0.15">
      <c r="A270" s="3"/>
      <c r="C270" s="2"/>
      <c r="D270" s="2"/>
    </row>
    <row r="271" spans="1:4" x14ac:dyDescent="0.15">
      <c r="A271" s="3"/>
      <c r="C271" s="2"/>
      <c r="D271" s="2"/>
    </row>
    <row r="272" spans="1:4" x14ac:dyDescent="0.15">
      <c r="A272" s="3"/>
      <c r="C272" s="2"/>
      <c r="D272" s="2"/>
    </row>
    <row r="273" spans="1:4" x14ac:dyDescent="0.15">
      <c r="A273" s="3"/>
      <c r="C273" s="2"/>
      <c r="D273" s="2"/>
    </row>
    <row r="274" spans="1:4" x14ac:dyDescent="0.15">
      <c r="A274" s="3"/>
      <c r="C274" s="2"/>
      <c r="D274" s="2"/>
    </row>
    <row r="275" spans="1:4" x14ac:dyDescent="0.15">
      <c r="A275" s="3"/>
      <c r="C275" s="2"/>
      <c r="D275" s="2"/>
    </row>
    <row r="276" spans="1:4" x14ac:dyDescent="0.15">
      <c r="A276" s="3"/>
      <c r="C276" s="2"/>
      <c r="D276" s="2"/>
    </row>
    <row r="277" spans="1:4" x14ac:dyDescent="0.15">
      <c r="A277" s="3"/>
      <c r="C277" s="2"/>
      <c r="D277" s="2"/>
    </row>
    <row r="278" spans="1:4" x14ac:dyDescent="0.15">
      <c r="A278" s="3"/>
      <c r="C278" s="2"/>
      <c r="D278" s="2"/>
    </row>
    <row r="279" spans="1:4" x14ac:dyDescent="0.15">
      <c r="A279" s="3"/>
      <c r="C279" s="2"/>
      <c r="D279" s="2"/>
    </row>
    <row r="280" spans="1:4" x14ac:dyDescent="0.15">
      <c r="A280" s="3"/>
      <c r="C280" s="2"/>
      <c r="D280" s="2"/>
    </row>
    <row r="281" spans="1:4" x14ac:dyDescent="0.15">
      <c r="A281" s="3"/>
      <c r="C281" s="2"/>
      <c r="D281" s="2"/>
    </row>
    <row r="282" spans="1:4" x14ac:dyDescent="0.15">
      <c r="A282" s="3"/>
      <c r="C282" s="2"/>
      <c r="D282" s="2"/>
    </row>
    <row r="283" spans="1:4" x14ac:dyDescent="0.15">
      <c r="A283" s="3"/>
      <c r="C283" s="2"/>
      <c r="D283" s="2"/>
    </row>
    <row r="284" spans="1:4" x14ac:dyDescent="0.15">
      <c r="A284" s="3"/>
      <c r="C284" s="2"/>
      <c r="D284" s="2"/>
    </row>
    <row r="285" spans="1:4" x14ac:dyDescent="0.15">
      <c r="A285" s="3"/>
      <c r="C285" s="2"/>
      <c r="D285" s="2"/>
    </row>
    <row r="286" spans="1:4" x14ac:dyDescent="0.15">
      <c r="A286" s="3"/>
      <c r="C286" s="2"/>
      <c r="D286" s="2"/>
    </row>
    <row r="287" spans="1:4" x14ac:dyDescent="0.15">
      <c r="A287" s="3"/>
      <c r="C287" s="2"/>
      <c r="D287" s="2"/>
    </row>
    <row r="288" spans="1:4" x14ac:dyDescent="0.15">
      <c r="A288" s="3"/>
      <c r="C288" s="2"/>
      <c r="D288" s="2"/>
    </row>
    <row r="289" spans="1:4" x14ac:dyDescent="0.15">
      <c r="A289" s="3"/>
      <c r="C289" s="2"/>
      <c r="D289" s="2"/>
    </row>
    <row r="290" spans="1:4" x14ac:dyDescent="0.15">
      <c r="A290" s="3"/>
      <c r="C290" s="2"/>
      <c r="D290" s="2"/>
    </row>
    <row r="291" spans="1:4" x14ac:dyDescent="0.15">
      <c r="A291" s="3"/>
      <c r="C291" s="2"/>
      <c r="D291" s="2"/>
    </row>
    <row r="292" spans="1:4" x14ac:dyDescent="0.15">
      <c r="A292" s="3"/>
      <c r="C292" s="2"/>
      <c r="D292" s="2"/>
    </row>
    <row r="293" spans="1:4" x14ac:dyDescent="0.15">
      <c r="A293" s="3"/>
      <c r="C293" s="2"/>
      <c r="D293" s="2"/>
    </row>
    <row r="294" spans="1:4" x14ac:dyDescent="0.15">
      <c r="A294" s="3"/>
      <c r="C294" s="2"/>
      <c r="D294" s="2"/>
    </row>
    <row r="295" spans="1:4" x14ac:dyDescent="0.15">
      <c r="A295" s="3"/>
      <c r="C295" s="2"/>
      <c r="D295" s="2"/>
    </row>
    <row r="296" spans="1:4" x14ac:dyDescent="0.15">
      <c r="A296" s="3"/>
      <c r="C296" s="2"/>
      <c r="D296" s="2"/>
    </row>
    <row r="297" spans="1:4" x14ac:dyDescent="0.15">
      <c r="A297" s="3"/>
      <c r="C297" s="2"/>
      <c r="D297" s="2"/>
    </row>
    <row r="298" spans="1:4" x14ac:dyDescent="0.15">
      <c r="A298" s="3"/>
      <c r="C298" s="2"/>
      <c r="D298" s="2"/>
    </row>
    <row r="299" spans="1:4" x14ac:dyDescent="0.15">
      <c r="A299" s="3"/>
      <c r="C299" s="2"/>
      <c r="D299" s="2"/>
    </row>
    <row r="300" spans="1:4" x14ac:dyDescent="0.15">
      <c r="A300" s="3"/>
      <c r="C300" s="2"/>
      <c r="D300" s="2"/>
    </row>
    <row r="301" spans="1:4" x14ac:dyDescent="0.15">
      <c r="A301" s="3"/>
      <c r="C301" s="2"/>
      <c r="D301" s="2"/>
    </row>
    <row r="302" spans="1:4" x14ac:dyDescent="0.15">
      <c r="A302" s="3"/>
      <c r="C302" s="2"/>
      <c r="D302" s="2"/>
    </row>
    <row r="303" spans="1:4" x14ac:dyDescent="0.15">
      <c r="A303" s="3"/>
      <c r="C303" s="2"/>
      <c r="D303" s="2"/>
    </row>
    <row r="304" spans="1:4" x14ac:dyDescent="0.15">
      <c r="A304" s="3"/>
      <c r="C304" s="2"/>
      <c r="D304" s="2"/>
    </row>
    <row r="305" spans="1:4" x14ac:dyDescent="0.15">
      <c r="A305" s="3"/>
      <c r="C305" s="2"/>
      <c r="D305" s="2"/>
    </row>
    <row r="306" spans="1:4" x14ac:dyDescent="0.15">
      <c r="A306" s="3"/>
      <c r="C306" s="2"/>
      <c r="D306" s="2"/>
    </row>
    <row r="307" spans="1:4" x14ac:dyDescent="0.15">
      <c r="A307" s="3"/>
      <c r="C307" s="2"/>
      <c r="D307" s="2"/>
    </row>
    <row r="308" spans="1:4" x14ac:dyDescent="0.15">
      <c r="A308" s="3"/>
      <c r="C308" s="2"/>
      <c r="D308" s="2"/>
    </row>
    <row r="309" spans="1:4" x14ac:dyDescent="0.15">
      <c r="A309" s="3"/>
      <c r="C309" s="2"/>
      <c r="D309" s="2"/>
    </row>
    <row r="310" spans="1:4" x14ac:dyDescent="0.15">
      <c r="A310" s="3"/>
      <c r="C310" s="2"/>
      <c r="D310" s="2"/>
    </row>
    <row r="311" spans="1:4" x14ac:dyDescent="0.15">
      <c r="A311" s="3"/>
      <c r="C311" s="2"/>
      <c r="D311" s="2"/>
    </row>
    <row r="312" spans="1:4" x14ac:dyDescent="0.15">
      <c r="A312" s="3"/>
      <c r="C312" s="2"/>
      <c r="D312" s="2"/>
    </row>
    <row r="313" spans="1:4" x14ac:dyDescent="0.15">
      <c r="A313" s="3"/>
      <c r="C313" s="2"/>
      <c r="D313" s="2"/>
    </row>
    <row r="314" spans="1:4" x14ac:dyDescent="0.15">
      <c r="A314" s="3"/>
      <c r="C314" s="2"/>
      <c r="D314" s="2"/>
    </row>
    <row r="315" spans="1:4" x14ac:dyDescent="0.15">
      <c r="A315" s="3"/>
      <c r="C315" s="2"/>
      <c r="D315" s="2"/>
    </row>
    <row r="316" spans="1:4" x14ac:dyDescent="0.15">
      <c r="A316" s="3"/>
      <c r="C316" s="2"/>
      <c r="D316" s="2"/>
    </row>
    <row r="317" spans="1:4" x14ac:dyDescent="0.15">
      <c r="A317" s="3"/>
      <c r="C317" s="2"/>
      <c r="D317" s="2"/>
    </row>
    <row r="318" spans="1:4" x14ac:dyDescent="0.15">
      <c r="A318" s="3"/>
      <c r="C318" s="2"/>
      <c r="D318" s="2"/>
    </row>
    <row r="319" spans="1:4" x14ac:dyDescent="0.15">
      <c r="A319" s="3"/>
      <c r="C319" s="2"/>
      <c r="D319" s="2"/>
    </row>
    <row r="320" spans="1:4" x14ac:dyDescent="0.15">
      <c r="A320" s="3"/>
      <c r="C320" s="2"/>
      <c r="D320" s="2"/>
    </row>
    <row r="321" spans="1:4" x14ac:dyDescent="0.15">
      <c r="A321" s="3"/>
      <c r="C321" s="2"/>
      <c r="D321" s="2"/>
    </row>
    <row r="322" spans="1:4" x14ac:dyDescent="0.15">
      <c r="A322" s="3"/>
      <c r="C322" s="2"/>
      <c r="D322" s="2"/>
    </row>
    <row r="323" spans="1:4" x14ac:dyDescent="0.15">
      <c r="A323" s="3"/>
      <c r="C323" s="2"/>
      <c r="D323" s="2"/>
    </row>
    <row r="324" spans="1:4" x14ac:dyDescent="0.15">
      <c r="A324" s="3"/>
      <c r="C324" s="2"/>
      <c r="D324" s="2"/>
    </row>
    <row r="325" spans="1:4" x14ac:dyDescent="0.15">
      <c r="A325" s="3"/>
      <c r="C325" s="2"/>
      <c r="D325" s="2"/>
    </row>
    <row r="326" spans="1:4" x14ac:dyDescent="0.15">
      <c r="A326" s="3"/>
      <c r="C326" s="2"/>
      <c r="D326" s="2"/>
    </row>
    <row r="327" spans="1:4" x14ac:dyDescent="0.15">
      <c r="A327" s="3"/>
      <c r="C327" s="2"/>
      <c r="D327" s="2"/>
    </row>
    <row r="328" spans="1:4" x14ac:dyDescent="0.15">
      <c r="A328" s="3"/>
      <c r="C328" s="2"/>
      <c r="D328" s="2"/>
    </row>
    <row r="329" spans="1:4" x14ac:dyDescent="0.15">
      <c r="A329" s="3"/>
      <c r="C329" s="2"/>
      <c r="D329" s="2"/>
    </row>
    <row r="330" spans="1:4" x14ac:dyDescent="0.15">
      <c r="A330" s="3"/>
      <c r="C330" s="2"/>
      <c r="D330" s="2"/>
    </row>
    <row r="331" spans="1:4" x14ac:dyDescent="0.15">
      <c r="A331" s="3"/>
      <c r="C331" s="2"/>
      <c r="D331" s="2"/>
    </row>
    <row r="332" spans="1:4" x14ac:dyDescent="0.15">
      <c r="A332" s="3"/>
      <c r="C332" s="2"/>
      <c r="D332" s="2"/>
    </row>
    <row r="333" spans="1:4" x14ac:dyDescent="0.15">
      <c r="A333" s="3"/>
      <c r="C333" s="2"/>
      <c r="D333" s="2"/>
    </row>
    <row r="334" spans="1:4" x14ac:dyDescent="0.15">
      <c r="A334" s="3"/>
      <c r="C334" s="2"/>
      <c r="D334" s="2"/>
    </row>
    <row r="335" spans="1:4" x14ac:dyDescent="0.15">
      <c r="A335" s="3"/>
      <c r="C335" s="2"/>
      <c r="D335" s="2"/>
    </row>
    <row r="336" spans="1:4" x14ac:dyDescent="0.15">
      <c r="A336" s="3"/>
      <c r="C336" s="2"/>
      <c r="D336" s="2"/>
    </row>
    <row r="337" spans="1:4" x14ac:dyDescent="0.15">
      <c r="A337" s="3"/>
      <c r="C337" s="2"/>
      <c r="D337" s="2"/>
    </row>
    <row r="338" spans="1:4" x14ac:dyDescent="0.15">
      <c r="A338" s="3"/>
      <c r="C338" s="2"/>
      <c r="D338" s="2"/>
    </row>
    <row r="339" spans="1:4" x14ac:dyDescent="0.15">
      <c r="A339" s="3"/>
      <c r="C339" s="2"/>
      <c r="D339" s="2"/>
    </row>
    <row r="340" spans="1:4" x14ac:dyDescent="0.15">
      <c r="A340" s="3"/>
      <c r="C340" s="2"/>
      <c r="D340" s="2"/>
    </row>
    <row r="341" spans="1:4" x14ac:dyDescent="0.15">
      <c r="A341" s="3"/>
      <c r="C341" s="2"/>
      <c r="D341" s="2"/>
    </row>
    <row r="342" spans="1:4" x14ac:dyDescent="0.15">
      <c r="A342" s="3"/>
      <c r="C342" s="2"/>
      <c r="D342" s="2"/>
    </row>
    <row r="343" spans="1:4" x14ac:dyDescent="0.15">
      <c r="A343" s="3"/>
      <c r="C343" s="2"/>
      <c r="D343" s="2"/>
    </row>
    <row r="344" spans="1:4" x14ac:dyDescent="0.15">
      <c r="A344" s="3"/>
      <c r="C344" s="2"/>
      <c r="D344" s="2"/>
    </row>
    <row r="345" spans="1:4" x14ac:dyDescent="0.15">
      <c r="A345" s="3"/>
      <c r="C345" s="2"/>
      <c r="D345" s="2"/>
    </row>
    <row r="346" spans="1:4" x14ac:dyDescent="0.15">
      <c r="A346" s="3"/>
      <c r="C346" s="2"/>
      <c r="D346" s="2"/>
    </row>
    <row r="347" spans="1:4" x14ac:dyDescent="0.15">
      <c r="A347" s="3"/>
      <c r="C347" s="2"/>
      <c r="D347" s="2"/>
    </row>
    <row r="348" spans="1:4" x14ac:dyDescent="0.15">
      <c r="A348" s="3"/>
      <c r="C348" s="2"/>
      <c r="D348" s="2"/>
    </row>
    <row r="349" spans="1:4" x14ac:dyDescent="0.15">
      <c r="A349" s="3"/>
      <c r="C349" s="2"/>
      <c r="D349" s="2"/>
    </row>
    <row r="350" spans="1:4" x14ac:dyDescent="0.15">
      <c r="A350" s="3"/>
      <c r="C350" s="2"/>
      <c r="D350" s="2"/>
    </row>
    <row r="351" spans="1:4" x14ac:dyDescent="0.15">
      <c r="A351" s="3"/>
      <c r="C351" s="2"/>
      <c r="D351" s="2"/>
    </row>
    <row r="352" spans="1:4" x14ac:dyDescent="0.15">
      <c r="A352" s="3"/>
      <c r="C352" s="2"/>
      <c r="D352" s="2"/>
    </row>
    <row r="353" spans="1:4" x14ac:dyDescent="0.15">
      <c r="A353" s="3"/>
      <c r="C353" s="2"/>
      <c r="D353" s="2"/>
    </row>
    <row r="354" spans="1:4" x14ac:dyDescent="0.15">
      <c r="A354" s="3"/>
      <c r="C354" s="2"/>
      <c r="D354" s="2"/>
    </row>
    <row r="355" spans="1:4" x14ac:dyDescent="0.15">
      <c r="A355" s="3"/>
      <c r="C355" s="2"/>
      <c r="D355" s="2"/>
    </row>
    <row r="356" spans="1:4" x14ac:dyDescent="0.15">
      <c r="A356" s="3"/>
      <c r="C356" s="2"/>
      <c r="D356" s="2"/>
    </row>
    <row r="357" spans="1:4" x14ac:dyDescent="0.15">
      <c r="A357" s="3"/>
      <c r="C357" s="2"/>
      <c r="D357" s="2"/>
    </row>
    <row r="358" spans="1:4" x14ac:dyDescent="0.15">
      <c r="A358" s="3"/>
      <c r="C358" s="2"/>
      <c r="D358" s="2"/>
    </row>
    <row r="359" spans="1:4" x14ac:dyDescent="0.15">
      <c r="A359" s="3"/>
      <c r="C359" s="2"/>
      <c r="D359" s="2"/>
    </row>
    <row r="360" spans="1:4" x14ac:dyDescent="0.15">
      <c r="A360" s="3"/>
      <c r="C360" s="2"/>
      <c r="D360" s="2"/>
    </row>
    <row r="361" spans="1:4" x14ac:dyDescent="0.15">
      <c r="A361" s="3"/>
      <c r="C361" s="2"/>
      <c r="D361" s="2"/>
    </row>
    <row r="362" spans="1:4" x14ac:dyDescent="0.15">
      <c r="A362" s="3"/>
      <c r="C362" s="2"/>
      <c r="D362" s="2"/>
    </row>
    <row r="363" spans="1:4" x14ac:dyDescent="0.15">
      <c r="A363" s="3"/>
      <c r="C363" s="2"/>
      <c r="D363" s="2"/>
    </row>
    <row r="364" spans="1:4" x14ac:dyDescent="0.15">
      <c r="A364" s="3"/>
      <c r="C364" s="2"/>
      <c r="D364" s="2"/>
    </row>
    <row r="365" spans="1:4" x14ac:dyDescent="0.15">
      <c r="A365" s="3"/>
      <c r="C365" s="2"/>
      <c r="D365" s="2"/>
    </row>
    <row r="366" spans="1:4" x14ac:dyDescent="0.15">
      <c r="A366" s="3"/>
      <c r="C366" s="2"/>
      <c r="D366" s="2"/>
    </row>
    <row r="367" spans="1:4" x14ac:dyDescent="0.15">
      <c r="A367" s="3"/>
      <c r="C367" s="2"/>
      <c r="D367" s="2"/>
    </row>
    <row r="368" spans="1:4" x14ac:dyDescent="0.15">
      <c r="A368" s="3"/>
      <c r="C368" s="2"/>
      <c r="D368" s="2"/>
    </row>
    <row r="369" spans="1:4" x14ac:dyDescent="0.15">
      <c r="A369" s="3"/>
      <c r="C369" s="2"/>
      <c r="D369" s="2"/>
    </row>
    <row r="370" spans="1:4" x14ac:dyDescent="0.15">
      <c r="A370" s="3"/>
      <c r="C370" s="2"/>
      <c r="D370" s="2"/>
    </row>
    <row r="371" spans="1:4" x14ac:dyDescent="0.15">
      <c r="A371" s="3"/>
      <c r="C371" s="2"/>
      <c r="D371" s="2"/>
    </row>
    <row r="372" spans="1:4" x14ac:dyDescent="0.15">
      <c r="A372" s="3"/>
      <c r="C372" s="2"/>
      <c r="D372" s="2"/>
    </row>
    <row r="373" spans="1:4" x14ac:dyDescent="0.15">
      <c r="A373" s="3"/>
      <c r="C373" s="2"/>
      <c r="D373" s="2"/>
    </row>
    <row r="374" spans="1:4" x14ac:dyDescent="0.15">
      <c r="A374" s="3"/>
      <c r="C374" s="2"/>
      <c r="D374" s="2"/>
    </row>
    <row r="375" spans="1:4" x14ac:dyDescent="0.15">
      <c r="A375" s="3"/>
      <c r="C375" s="2"/>
      <c r="D375" s="2"/>
    </row>
    <row r="376" spans="1:4" x14ac:dyDescent="0.15">
      <c r="A376" s="3"/>
      <c r="C376" s="2"/>
      <c r="D376" s="2"/>
    </row>
    <row r="377" spans="1:4" x14ac:dyDescent="0.15">
      <c r="A377" s="3"/>
      <c r="C377" s="2"/>
      <c r="D377" s="2"/>
    </row>
    <row r="378" spans="1:4" x14ac:dyDescent="0.15">
      <c r="A378" s="3"/>
      <c r="C378" s="2"/>
      <c r="D378" s="2"/>
    </row>
    <row r="379" spans="1:4" x14ac:dyDescent="0.15">
      <c r="A379" s="3"/>
      <c r="C379" s="2"/>
      <c r="D379" s="2"/>
    </row>
    <row r="380" spans="1:4" x14ac:dyDescent="0.15">
      <c r="A380" s="3"/>
      <c r="C380" s="2"/>
      <c r="D380" s="2"/>
    </row>
    <row r="381" spans="1:4" x14ac:dyDescent="0.15">
      <c r="A381" s="3"/>
      <c r="C381" s="2"/>
      <c r="D381" s="2"/>
    </row>
    <row r="382" spans="1:4" x14ac:dyDescent="0.15">
      <c r="A382" s="3"/>
      <c r="C382" s="2"/>
      <c r="D382" s="2"/>
    </row>
    <row r="383" spans="1:4" x14ac:dyDescent="0.15">
      <c r="A383" s="3"/>
      <c r="C383" s="2"/>
      <c r="D383" s="2"/>
    </row>
    <row r="384" spans="1:4" x14ac:dyDescent="0.15">
      <c r="A384" s="3"/>
      <c r="C384" s="2"/>
      <c r="D384" s="2"/>
    </row>
    <row r="385" spans="1:4" x14ac:dyDescent="0.15">
      <c r="A385" s="3"/>
      <c r="C385" s="2"/>
      <c r="D385" s="2"/>
    </row>
    <row r="386" spans="1:4" x14ac:dyDescent="0.15">
      <c r="A386" s="3"/>
      <c r="C386" s="2"/>
      <c r="D386" s="2"/>
    </row>
    <row r="387" spans="1:4" x14ac:dyDescent="0.15">
      <c r="A387" s="3"/>
      <c r="C387" s="2"/>
      <c r="D387" s="2"/>
    </row>
    <row r="388" spans="1:4" x14ac:dyDescent="0.15">
      <c r="A388" s="3"/>
      <c r="C388" s="2"/>
      <c r="D388" s="2"/>
    </row>
    <row r="389" spans="1:4" x14ac:dyDescent="0.15">
      <c r="A389" s="3"/>
      <c r="C389" s="2"/>
      <c r="D389" s="2"/>
    </row>
    <row r="390" spans="1:4" x14ac:dyDescent="0.15">
      <c r="A390" s="3"/>
      <c r="C390" s="2"/>
      <c r="D390" s="2"/>
    </row>
    <row r="391" spans="1:4" x14ac:dyDescent="0.15">
      <c r="A391" s="3"/>
      <c r="C391" s="2"/>
      <c r="D391" s="2"/>
    </row>
    <row r="392" spans="1:4" x14ac:dyDescent="0.15">
      <c r="A392" s="3"/>
      <c r="C392" s="2"/>
      <c r="D392" s="2"/>
    </row>
    <row r="393" spans="1:4" x14ac:dyDescent="0.15">
      <c r="A393" s="3"/>
      <c r="C393" s="2"/>
      <c r="D393" s="2"/>
    </row>
    <row r="394" spans="1:4" x14ac:dyDescent="0.15">
      <c r="A394" s="3"/>
      <c r="C394" s="2"/>
      <c r="D394" s="2"/>
    </row>
    <row r="395" spans="1:4" x14ac:dyDescent="0.15">
      <c r="A395" s="3"/>
      <c r="C395" s="2"/>
      <c r="D395" s="2"/>
    </row>
    <row r="396" spans="1:4" x14ac:dyDescent="0.15">
      <c r="A396" s="3"/>
      <c r="C396" s="2"/>
      <c r="D396" s="2"/>
    </row>
    <row r="397" spans="1:4" x14ac:dyDescent="0.15">
      <c r="A397" s="3"/>
      <c r="C397" s="2"/>
      <c r="D397" s="2"/>
    </row>
    <row r="398" spans="1:4" x14ac:dyDescent="0.15">
      <c r="A398" s="3"/>
      <c r="C398" s="2"/>
      <c r="D398" s="2"/>
    </row>
    <row r="399" spans="1:4" x14ac:dyDescent="0.15">
      <c r="A399" s="3"/>
      <c r="C399" s="2"/>
      <c r="D399" s="2"/>
    </row>
    <row r="400" spans="1:4" x14ac:dyDescent="0.15">
      <c r="A400" s="3"/>
      <c r="C400" s="2"/>
      <c r="D400" s="2"/>
    </row>
    <row r="401" spans="1:4" x14ac:dyDescent="0.15">
      <c r="A401" s="3"/>
      <c r="C401" s="2"/>
      <c r="D401" s="2"/>
    </row>
    <row r="402" spans="1:4" x14ac:dyDescent="0.15">
      <c r="A402" s="3"/>
      <c r="C402" s="2"/>
      <c r="D402" s="2"/>
    </row>
    <row r="403" spans="1:4" x14ac:dyDescent="0.15">
      <c r="A403" s="3"/>
      <c r="C403" s="2"/>
      <c r="D403" s="2"/>
    </row>
    <row r="404" spans="1:4" x14ac:dyDescent="0.15">
      <c r="A404" s="3"/>
      <c r="C404" s="2"/>
      <c r="D404" s="2"/>
    </row>
    <row r="405" spans="1:4" x14ac:dyDescent="0.15">
      <c r="A405" s="3"/>
      <c r="C405" s="2"/>
      <c r="D405" s="2"/>
    </row>
    <row r="406" spans="1:4" x14ac:dyDescent="0.15">
      <c r="A406" s="3"/>
      <c r="C406" s="2"/>
      <c r="D406" s="2"/>
    </row>
    <row r="407" spans="1:4" x14ac:dyDescent="0.15">
      <c r="A407" s="3"/>
      <c r="C407" s="2"/>
      <c r="D407" s="2"/>
    </row>
    <row r="408" spans="1:4" x14ac:dyDescent="0.15">
      <c r="A408" s="3"/>
      <c r="C408" s="2"/>
      <c r="D408" s="2"/>
    </row>
    <row r="409" spans="1:4" x14ac:dyDescent="0.15">
      <c r="A409" s="3"/>
      <c r="C409" s="2"/>
      <c r="D409" s="2"/>
    </row>
    <row r="410" spans="1:4" x14ac:dyDescent="0.15">
      <c r="A410" s="3"/>
      <c r="C410" s="2"/>
      <c r="D410" s="2"/>
    </row>
    <row r="411" spans="1:4" x14ac:dyDescent="0.15">
      <c r="A411" s="3"/>
      <c r="C411" s="2"/>
      <c r="D411" s="2"/>
    </row>
    <row r="412" spans="1:4" x14ac:dyDescent="0.15">
      <c r="A412" s="3"/>
      <c r="C412" s="2"/>
      <c r="D412" s="2"/>
    </row>
    <row r="413" spans="1:4" x14ac:dyDescent="0.15">
      <c r="A413" s="3"/>
      <c r="C413" s="2"/>
      <c r="D413" s="2"/>
    </row>
    <row r="414" spans="1:4" x14ac:dyDescent="0.15">
      <c r="A414" s="3"/>
      <c r="C414" s="2"/>
      <c r="D414" s="2"/>
    </row>
    <row r="415" spans="1:4" x14ac:dyDescent="0.15">
      <c r="A415" s="3"/>
      <c r="C415" s="2"/>
      <c r="D415" s="2"/>
    </row>
    <row r="416" spans="1:4" x14ac:dyDescent="0.15">
      <c r="A416" s="3"/>
      <c r="C416" s="2"/>
      <c r="D416" s="2"/>
    </row>
    <row r="417" spans="1:4" x14ac:dyDescent="0.15">
      <c r="A417" s="3"/>
      <c r="C417" s="2"/>
      <c r="D417" s="2"/>
    </row>
    <row r="418" spans="1:4" x14ac:dyDescent="0.15">
      <c r="A418" s="3"/>
      <c r="C418" s="2"/>
      <c r="D418" s="2"/>
    </row>
    <row r="419" spans="1:4" x14ac:dyDescent="0.15">
      <c r="A419" s="3"/>
      <c r="C419" s="2"/>
      <c r="D419" s="2"/>
    </row>
    <row r="420" spans="1:4" x14ac:dyDescent="0.15">
      <c r="A420" s="3"/>
      <c r="C420" s="2"/>
      <c r="D420" s="2"/>
    </row>
    <row r="421" spans="1:4" x14ac:dyDescent="0.15">
      <c r="A421" s="3"/>
      <c r="C421" s="2"/>
      <c r="D421" s="2"/>
    </row>
    <row r="422" spans="1:4" x14ac:dyDescent="0.15">
      <c r="A422" s="3"/>
      <c r="C422" s="2"/>
      <c r="D422" s="2"/>
    </row>
    <row r="423" spans="1:4" x14ac:dyDescent="0.15">
      <c r="A423" s="3"/>
      <c r="C423" s="2"/>
      <c r="D423" s="2"/>
    </row>
    <row r="424" spans="1:4" x14ac:dyDescent="0.15">
      <c r="A424" s="3"/>
      <c r="C424" s="2"/>
      <c r="D424" s="2"/>
    </row>
    <row r="425" spans="1:4" x14ac:dyDescent="0.15">
      <c r="A425" s="3"/>
      <c r="C425" s="2"/>
      <c r="D425" s="2"/>
    </row>
    <row r="426" spans="1:4" x14ac:dyDescent="0.15">
      <c r="A426" s="3"/>
      <c r="C426" s="2"/>
      <c r="D426" s="2"/>
    </row>
    <row r="427" spans="1:4" x14ac:dyDescent="0.15">
      <c r="A427" s="3"/>
      <c r="C427" s="2"/>
      <c r="D427" s="2"/>
    </row>
    <row r="428" spans="1:4" x14ac:dyDescent="0.15">
      <c r="A428" s="3"/>
      <c r="C428" s="2"/>
      <c r="D428" s="2"/>
    </row>
    <row r="429" spans="1:4" x14ac:dyDescent="0.15">
      <c r="A429" s="3"/>
      <c r="C429" s="2"/>
      <c r="D429" s="2"/>
    </row>
    <row r="430" spans="1:4" x14ac:dyDescent="0.15">
      <c r="A430" s="3"/>
      <c r="C430" s="2"/>
      <c r="D430" s="2"/>
    </row>
    <row r="431" spans="1:4" x14ac:dyDescent="0.15">
      <c r="A431" s="3"/>
      <c r="C431" s="2"/>
      <c r="D431" s="2"/>
    </row>
    <row r="432" spans="1:4" x14ac:dyDescent="0.15">
      <c r="A432" s="3"/>
      <c r="C432" s="2"/>
      <c r="D432" s="2"/>
    </row>
    <row r="433" spans="1:4" x14ac:dyDescent="0.15">
      <c r="A433" s="3"/>
      <c r="C433" s="2"/>
      <c r="D433" s="2"/>
    </row>
    <row r="434" spans="1:4" x14ac:dyDescent="0.15">
      <c r="A434" s="3"/>
      <c r="C434" s="2"/>
      <c r="D434" s="2"/>
    </row>
    <row r="435" spans="1:4" x14ac:dyDescent="0.15">
      <c r="A435" s="3"/>
      <c r="C435" s="2"/>
      <c r="D435" s="2"/>
    </row>
    <row r="436" spans="1:4" x14ac:dyDescent="0.15">
      <c r="A436" s="3"/>
      <c r="C436" s="2"/>
      <c r="D436" s="2"/>
    </row>
    <row r="437" spans="1:4" x14ac:dyDescent="0.15">
      <c r="A437" s="3"/>
      <c r="C437" s="2"/>
      <c r="D437" s="2"/>
    </row>
    <row r="438" spans="1:4" x14ac:dyDescent="0.15">
      <c r="A438" s="3"/>
      <c r="C438" s="2"/>
      <c r="D438" s="2"/>
    </row>
    <row r="439" spans="1:4" x14ac:dyDescent="0.15">
      <c r="A439" s="3"/>
      <c r="C439" s="2"/>
      <c r="D439" s="2"/>
    </row>
    <row r="440" spans="1:4" x14ac:dyDescent="0.15">
      <c r="A440" s="3"/>
      <c r="C440" s="2"/>
      <c r="D440" s="2"/>
    </row>
    <row r="441" spans="1:4" x14ac:dyDescent="0.15">
      <c r="A441" s="3"/>
      <c r="C441" s="2"/>
      <c r="D441" s="2"/>
    </row>
    <row r="442" spans="1:4" x14ac:dyDescent="0.15">
      <c r="A442" s="3"/>
      <c r="C442" s="2"/>
      <c r="D442" s="2"/>
    </row>
    <row r="443" spans="1:4" x14ac:dyDescent="0.15">
      <c r="A443" s="3"/>
      <c r="C443" s="2"/>
      <c r="D443" s="2"/>
    </row>
    <row r="444" spans="1:4" x14ac:dyDescent="0.15">
      <c r="A444" s="3"/>
      <c r="C444" s="2"/>
      <c r="D444" s="2"/>
    </row>
    <row r="445" spans="1:4" x14ac:dyDescent="0.15">
      <c r="A445" s="3"/>
      <c r="C445" s="2"/>
      <c r="D445" s="2"/>
    </row>
    <row r="446" spans="1:4" x14ac:dyDescent="0.15">
      <c r="A446" s="3"/>
      <c r="C446" s="2"/>
      <c r="D446" s="2"/>
    </row>
    <row r="447" spans="1:4" x14ac:dyDescent="0.15">
      <c r="A447" s="3"/>
      <c r="C447" s="2"/>
      <c r="D447" s="2"/>
    </row>
    <row r="448" spans="1:4" x14ac:dyDescent="0.15">
      <c r="A448" s="3"/>
      <c r="C448" s="2"/>
      <c r="D448" s="2"/>
    </row>
    <row r="449" spans="1:4" x14ac:dyDescent="0.15">
      <c r="A449" s="3"/>
      <c r="C449" s="2"/>
      <c r="D449" s="2"/>
    </row>
    <row r="450" spans="1:4" x14ac:dyDescent="0.15">
      <c r="A450" s="3"/>
      <c r="C450" s="2"/>
      <c r="D450" s="2"/>
    </row>
    <row r="451" spans="1:4" x14ac:dyDescent="0.15">
      <c r="A451" s="3"/>
      <c r="C451" s="2"/>
      <c r="D451" s="2"/>
    </row>
    <row r="452" spans="1:4" x14ac:dyDescent="0.15">
      <c r="A452" s="3"/>
      <c r="C452" s="2"/>
      <c r="D452" s="2"/>
    </row>
    <row r="453" spans="1:4" x14ac:dyDescent="0.15">
      <c r="A453" s="3"/>
      <c r="C453" s="2"/>
      <c r="D453" s="2"/>
    </row>
    <row r="454" spans="1:4" x14ac:dyDescent="0.15">
      <c r="A454" s="3"/>
      <c r="C454" s="2"/>
      <c r="D454" s="2"/>
    </row>
    <row r="455" spans="1:4" x14ac:dyDescent="0.15">
      <c r="A455" s="3"/>
      <c r="C455" s="2"/>
      <c r="D455" s="2"/>
    </row>
    <row r="456" spans="1:4" x14ac:dyDescent="0.15">
      <c r="A456" s="3"/>
      <c r="C456" s="2"/>
      <c r="D456" s="2"/>
    </row>
    <row r="457" spans="1:4" x14ac:dyDescent="0.15">
      <c r="A457" s="3"/>
      <c r="C457" s="2"/>
      <c r="D457" s="2"/>
    </row>
    <row r="458" spans="1:4" x14ac:dyDescent="0.15">
      <c r="A458" s="3"/>
      <c r="C458" s="2"/>
      <c r="D458" s="2"/>
    </row>
    <row r="459" spans="1:4" x14ac:dyDescent="0.15">
      <c r="A459" s="3"/>
      <c r="C459" s="2"/>
      <c r="D459" s="2"/>
    </row>
    <row r="460" spans="1:4" x14ac:dyDescent="0.15">
      <c r="A460" s="3"/>
      <c r="C460" s="2"/>
      <c r="D460" s="2"/>
    </row>
    <row r="461" spans="1:4" x14ac:dyDescent="0.15">
      <c r="A461" s="3"/>
      <c r="C461" s="2"/>
      <c r="D461" s="2"/>
    </row>
    <row r="462" spans="1:4" x14ac:dyDescent="0.15">
      <c r="A462" s="3"/>
      <c r="C462" s="2"/>
      <c r="D462" s="2"/>
    </row>
    <row r="463" spans="1:4" x14ac:dyDescent="0.15">
      <c r="A463" s="3"/>
      <c r="C463" s="2"/>
      <c r="D463" s="2"/>
    </row>
    <row r="464" spans="1:4" x14ac:dyDescent="0.15">
      <c r="A464" s="3"/>
      <c r="C464" s="2"/>
      <c r="D464" s="2"/>
    </row>
    <row r="465" spans="1:4" x14ac:dyDescent="0.15">
      <c r="A465" s="3"/>
      <c r="C465" s="2"/>
      <c r="D465" s="2"/>
    </row>
    <row r="466" spans="1:4" x14ac:dyDescent="0.15">
      <c r="A466" s="3"/>
      <c r="C466" s="2"/>
      <c r="D466" s="2"/>
    </row>
    <row r="467" spans="1:4" x14ac:dyDescent="0.15">
      <c r="A467" s="3"/>
      <c r="C467" s="2"/>
      <c r="D467" s="2"/>
    </row>
    <row r="468" spans="1:4" x14ac:dyDescent="0.15">
      <c r="A468" s="3"/>
      <c r="C468" s="2"/>
      <c r="D468" s="2"/>
    </row>
    <row r="469" spans="1:4" x14ac:dyDescent="0.15">
      <c r="A469" s="3"/>
      <c r="C469" s="2"/>
      <c r="D469" s="2"/>
    </row>
    <row r="470" spans="1:4" x14ac:dyDescent="0.15">
      <c r="A470" s="3"/>
      <c r="C470" s="2"/>
      <c r="D470" s="2"/>
    </row>
    <row r="471" spans="1:4" x14ac:dyDescent="0.15">
      <c r="A471" s="3"/>
      <c r="C471" s="2"/>
      <c r="D471" s="2"/>
    </row>
    <row r="472" spans="1:4" x14ac:dyDescent="0.15">
      <c r="A472" s="3"/>
      <c r="C472" s="2"/>
      <c r="D472" s="2"/>
    </row>
    <row r="473" spans="1:4" x14ac:dyDescent="0.15">
      <c r="A473" s="3"/>
      <c r="C473" s="2"/>
      <c r="D473" s="2"/>
    </row>
    <row r="474" spans="1:4" x14ac:dyDescent="0.15">
      <c r="A474" s="3"/>
      <c r="C474" s="2"/>
      <c r="D474" s="2"/>
    </row>
    <row r="475" spans="1:4" x14ac:dyDescent="0.15">
      <c r="A475" s="3"/>
      <c r="C475" s="2"/>
      <c r="D475" s="2"/>
    </row>
    <row r="476" spans="1:4" x14ac:dyDescent="0.15">
      <c r="A476" s="3"/>
      <c r="C476" s="2"/>
      <c r="D476" s="2"/>
    </row>
    <row r="477" spans="1:4" x14ac:dyDescent="0.15">
      <c r="A477" s="3"/>
      <c r="C477" s="2"/>
      <c r="D477" s="2"/>
    </row>
    <row r="478" spans="1:4" x14ac:dyDescent="0.15">
      <c r="A478" s="3"/>
      <c r="C478" s="2"/>
      <c r="D478" s="2"/>
    </row>
    <row r="479" spans="1:4" x14ac:dyDescent="0.15">
      <c r="A479" s="3"/>
      <c r="C479" s="2"/>
      <c r="D479" s="2"/>
    </row>
    <row r="480" spans="1:4" x14ac:dyDescent="0.15">
      <c r="A480" s="3"/>
      <c r="C480" s="2"/>
      <c r="D480" s="2"/>
    </row>
    <row r="481" spans="1:4" x14ac:dyDescent="0.15">
      <c r="A481" s="3"/>
      <c r="C481" s="2"/>
      <c r="D481" s="2"/>
    </row>
    <row r="482" spans="1:4" x14ac:dyDescent="0.15">
      <c r="A482" s="3"/>
      <c r="C482" s="2"/>
      <c r="D482" s="2"/>
    </row>
    <row r="483" spans="1:4" x14ac:dyDescent="0.15">
      <c r="A483" s="3"/>
      <c r="C483" s="2"/>
      <c r="D483" s="2"/>
    </row>
    <row r="484" spans="1:4" x14ac:dyDescent="0.15">
      <c r="A484" s="3"/>
      <c r="C484" s="2"/>
      <c r="D484" s="2"/>
    </row>
    <row r="485" spans="1:4" x14ac:dyDescent="0.15">
      <c r="A485" s="3"/>
      <c r="C485" s="2"/>
      <c r="D485" s="2"/>
    </row>
    <row r="486" spans="1:4" x14ac:dyDescent="0.15">
      <c r="A486" s="3"/>
      <c r="C486" s="2"/>
      <c r="D486" s="2"/>
    </row>
    <row r="487" spans="1:4" x14ac:dyDescent="0.15">
      <c r="A487" s="3"/>
      <c r="C487" s="2"/>
      <c r="D487" s="2"/>
    </row>
    <row r="488" spans="1:4" x14ac:dyDescent="0.15">
      <c r="A488" s="3"/>
      <c r="C488" s="2"/>
      <c r="D488" s="2"/>
    </row>
    <row r="489" spans="1:4" x14ac:dyDescent="0.15">
      <c r="A489" s="3"/>
      <c r="C489" s="2"/>
      <c r="D489" s="2"/>
    </row>
    <row r="490" spans="1:4" x14ac:dyDescent="0.15">
      <c r="A490" s="3"/>
      <c r="C490" s="2"/>
      <c r="D490" s="2"/>
    </row>
    <row r="491" spans="1:4" x14ac:dyDescent="0.15">
      <c r="A491" s="3"/>
      <c r="C491" s="2"/>
      <c r="D491" s="2"/>
    </row>
    <row r="492" spans="1:4" x14ac:dyDescent="0.15">
      <c r="A492" s="3"/>
      <c r="C492" s="2"/>
      <c r="D492" s="2"/>
    </row>
    <row r="493" spans="1:4" x14ac:dyDescent="0.15">
      <c r="A493" s="3"/>
      <c r="C493" s="2"/>
      <c r="D493" s="2"/>
    </row>
    <row r="494" spans="1:4" x14ac:dyDescent="0.15">
      <c r="A494" s="3"/>
      <c r="C494" s="2"/>
      <c r="D494" s="2"/>
    </row>
    <row r="495" spans="1:4" x14ac:dyDescent="0.15">
      <c r="A495" s="3"/>
      <c r="C495" s="2"/>
      <c r="D495" s="2"/>
    </row>
    <row r="496" spans="1:4" x14ac:dyDescent="0.15">
      <c r="A496" s="3"/>
      <c r="C496" s="2"/>
      <c r="D496" s="2"/>
    </row>
    <row r="497" spans="1:4" x14ac:dyDescent="0.15">
      <c r="A497" s="3"/>
      <c r="C497" s="2"/>
      <c r="D497" s="2"/>
    </row>
    <row r="498" spans="1:4" x14ac:dyDescent="0.15">
      <c r="A498" s="3"/>
      <c r="C498" s="2"/>
      <c r="D498" s="2"/>
    </row>
    <row r="499" spans="1:4" x14ac:dyDescent="0.15">
      <c r="A499" s="3"/>
      <c r="C499" s="2"/>
      <c r="D499" s="2"/>
    </row>
    <row r="500" spans="1:4" x14ac:dyDescent="0.15">
      <c r="A500" s="3"/>
      <c r="C500" s="2"/>
      <c r="D500" s="2"/>
    </row>
    <row r="501" spans="1:4" x14ac:dyDescent="0.15">
      <c r="A501" s="3"/>
      <c r="C501" s="2"/>
      <c r="D501" s="2"/>
    </row>
    <row r="502" spans="1:4" x14ac:dyDescent="0.15">
      <c r="A502" s="3"/>
      <c r="C502" s="2"/>
      <c r="D502" s="2"/>
    </row>
    <row r="503" spans="1:4" x14ac:dyDescent="0.15">
      <c r="A503" s="3"/>
      <c r="C503" s="2"/>
      <c r="D503" s="2"/>
    </row>
    <row r="504" spans="1:4" x14ac:dyDescent="0.15">
      <c r="A504" s="3"/>
      <c r="C504" s="2"/>
      <c r="D504" s="2"/>
    </row>
    <row r="505" spans="1:4" x14ac:dyDescent="0.15">
      <c r="A505" s="3"/>
      <c r="C505" s="2"/>
      <c r="D505" s="2"/>
    </row>
    <row r="506" spans="1:4" x14ac:dyDescent="0.15">
      <c r="A506" s="3"/>
      <c r="C506" s="2"/>
      <c r="D506" s="2"/>
    </row>
    <row r="507" spans="1:4" x14ac:dyDescent="0.15">
      <c r="A507" s="3"/>
      <c r="C507" s="2"/>
      <c r="D507" s="2"/>
    </row>
    <row r="508" spans="1:4" x14ac:dyDescent="0.15">
      <c r="A508" s="3"/>
      <c r="C508" s="2"/>
      <c r="D508" s="2"/>
    </row>
    <row r="509" spans="1:4" x14ac:dyDescent="0.15">
      <c r="A509" s="3"/>
      <c r="C509" s="2"/>
      <c r="D509" s="2"/>
    </row>
    <row r="510" spans="1:4" x14ac:dyDescent="0.15">
      <c r="A510" s="3"/>
      <c r="C510" s="2"/>
      <c r="D510" s="2"/>
    </row>
    <row r="511" spans="1:4" x14ac:dyDescent="0.15">
      <c r="A511" s="3"/>
      <c r="C511" s="2"/>
      <c r="D511" s="2"/>
    </row>
    <row r="512" spans="1:4" x14ac:dyDescent="0.15">
      <c r="A512" s="3"/>
      <c r="C512" s="2"/>
      <c r="D512" s="2"/>
    </row>
    <row r="513" spans="1:4" x14ac:dyDescent="0.15">
      <c r="A513" s="3"/>
      <c r="C513" s="2"/>
      <c r="D513" s="2"/>
    </row>
    <row r="514" spans="1:4" x14ac:dyDescent="0.15">
      <c r="A514" s="3"/>
      <c r="C514" s="2"/>
      <c r="D514" s="2"/>
    </row>
    <row r="515" spans="1:4" x14ac:dyDescent="0.15">
      <c r="A515" s="3"/>
      <c r="C515" s="2"/>
      <c r="D515" s="2"/>
    </row>
    <row r="516" spans="1:4" x14ac:dyDescent="0.15">
      <c r="A516" s="3"/>
      <c r="C516" s="2"/>
      <c r="D516" s="2"/>
    </row>
    <row r="517" spans="1:4" x14ac:dyDescent="0.15">
      <c r="A517" s="3"/>
      <c r="C517" s="2"/>
      <c r="D517" s="2"/>
    </row>
    <row r="518" spans="1:4" x14ac:dyDescent="0.15">
      <c r="A518" s="3"/>
      <c r="C518" s="2"/>
      <c r="D518" s="2"/>
    </row>
    <row r="519" spans="1:4" x14ac:dyDescent="0.15">
      <c r="A519" s="3"/>
      <c r="C519" s="2"/>
      <c r="D519" s="2"/>
    </row>
    <row r="520" spans="1:4" x14ac:dyDescent="0.15">
      <c r="A520" s="3"/>
      <c r="C520" s="2"/>
      <c r="D520" s="2"/>
    </row>
    <row r="521" spans="1:4" x14ac:dyDescent="0.15">
      <c r="A521" s="3"/>
      <c r="C521" s="2"/>
      <c r="D521" s="2"/>
    </row>
    <row r="522" spans="1:4" x14ac:dyDescent="0.15">
      <c r="A522" s="3"/>
      <c r="C522" s="2"/>
      <c r="D522" s="2"/>
    </row>
    <row r="523" spans="1:4" x14ac:dyDescent="0.15">
      <c r="A523" s="3"/>
      <c r="C523" s="2"/>
      <c r="D523" s="2"/>
    </row>
    <row r="524" spans="1:4" x14ac:dyDescent="0.15">
      <c r="A524" s="3"/>
      <c r="C524" s="2"/>
      <c r="D524" s="2"/>
    </row>
    <row r="525" spans="1:4" x14ac:dyDescent="0.15">
      <c r="A525" s="3"/>
      <c r="C525" s="2"/>
      <c r="D525" s="2"/>
    </row>
    <row r="526" spans="1:4" x14ac:dyDescent="0.15">
      <c r="A526" s="3"/>
      <c r="C526" s="2"/>
      <c r="D526" s="2"/>
    </row>
    <row r="527" spans="1:4" x14ac:dyDescent="0.15">
      <c r="A527" s="3"/>
      <c r="C527" s="2"/>
      <c r="D527" s="2"/>
    </row>
    <row r="528" spans="1:4" x14ac:dyDescent="0.15">
      <c r="A528" s="3"/>
      <c r="C528" s="2"/>
      <c r="D528" s="2"/>
    </row>
    <row r="529" spans="1:4" x14ac:dyDescent="0.15">
      <c r="A529" s="3"/>
      <c r="C529" s="2"/>
      <c r="D529" s="2"/>
    </row>
    <row r="530" spans="1:4" x14ac:dyDescent="0.15">
      <c r="A530" s="3"/>
      <c r="C530" s="2"/>
      <c r="D530" s="2"/>
    </row>
    <row r="531" spans="1:4" x14ac:dyDescent="0.15">
      <c r="A531" s="3"/>
      <c r="C531" s="2"/>
      <c r="D531" s="2"/>
    </row>
    <row r="532" spans="1:4" x14ac:dyDescent="0.15">
      <c r="A532" s="3"/>
      <c r="C532" s="2"/>
      <c r="D532" s="2"/>
    </row>
    <row r="533" spans="1:4" x14ac:dyDescent="0.15">
      <c r="A533" s="3"/>
      <c r="C533" s="2"/>
      <c r="D533" s="2"/>
    </row>
    <row r="534" spans="1:4" x14ac:dyDescent="0.15">
      <c r="A534" s="3"/>
      <c r="C534" s="2"/>
      <c r="D534" s="2"/>
    </row>
    <row r="535" spans="1:4" x14ac:dyDescent="0.15">
      <c r="A535" s="3"/>
      <c r="C535" s="2"/>
      <c r="D535" s="2"/>
    </row>
    <row r="536" spans="1:4" x14ac:dyDescent="0.15">
      <c r="A536" s="3"/>
      <c r="C536" s="2"/>
      <c r="D536" s="2"/>
    </row>
    <row r="537" spans="1:4" x14ac:dyDescent="0.15">
      <c r="A537" s="3"/>
      <c r="C537" s="2"/>
      <c r="D537" s="2"/>
    </row>
    <row r="538" spans="1:4" x14ac:dyDescent="0.15">
      <c r="A538" s="3"/>
      <c r="C538" s="2"/>
      <c r="D538" s="2"/>
    </row>
    <row r="539" spans="1:4" x14ac:dyDescent="0.15">
      <c r="A539" s="3"/>
      <c r="C539" s="2"/>
      <c r="D539" s="2"/>
    </row>
    <row r="540" spans="1:4" x14ac:dyDescent="0.15">
      <c r="A540" s="3"/>
      <c r="C540" s="2"/>
      <c r="D540" s="2"/>
    </row>
    <row r="541" spans="1:4" x14ac:dyDescent="0.15">
      <c r="A541" s="3"/>
      <c r="C541" s="2"/>
      <c r="D541" s="2"/>
    </row>
    <row r="542" spans="1:4" x14ac:dyDescent="0.15">
      <c r="A542" s="3"/>
      <c r="C542" s="2"/>
      <c r="D542" s="2"/>
    </row>
    <row r="543" spans="1:4" x14ac:dyDescent="0.15">
      <c r="A543" s="3"/>
      <c r="C543" s="2"/>
      <c r="D543" s="2"/>
    </row>
    <row r="544" spans="1:4" x14ac:dyDescent="0.15">
      <c r="A544" s="3"/>
      <c r="C544" s="2"/>
      <c r="D544" s="2"/>
    </row>
    <row r="545" spans="1:4" x14ac:dyDescent="0.15">
      <c r="A545" s="3"/>
      <c r="C545" s="2"/>
      <c r="D545" s="2"/>
    </row>
    <row r="546" spans="1:4" x14ac:dyDescent="0.15">
      <c r="A546" s="3"/>
      <c r="C546" s="2"/>
      <c r="D546" s="2"/>
    </row>
    <row r="547" spans="1:4" x14ac:dyDescent="0.15">
      <c r="A547" s="3"/>
      <c r="C547" s="2"/>
      <c r="D547" s="2"/>
    </row>
    <row r="548" spans="1:4" x14ac:dyDescent="0.15">
      <c r="A548" s="3"/>
      <c r="C548" s="2"/>
      <c r="D548" s="2"/>
    </row>
    <row r="549" spans="1:4" x14ac:dyDescent="0.15">
      <c r="A549" s="3"/>
      <c r="C549" s="2"/>
      <c r="D549" s="2"/>
    </row>
    <row r="550" spans="1:4" x14ac:dyDescent="0.15">
      <c r="A550" s="3"/>
      <c r="C550" s="2"/>
      <c r="D550" s="2"/>
    </row>
    <row r="551" spans="1:4" x14ac:dyDescent="0.15">
      <c r="A551" s="3"/>
      <c r="C551" s="2"/>
      <c r="D551" s="2"/>
    </row>
    <row r="552" spans="1:4" x14ac:dyDescent="0.15">
      <c r="A552" s="3"/>
      <c r="C552" s="2"/>
      <c r="D552" s="2"/>
    </row>
    <row r="553" spans="1:4" x14ac:dyDescent="0.15">
      <c r="A553" s="3"/>
      <c r="C553" s="2"/>
      <c r="D553" s="2"/>
    </row>
    <row r="554" spans="1:4" x14ac:dyDescent="0.15">
      <c r="A554" s="3"/>
      <c r="C554" s="2"/>
      <c r="D554" s="2"/>
    </row>
    <row r="555" spans="1:4" x14ac:dyDescent="0.15">
      <c r="A555" s="3"/>
      <c r="C555" s="2"/>
      <c r="D555" s="2"/>
    </row>
    <row r="556" spans="1:4" x14ac:dyDescent="0.15">
      <c r="A556" s="3"/>
      <c r="C556" s="2"/>
      <c r="D556" s="2"/>
    </row>
    <row r="557" spans="1:4" x14ac:dyDescent="0.15">
      <c r="A557" s="3"/>
      <c r="C557" s="2"/>
      <c r="D557" s="2"/>
    </row>
    <row r="558" spans="1:4" x14ac:dyDescent="0.15">
      <c r="A558" s="3"/>
      <c r="C558" s="2"/>
      <c r="D558" s="2"/>
    </row>
    <row r="559" spans="1:4" x14ac:dyDescent="0.15">
      <c r="A559" s="3"/>
      <c r="C559" s="2"/>
      <c r="D559" s="2"/>
    </row>
    <row r="560" spans="1:4" x14ac:dyDescent="0.15">
      <c r="A560" s="3"/>
      <c r="C560" s="2"/>
      <c r="D560" s="2"/>
    </row>
    <row r="561" spans="1:4" x14ac:dyDescent="0.15">
      <c r="A561" s="3"/>
      <c r="C561" s="2"/>
      <c r="D561" s="2"/>
    </row>
    <row r="562" spans="1:4" x14ac:dyDescent="0.15">
      <c r="A562" s="3"/>
      <c r="C562" s="2"/>
      <c r="D562" s="2"/>
    </row>
    <row r="563" spans="1:4" x14ac:dyDescent="0.15">
      <c r="A563" s="3"/>
      <c r="C563" s="2"/>
      <c r="D563" s="2"/>
    </row>
    <row r="564" spans="1:4" x14ac:dyDescent="0.15">
      <c r="A564" s="3"/>
      <c r="C564" s="2"/>
      <c r="D564" s="2"/>
    </row>
    <row r="565" spans="1:4" x14ac:dyDescent="0.15">
      <c r="A565" s="3"/>
      <c r="C565" s="2"/>
      <c r="D565" s="2"/>
    </row>
    <row r="566" spans="1:4" x14ac:dyDescent="0.15">
      <c r="A566" s="3"/>
      <c r="C566" s="2"/>
      <c r="D566" s="2"/>
    </row>
    <row r="567" spans="1:4" x14ac:dyDescent="0.15">
      <c r="A567" s="3"/>
      <c r="C567" s="2"/>
      <c r="D567" s="2"/>
    </row>
    <row r="568" spans="1:4" x14ac:dyDescent="0.15">
      <c r="A568" s="3"/>
      <c r="C568" s="2"/>
      <c r="D568" s="2"/>
    </row>
    <row r="569" spans="1:4" x14ac:dyDescent="0.15">
      <c r="A569" s="3"/>
      <c r="C569" s="2"/>
      <c r="D569" s="2"/>
    </row>
    <row r="570" spans="1:4" x14ac:dyDescent="0.15">
      <c r="A570" s="3"/>
      <c r="C570" s="2"/>
      <c r="D570" s="2"/>
    </row>
    <row r="571" spans="1:4" x14ac:dyDescent="0.15">
      <c r="A571" s="3"/>
      <c r="C571" s="2"/>
      <c r="D571" s="2"/>
    </row>
    <row r="572" spans="1:4" x14ac:dyDescent="0.15">
      <c r="A572" s="3"/>
      <c r="C572" s="2"/>
      <c r="D572" s="2"/>
    </row>
    <row r="573" spans="1:4" x14ac:dyDescent="0.15">
      <c r="A573" s="3"/>
      <c r="C573" s="2"/>
      <c r="D573" s="2"/>
    </row>
    <row r="574" spans="1:4" x14ac:dyDescent="0.15">
      <c r="A574" s="3"/>
      <c r="C574" s="2"/>
      <c r="D574" s="2"/>
    </row>
    <row r="575" spans="1:4" x14ac:dyDescent="0.15">
      <c r="A575" s="3"/>
      <c r="C575" s="2"/>
      <c r="D575" s="2"/>
    </row>
    <row r="576" spans="1:4" x14ac:dyDescent="0.15">
      <c r="A576" s="3"/>
      <c r="C576" s="2"/>
      <c r="D576" s="2"/>
    </row>
    <row r="577" spans="1:4" x14ac:dyDescent="0.15">
      <c r="A577" s="3"/>
      <c r="C577" s="2"/>
      <c r="D577" s="2"/>
    </row>
    <row r="578" spans="1:4" x14ac:dyDescent="0.15">
      <c r="A578" s="3"/>
      <c r="C578" s="2"/>
      <c r="D578" s="2"/>
    </row>
    <row r="579" spans="1:4" x14ac:dyDescent="0.15">
      <c r="A579" s="3"/>
      <c r="C579" s="2"/>
      <c r="D579" s="2"/>
    </row>
    <row r="580" spans="1:4" x14ac:dyDescent="0.15">
      <c r="A580" s="3"/>
      <c r="C580" s="2"/>
      <c r="D580" s="2"/>
    </row>
    <row r="581" spans="1:4" x14ac:dyDescent="0.15">
      <c r="A581" s="3"/>
      <c r="C581" s="2"/>
      <c r="D581" s="2"/>
    </row>
    <row r="582" spans="1:4" x14ac:dyDescent="0.15">
      <c r="A582" s="3"/>
      <c r="C582" s="2"/>
      <c r="D582" s="2"/>
    </row>
    <row r="583" spans="1:4" x14ac:dyDescent="0.15">
      <c r="A583" s="3"/>
      <c r="C583" s="2"/>
      <c r="D583" s="2"/>
    </row>
    <row r="584" spans="1:4" x14ac:dyDescent="0.15">
      <c r="A584" s="3"/>
      <c r="C584" s="2"/>
      <c r="D584" s="2"/>
    </row>
    <row r="585" spans="1:4" x14ac:dyDescent="0.15">
      <c r="A585" s="3"/>
      <c r="C585" s="2"/>
      <c r="D585" s="2"/>
    </row>
    <row r="586" spans="1:4" x14ac:dyDescent="0.15">
      <c r="A586" s="3"/>
      <c r="C586" s="2"/>
      <c r="D586" s="2"/>
    </row>
    <row r="587" spans="1:4" x14ac:dyDescent="0.15">
      <c r="A587" s="3"/>
      <c r="C587" s="2"/>
      <c r="D587" s="2"/>
    </row>
    <row r="588" spans="1:4" x14ac:dyDescent="0.15">
      <c r="A588" s="3"/>
      <c r="C588" s="2"/>
      <c r="D588" s="2"/>
    </row>
    <row r="589" spans="1:4" x14ac:dyDescent="0.15">
      <c r="A589" s="3"/>
      <c r="C589" s="2"/>
      <c r="D589" s="2"/>
    </row>
    <row r="590" spans="1:4" x14ac:dyDescent="0.15">
      <c r="A590" s="3"/>
      <c r="C590" s="2"/>
      <c r="D590" s="2"/>
    </row>
    <row r="591" spans="1:4" x14ac:dyDescent="0.15">
      <c r="A591" s="3"/>
      <c r="C591" s="2"/>
      <c r="D591" s="2"/>
    </row>
    <row r="592" spans="1:4" x14ac:dyDescent="0.15">
      <c r="A592" s="3"/>
      <c r="C592" s="2"/>
      <c r="D592" s="2"/>
    </row>
    <row r="593" spans="1:4" x14ac:dyDescent="0.15">
      <c r="A593" s="3"/>
      <c r="C593" s="2"/>
      <c r="D593" s="2"/>
    </row>
    <row r="594" spans="1:4" x14ac:dyDescent="0.15">
      <c r="A594" s="3"/>
      <c r="C594" s="2"/>
      <c r="D594" s="2"/>
    </row>
    <row r="595" spans="1:4" x14ac:dyDescent="0.15">
      <c r="A595" s="3"/>
      <c r="C595" s="2"/>
      <c r="D595" s="2"/>
    </row>
    <row r="596" spans="1:4" x14ac:dyDescent="0.15">
      <c r="A596" s="3"/>
      <c r="C596" s="2"/>
      <c r="D596" s="2"/>
    </row>
    <row r="597" spans="1:4" x14ac:dyDescent="0.15">
      <c r="A597" s="3"/>
      <c r="C597" s="2"/>
      <c r="D597" s="2"/>
    </row>
    <row r="598" spans="1:4" x14ac:dyDescent="0.15">
      <c r="A598" s="3"/>
      <c r="C598" s="2"/>
      <c r="D598" s="2"/>
    </row>
    <row r="599" spans="1:4" x14ac:dyDescent="0.15">
      <c r="A599" s="3"/>
      <c r="C599" s="2"/>
      <c r="D599" s="2"/>
    </row>
    <row r="600" spans="1:4" x14ac:dyDescent="0.15">
      <c r="A600" s="3"/>
      <c r="C600" s="2"/>
      <c r="D600" s="2"/>
    </row>
    <row r="601" spans="1:4" x14ac:dyDescent="0.15">
      <c r="A601" s="3"/>
      <c r="C601" s="2"/>
      <c r="D601" s="2"/>
    </row>
    <row r="602" spans="1:4" x14ac:dyDescent="0.15">
      <c r="A602" s="3"/>
      <c r="C602" s="2"/>
      <c r="D602" s="2"/>
    </row>
    <row r="603" spans="1:4" x14ac:dyDescent="0.15">
      <c r="A603" s="3"/>
      <c r="C603" s="2"/>
      <c r="D603" s="2"/>
    </row>
    <row r="604" spans="1:4" x14ac:dyDescent="0.15">
      <c r="A604" s="3"/>
      <c r="C604" s="2"/>
      <c r="D604" s="2"/>
    </row>
    <row r="605" spans="1:4" x14ac:dyDescent="0.15">
      <c r="A605" s="3"/>
      <c r="C605" s="2"/>
      <c r="D605" s="2"/>
    </row>
    <row r="606" spans="1:4" x14ac:dyDescent="0.15">
      <c r="A606" s="3"/>
      <c r="C606" s="2"/>
      <c r="D606" s="2"/>
    </row>
    <row r="607" spans="1:4" x14ac:dyDescent="0.15">
      <c r="A607" s="3"/>
      <c r="C607" s="2"/>
      <c r="D607" s="2"/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CB178-69D5-4119-BA5A-4AE44DBD4B1F}">
  <dimension ref="A1:K607"/>
  <sheetViews>
    <sheetView showGridLines="0" zoomScaleNormal="100" workbookViewId="0">
      <selection activeCell="I15" sqref="I15"/>
    </sheetView>
  </sheetViews>
  <sheetFormatPr defaultRowHeight="16.5" x14ac:dyDescent="0.15"/>
  <cols>
    <col min="1" max="1" width="15.5" style="1" bestFit="1" customWidth="1"/>
    <col min="2" max="2" width="9" style="1" bestFit="1" customWidth="1"/>
    <col min="3" max="3" width="6" style="1" bestFit="1" customWidth="1"/>
    <col min="4" max="4" width="7" style="1" bestFit="1" customWidth="1"/>
    <col min="5" max="8" width="9" style="1"/>
    <col min="9" max="9" width="11.25" style="1" bestFit="1" customWidth="1"/>
    <col min="10" max="10" width="12.25" style="1" bestFit="1" customWidth="1"/>
    <col min="11" max="16384" width="9" style="1"/>
  </cols>
  <sheetData>
    <row r="1" spans="1:11" x14ac:dyDescent="0.15">
      <c r="A1" s="7" t="s">
        <v>1</v>
      </c>
      <c r="B1" s="31">
        <v>30</v>
      </c>
    </row>
    <row r="2" spans="1:11" x14ac:dyDescent="0.15">
      <c r="A2" s="15" t="s">
        <v>7</v>
      </c>
      <c r="B2" s="32">
        <v>601</v>
      </c>
    </row>
    <row r="3" spans="1:11" x14ac:dyDescent="0.15">
      <c r="A3" s="15" t="s">
        <v>2</v>
      </c>
      <c r="B3" s="33" cm="1">
        <f t="array" ref="B3">($B$607-$B$7)/(3*$B$2) * ($C$7 + $C$607+ 4*SUM(IF(MOD(ROW($A$8:$A$606)-ROW($A$7),2)=1,$C$8:$C$606,0)) + 2*SUM(IF(MOD(ROW($A$8:$A$606)-ROW($A$7),2)=0,$C$8:$C$606,0)))</f>
        <v>1478.0556586051205</v>
      </c>
    </row>
    <row r="4" spans="1:11" ht="17.25" thickBot="1" x14ac:dyDescent="0.2">
      <c r="A4" s="9" t="s">
        <v>3</v>
      </c>
      <c r="B4" s="10" cm="1">
        <f t="array" ref="B4">(($B$67-$B$7)/(3*$B$2))*(($D$7+$D$67)+(4*SUM(IF(MOD(ROW($D$7:$D$66),2)=0,$D$7:$D$66,0)))+(2*SUM(IF(MOD(ROW($D$7:$D$66),2)=1,$D$7:$D$66,1))))/B3</f>
        <v>1.5228390820587141E-2</v>
      </c>
    </row>
    <row r="6" spans="1:11" x14ac:dyDescent="0.15">
      <c r="A6" s="11" t="s">
        <v>6</v>
      </c>
      <c r="B6" s="11" t="s">
        <v>0</v>
      </c>
      <c r="C6" s="11" t="s">
        <v>4</v>
      </c>
      <c r="D6" s="11" t="s">
        <v>5</v>
      </c>
    </row>
    <row r="7" spans="1:11" ht="17.25" thickBot="1" x14ac:dyDescent="0.2">
      <c r="A7" s="11">
        <v>1</v>
      </c>
      <c r="B7" s="5">
        <f>$B$1/$B$2*A7</f>
        <v>4.9916805324459232E-2</v>
      </c>
      <c r="C7" s="6">
        <f>200*(B7/(5+B7))*EXP(-2*B7/$B$1)</f>
        <v>1.9703678627834502</v>
      </c>
      <c r="D7" s="6">
        <f>B7*C7</f>
        <v>9.8354469024132279E-2</v>
      </c>
    </row>
    <row r="8" spans="1:11" x14ac:dyDescent="0.15">
      <c r="A8" s="11">
        <v>2</v>
      </c>
      <c r="B8" s="5">
        <f>$B$1/$B$2*A8</f>
        <v>9.9833610648918464E-2</v>
      </c>
      <c r="C8" s="6">
        <f t="shared" ref="C8:C67" si="0">200*(B8/(5+B8))*EXP(-2*B8/$B$1)</f>
        <v>3.8892000987981241</v>
      </c>
      <c r="D8" s="6">
        <f t="shared" ref="D8:D66" si="1">B8*C8</f>
        <v>0.38827288839914714</v>
      </c>
      <c r="I8" s="12" t="s">
        <v>14</v>
      </c>
      <c r="J8" s="13" t="s">
        <v>15</v>
      </c>
      <c r="K8" s="14" t="s">
        <v>16</v>
      </c>
    </row>
    <row r="9" spans="1:11" x14ac:dyDescent="0.15">
      <c r="A9" s="11">
        <v>3</v>
      </c>
      <c r="B9" s="5">
        <f t="shared" ref="B9:B67" si="2">$B$1/$B$2*A9</f>
        <v>0.14975041597337768</v>
      </c>
      <c r="C9" s="6">
        <f t="shared" si="0"/>
        <v>5.7580592990955761</v>
      </c>
      <c r="D9" s="6">
        <f t="shared" si="1"/>
        <v>0.86227177523893805</v>
      </c>
      <c r="I9" s="15">
        <v>61</v>
      </c>
      <c r="J9" s="5">
        <v>1451.92</v>
      </c>
      <c r="K9" s="16">
        <f>(ABS(J9-'Hand Calculation'!$B$1)/'Hand Calculation'!$B$1)</f>
        <v>1.9349648780974487E-2</v>
      </c>
    </row>
    <row r="10" spans="1:11" x14ac:dyDescent="0.15">
      <c r="A10" s="11">
        <v>4</v>
      </c>
      <c r="B10" s="5">
        <f t="shared" si="2"/>
        <v>0.19966722129783693</v>
      </c>
      <c r="C10" s="6">
        <f t="shared" si="0"/>
        <v>7.5784477705485092</v>
      </c>
      <c r="D10" s="6">
        <f t="shared" si="1"/>
        <v>1.513167608096208</v>
      </c>
      <c r="I10" s="15">
        <v>101</v>
      </c>
      <c r="J10" s="5">
        <v>1464.25</v>
      </c>
      <c r="K10" s="16">
        <f>(ABS(J10-'Hand Calculation'!$B$1)/'Hand Calculation'!$B$1)</f>
        <v>1.1021766507481103E-2</v>
      </c>
    </row>
    <row r="11" spans="1:11" x14ac:dyDescent="0.15">
      <c r="A11" s="11">
        <v>5</v>
      </c>
      <c r="B11" s="5">
        <f t="shared" si="2"/>
        <v>0.24958402662229617</v>
      </c>
      <c r="C11" s="6">
        <f t="shared" si="0"/>
        <v>9.3518104031310916</v>
      </c>
      <c r="D11" s="6">
        <f t="shared" si="1"/>
        <v>2.3340624966217365</v>
      </c>
      <c r="I11" s="15">
        <v>201</v>
      </c>
      <c r="J11" s="5">
        <v>1472.77</v>
      </c>
      <c r="K11" s="16">
        <f>(ABS(J11-'Hand Calculation'!$B$1)/'Hand Calculation'!$B$1)</f>
        <v>5.2672201189844364E-3</v>
      </c>
    </row>
    <row r="12" spans="1:11" ht="17.25" thickBot="1" x14ac:dyDescent="0.2">
      <c r="A12" s="11">
        <v>6</v>
      </c>
      <c r="B12" s="5">
        <f t="shared" si="2"/>
        <v>0.29950083194675536</v>
      </c>
      <c r="C12" s="6">
        <f t="shared" si="0"/>
        <v>11.079537375150615</v>
      </c>
      <c r="D12" s="6">
        <f t="shared" si="1"/>
        <v>3.3183306614427792</v>
      </c>
      <c r="I12" s="9">
        <v>601</v>
      </c>
      <c r="J12" s="17">
        <v>1478.06</v>
      </c>
      <c r="K12" s="18">
        <f>(ABS(J12-'Hand Calculation'!$B$1)/'Hand Calculation'!$B$1)</f>
        <v>1.6942681946713828E-3</v>
      </c>
    </row>
    <row r="13" spans="1:11" x14ac:dyDescent="0.15">
      <c r="A13" s="11">
        <v>7</v>
      </c>
      <c r="B13" s="5">
        <f t="shared" si="2"/>
        <v>0.34941763727121461</v>
      </c>
      <c r="C13" s="6">
        <f t="shared" si="0"/>
        <v>12.762966707015341</v>
      </c>
      <c r="D13" s="6">
        <f t="shared" si="1"/>
        <v>4.4596056713364751</v>
      </c>
    </row>
    <row r="14" spans="1:11" x14ac:dyDescent="0.15">
      <c r="A14" s="11">
        <v>8</v>
      </c>
      <c r="B14" s="5">
        <f t="shared" si="2"/>
        <v>0.39933444259567386</v>
      </c>
      <c r="C14" s="6">
        <f t="shared" si="0"/>
        <v>14.403386673340517</v>
      </c>
      <c r="D14" s="6">
        <f t="shared" si="1"/>
        <v>5.7517683886883928</v>
      </c>
    </row>
    <row r="15" spans="1:11" x14ac:dyDescent="0.15">
      <c r="A15" s="11">
        <v>9</v>
      </c>
      <c r="B15" s="5">
        <f t="shared" si="2"/>
        <v>0.4492512479201331</v>
      </c>
      <c r="C15" s="6">
        <f t="shared" si="0"/>
        <v>16.002038082476247</v>
      </c>
      <c r="D15" s="6">
        <f t="shared" si="1"/>
        <v>7.188935577817948</v>
      </c>
    </row>
    <row r="16" spans="1:11" x14ac:dyDescent="0.15">
      <c r="A16" s="11">
        <v>10</v>
      </c>
      <c r="B16" s="5">
        <f t="shared" si="2"/>
        <v>0.49916805324459235</v>
      </c>
      <c r="C16" s="6">
        <f t="shared" si="0"/>
        <v>17.560116431881262</v>
      </c>
      <c r="D16" s="6">
        <f t="shared" si="1"/>
        <v>8.7654491340505469</v>
      </c>
    </row>
    <row r="17" spans="1:4" x14ac:dyDescent="0.15">
      <c r="A17" s="11">
        <v>11</v>
      </c>
      <c r="B17" s="5">
        <f t="shared" si="2"/>
        <v>0.54908485856905154</v>
      </c>
      <c r="C17" s="6">
        <f t="shared" si="0"/>
        <v>19.078773947160393</v>
      </c>
      <c r="D17" s="6">
        <f t="shared" si="1"/>
        <v>10.47586589444747</v>
      </c>
    </row>
    <row r="18" spans="1:4" x14ac:dyDescent="0.15">
      <c r="A18" s="11">
        <v>12</v>
      </c>
      <c r="B18" s="5">
        <f t="shared" si="2"/>
        <v>0.59900166389351073</v>
      </c>
      <c r="C18" s="6">
        <f t="shared" si="0"/>
        <v>20.559121512025992</v>
      </c>
      <c r="D18" s="6">
        <f t="shared" si="1"/>
        <v>12.31494799389244</v>
      </c>
    </row>
    <row r="19" spans="1:4" x14ac:dyDescent="0.15">
      <c r="A19" s="11">
        <v>13</v>
      </c>
      <c r="B19" s="5">
        <f t="shared" si="2"/>
        <v>0.64891846921797003</v>
      </c>
      <c r="C19" s="6">
        <f t="shared" si="0"/>
        <v>22.002230495930295</v>
      </c>
      <c r="D19" s="6">
        <f t="shared" si="1"/>
        <v>14.277653732800024</v>
      </c>
    </row>
    <row r="20" spans="1:4" x14ac:dyDescent="0.15">
      <c r="A20" s="11">
        <v>14</v>
      </c>
      <c r="B20" s="5">
        <f t="shared" si="2"/>
        <v>0.69883527454242922</v>
      </c>
      <c r="C20" s="6">
        <f t="shared" si="0"/>
        <v>23.409134485642884</v>
      </c>
      <c r="D20" s="6">
        <f t="shared" si="1"/>
        <v>16.359128925074891</v>
      </c>
    </row>
    <row r="21" spans="1:4" x14ac:dyDescent="0.15">
      <c r="A21" s="11">
        <v>15</v>
      </c>
      <c r="B21" s="5">
        <f t="shared" si="2"/>
        <v>0.74875207986688852</v>
      </c>
      <c r="C21" s="6">
        <f t="shared" si="0"/>
        <v>24.780830926611731</v>
      </c>
      <c r="D21" s="6">
        <f t="shared" si="1"/>
        <v>18.554698697130249</v>
      </c>
    </row>
    <row r="22" spans="1:4" x14ac:dyDescent="0.15">
      <c r="A22" s="11">
        <v>16</v>
      </c>
      <c r="B22" s="5">
        <f t="shared" si="2"/>
        <v>0.79866888519134771</v>
      </c>
      <c r="C22" s="6">
        <f t="shared" si="0"/>
        <v>26.118282679543974</v>
      </c>
      <c r="D22" s="6">
        <f t="shared" si="1"/>
        <v>20.859859710783873</v>
      </c>
    </row>
    <row r="23" spans="1:4" x14ac:dyDescent="0.15">
      <c r="A23" s="11">
        <v>17</v>
      </c>
      <c r="B23" s="5">
        <f t="shared" si="2"/>
        <v>0.8485856905158069</v>
      </c>
      <c r="C23" s="6">
        <f t="shared" si="0"/>
        <v>27.422419497271672</v>
      </c>
      <c r="D23" s="6">
        <f t="shared" si="1"/>
        <v>23.270272784706407</v>
      </c>
    </row>
    <row r="24" spans="1:4" x14ac:dyDescent="0.15">
      <c r="A24" s="11">
        <v>18</v>
      </c>
      <c r="B24" s="5">
        <f t="shared" si="2"/>
        <v>0.8985024958402662</v>
      </c>
      <c r="C24" s="6">
        <f t="shared" si="0"/>
        <v>28.694139426624723</v>
      </c>
      <c r="D24" s="6">
        <f t="shared" si="1"/>
        <v>25.781755890810899</v>
      </c>
    </row>
    <row r="25" spans="1:4" x14ac:dyDescent="0.15">
      <c r="A25" s="11">
        <v>19</v>
      </c>
      <c r="B25" s="5">
        <f t="shared" si="2"/>
        <v>0.94841930116472539</v>
      </c>
      <c r="C25" s="6">
        <f t="shared" si="0"/>
        <v>29.93431013971604</v>
      </c>
      <c r="D25" s="6">
        <f t="shared" si="1"/>
        <v>28.390277503557641</v>
      </c>
    </row>
    <row r="26" spans="1:4" x14ac:dyDescent="0.15">
      <c r="A26" s="11">
        <v>20</v>
      </c>
      <c r="B26" s="5">
        <f t="shared" si="2"/>
        <v>0.99833610648918469</v>
      </c>
      <c r="C26" s="6">
        <f t="shared" si="0"/>
        <v>31.143770198751014</v>
      </c>
      <c r="D26" s="6">
        <f t="shared" si="1"/>
        <v>31.091950281614988</v>
      </c>
    </row>
    <row r="27" spans="1:4" x14ac:dyDescent="0.15">
      <c r="A27" s="11">
        <v>21</v>
      </c>
      <c r="B27" s="5">
        <f t="shared" si="2"/>
        <v>1.0482529118136439</v>
      </c>
      <c r="C27" s="6">
        <f t="shared" si="0"/>
        <v>32.323330258201679</v>
      </c>
      <c r="D27" s="6">
        <f t="shared" si="1"/>
        <v>33.883025062673973</v>
      </c>
    </row>
    <row r="28" spans="1:4" x14ac:dyDescent="0.15">
      <c r="A28" s="11">
        <v>22</v>
      </c>
      <c r="B28" s="5">
        <f t="shared" si="2"/>
        <v>1.0981697171381031</v>
      </c>
      <c r="C28" s="6">
        <f t="shared" si="0"/>
        <v>33.47377420793444</v>
      </c>
      <c r="D28" s="6">
        <f t="shared" si="1"/>
        <v>36.759885153472091</v>
      </c>
    </row>
    <row r="29" spans="1:4" x14ac:dyDescent="0.15">
      <c r="A29" s="11">
        <v>23</v>
      </c>
      <c r="B29" s="5">
        <f t="shared" si="2"/>
        <v>1.1480865224625623</v>
      </c>
      <c r="C29" s="6">
        <f t="shared" si="0"/>
        <v>34.595860260647292</v>
      </c>
      <c r="D29" s="6">
        <f t="shared" si="1"/>
        <v>39.7190408982473</v>
      </c>
    </row>
    <row r="30" spans="1:4" x14ac:dyDescent="0.15">
      <c r="A30" s="11">
        <v>24</v>
      </c>
      <c r="B30" s="5">
        <f t="shared" si="2"/>
        <v>1.1980033277870215</v>
      </c>
      <c r="C30" s="6">
        <f t="shared" si="0"/>
        <v>35.690321986756075</v>
      </c>
      <c r="D30" s="6">
        <f t="shared" si="1"/>
        <v>42.757124509924076</v>
      </c>
    </row>
    <row r="31" spans="1:4" x14ac:dyDescent="0.15">
      <c r="A31" s="11">
        <v>25</v>
      </c>
      <c r="B31" s="5">
        <f t="shared" si="2"/>
        <v>1.2479201331114809</v>
      </c>
      <c r="C31" s="6">
        <f t="shared" si="0"/>
        <v>36.757869299668776</v>
      </c>
      <c r="D31" s="6">
        <f t="shared" si="1"/>
        <v>45.870885149337077</v>
      </c>
    </row>
    <row r="32" spans="1:4" x14ac:dyDescent="0.15">
      <c r="A32" s="11">
        <v>26</v>
      </c>
      <c r="B32" s="5">
        <f t="shared" si="2"/>
        <v>1.2978369384359401</v>
      </c>
      <c r="C32" s="6">
        <f t="shared" si="0"/>
        <v>37.79918939420034</v>
      </c>
      <c r="D32" s="6">
        <f t="shared" si="1"/>
        <v>49.057184238729228</v>
      </c>
    </row>
    <row r="33" spans="1:4" x14ac:dyDescent="0.15">
      <c r="A33" s="11">
        <v>27</v>
      </c>
      <c r="B33" s="5">
        <f t="shared" si="2"/>
        <v>1.3477537437603992</v>
      </c>
      <c r="C33" s="6">
        <f t="shared" si="0"/>
        <v>38.814947640707715</v>
      </c>
      <c r="D33" s="6">
        <f t="shared" si="1"/>
        <v>52.312990996627697</v>
      </c>
    </row>
    <row r="34" spans="1:4" x14ac:dyDescent="0.15">
      <c r="A34" s="11">
        <v>28</v>
      </c>
      <c r="B34" s="5">
        <f t="shared" si="2"/>
        <v>1.3976705490848584</v>
      </c>
      <c r="C34" s="6">
        <f t="shared" si="0"/>
        <v>39.805788437363098</v>
      </c>
      <c r="D34" s="6">
        <f t="shared" si="1"/>
        <v>55.635378182004992</v>
      </c>
    </row>
    <row r="35" spans="1:4" x14ac:dyDescent="0.15">
      <c r="A35" s="11">
        <v>29</v>
      </c>
      <c r="B35" s="5">
        <f t="shared" si="2"/>
        <v>1.4475873544093176</v>
      </c>
      <c r="C35" s="6">
        <f t="shared" si="0"/>
        <v>40.77233602283453</v>
      </c>
      <c r="D35" s="6">
        <f t="shared" si="1"/>
        <v>59.021518036382759</v>
      </c>
    </row>
    <row r="36" spans="1:4" x14ac:dyDescent="0.15">
      <c r="A36" s="11">
        <v>30</v>
      </c>
      <c r="B36" s="5">
        <f t="shared" si="2"/>
        <v>1.497504159733777</v>
      </c>
      <c r="C36" s="6">
        <f t="shared" si="0"/>
        <v>41.7151952515026</v>
      </c>
      <c r="D36" s="6">
        <f t="shared" si="1"/>
        <v>62.468678413231849</v>
      </c>
    </row>
    <row r="37" spans="1:4" x14ac:dyDescent="0.15">
      <c r="A37" s="11">
        <v>31</v>
      </c>
      <c r="B37" s="5">
        <f t="shared" si="2"/>
        <v>1.5474209650582362</v>
      </c>
      <c r="C37" s="6">
        <f t="shared" si="0"/>
        <v>42.634952333212929</v>
      </c>
      <c r="D37" s="6">
        <f t="shared" si="1"/>
        <v>65.974219084672256</v>
      </c>
    </row>
    <row r="38" spans="1:4" x14ac:dyDescent="0.15">
      <c r="A38" s="11">
        <v>32</v>
      </c>
      <c r="B38" s="5">
        <f t="shared" si="2"/>
        <v>1.5973377703826954</v>
      </c>
      <c r="C38" s="6">
        <f t="shared" si="0"/>
        <v>43.532175539442626</v>
      </c>
      <c r="D38" s="6">
        <f t="shared" si="1"/>
        <v>69.535588216081393</v>
      </c>
    </row>
    <row r="39" spans="1:4" x14ac:dyDescent="0.15">
      <c r="A39" s="11">
        <v>33</v>
      </c>
      <c r="B39" s="5">
        <f t="shared" si="2"/>
        <v>1.6472545757071546</v>
      </c>
      <c r="C39" s="6">
        <f t="shared" si="0"/>
        <v>44.407415877646095</v>
      </c>
      <c r="D39" s="6">
        <f t="shared" si="1"/>
        <v>73.150318999783082</v>
      </c>
    </row>
    <row r="40" spans="1:4" x14ac:dyDescent="0.15">
      <c r="A40" s="11">
        <v>34</v>
      </c>
      <c r="B40" s="5">
        <f t="shared" si="2"/>
        <v>1.6971713810316138</v>
      </c>
      <c r="C40" s="6">
        <f t="shared" si="0"/>
        <v>45.261207735440678</v>
      </c>
      <c r="D40" s="6">
        <f t="shared" si="1"/>
        <v>76.816026439516619</v>
      </c>
    </row>
    <row r="41" spans="1:4" x14ac:dyDescent="0.15">
      <c r="A41" s="11">
        <v>35</v>
      </c>
      <c r="B41" s="5">
        <f t="shared" si="2"/>
        <v>1.7470881863560732</v>
      </c>
      <c r="C41" s="6">
        <f t="shared" si="0"/>
        <v>46.094069496193846</v>
      </c>
      <c r="D41" s="6">
        <f t="shared" si="1"/>
        <v>80.530404277876102</v>
      </c>
    </row>
    <row r="42" spans="1:4" x14ac:dyDescent="0.15">
      <c r="A42" s="11">
        <v>36</v>
      </c>
      <c r="B42" s="5">
        <f t="shared" si="2"/>
        <v>1.7970049916805324</v>
      </c>
      <c r="C42" s="6">
        <f t="shared" si="0"/>
        <v>46.906504127482201</v>
      </c>
      <c r="D42" s="6">
        <f t="shared" si="1"/>
        <v>84.291222059369005</v>
      </c>
    </row>
    <row r="43" spans="1:4" x14ac:dyDescent="0.15">
      <c r="A43" s="11">
        <v>37</v>
      </c>
      <c r="B43" s="5">
        <f t="shared" si="2"/>
        <v>1.8469217970049916</v>
      </c>
      <c r="C43" s="6">
        <f t="shared" si="0"/>
        <v>47.698999743806773</v>
      </c>
      <c r="D43" s="6">
        <f t="shared" si="1"/>
        <v>88.096322322172242</v>
      </c>
    </row>
    <row r="44" spans="1:4" x14ac:dyDescent="0.15">
      <c r="A44" s="11">
        <v>38</v>
      </c>
      <c r="B44" s="5">
        <f t="shared" si="2"/>
        <v>1.8968386023294508</v>
      </c>
      <c r="C44" s="6">
        <f t="shared" si="0"/>
        <v>48.472030144868853</v>
      </c>
      <c r="D44" s="6">
        <f t="shared" si="1"/>
        <v>91.943617912064042</v>
      </c>
    </row>
    <row r="45" spans="1:4" x14ac:dyDescent="0.15">
      <c r="A45" s="11">
        <v>39</v>
      </c>
      <c r="B45" s="5">
        <f t="shared" si="2"/>
        <v>1.94675540765391</v>
      </c>
      <c r="C45" s="6">
        <f t="shared" si="0"/>
        <v>49.226055330635646</v>
      </c>
      <c r="D45" s="6">
        <f t="shared" si="1"/>
        <v>95.831089412385523</v>
      </c>
    </row>
    <row r="46" spans="1:4" x14ac:dyDescent="0.15">
      <c r="A46" s="11">
        <v>40</v>
      </c>
      <c r="B46" s="5">
        <f t="shared" si="2"/>
        <v>1.9966722129783694</v>
      </c>
      <c r="C46" s="6">
        <f t="shared" si="0"/>
        <v>49.961521994354882</v>
      </c>
      <c r="D46" s="6">
        <f t="shared" si="1"/>
        <v>99.756782684236043</v>
      </c>
    </row>
    <row r="47" spans="1:4" x14ac:dyDescent="0.15">
      <c r="A47" s="11">
        <v>41</v>
      </c>
      <c r="B47" s="5">
        <f t="shared" si="2"/>
        <v>2.0465890183028286</v>
      </c>
      <c r="C47" s="6">
        <f t="shared" si="0"/>
        <v>50.678863994611916</v>
      </c>
      <c r="D47" s="6">
        <f t="shared" si="1"/>
        <v>103.71880651143536</v>
      </c>
    </row>
    <row r="48" spans="1:4" x14ac:dyDescent="0.15">
      <c r="A48" s="11">
        <v>42</v>
      </c>
      <c r="B48" s="5">
        <f t="shared" si="2"/>
        <v>2.0965058236272878</v>
      </c>
      <c r="C48" s="6">
        <f t="shared" si="0"/>
        <v>51.378502807461118</v>
      </c>
      <c r="D48" s="6">
        <f t="shared" si="1"/>
        <v>107.71533034509319</v>
      </c>
    </row>
    <row r="49" spans="1:4" x14ac:dyDescent="0.15">
      <c r="A49" s="11">
        <v>43</v>
      </c>
      <c r="B49" s="5">
        <f t="shared" si="2"/>
        <v>2.146422628951747</v>
      </c>
      <c r="C49" s="6">
        <f t="shared" si="0"/>
        <v>52.060847959605958</v>
      </c>
      <c r="D49" s="6">
        <f t="shared" si="1"/>
        <v>111.74458214291461</v>
      </c>
    </row>
    <row r="50" spans="1:4" x14ac:dyDescent="0.15">
      <c r="A50" s="11">
        <v>44</v>
      </c>
      <c r="B50" s="5">
        <f t="shared" si="2"/>
        <v>2.1963394342762061</v>
      </c>
      <c r="C50" s="6">
        <f t="shared" si="0"/>
        <v>52.726297443547764</v>
      </c>
      <c r="D50" s="6">
        <f t="shared" si="1"/>
        <v>115.80484629864067</v>
      </c>
    </row>
    <row r="51" spans="1:4" x14ac:dyDescent="0.15">
      <c r="A51" s="11">
        <v>45</v>
      </c>
      <c r="B51" s="5">
        <f t="shared" si="2"/>
        <v>2.2462562396006653</v>
      </c>
      <c r="C51" s="6">
        <f t="shared" si="0"/>
        <v>53.375238115572884</v>
      </c>
      <c r="D51" s="6">
        <f t="shared" si="1"/>
        <v>119.89446165727685</v>
      </c>
    </row>
    <row r="52" spans="1:4" x14ac:dyDescent="0.15">
      <c r="A52" s="11">
        <v>46</v>
      </c>
      <c r="B52" s="5">
        <f t="shared" si="2"/>
        <v>2.2961730449251245</v>
      </c>
      <c r="C52" s="6">
        <f t="shared" si="0"/>
        <v>54.008046077399925</v>
      </c>
      <c r="D52" s="6">
        <f t="shared" si="1"/>
        <v>124.01181961199981</v>
      </c>
    </row>
    <row r="53" spans="1:4" x14ac:dyDescent="0.15">
      <c r="A53" s="11">
        <v>47</v>
      </c>
      <c r="B53" s="5">
        <f t="shared" si="2"/>
        <v>2.3460898502495837</v>
      </c>
      <c r="C53" s="6">
        <f t="shared" si="0"/>
        <v>54.625087042264511</v>
      </c>
      <c r="D53" s="6">
        <f t="shared" si="1"/>
        <v>128.15536227885681</v>
      </c>
    </row>
    <row r="54" spans="1:4" x14ac:dyDescent="0.15">
      <c r="A54" s="11">
        <v>48</v>
      </c>
      <c r="B54" s="5">
        <f t="shared" si="2"/>
        <v>2.3960066555740429</v>
      </c>
      <c r="C54" s="6">
        <f t="shared" si="0"/>
        <v>55.226716686176587</v>
      </c>
      <c r="D54" s="6">
        <f t="shared" si="1"/>
        <v>132.32358074558115</v>
      </c>
    </row>
    <row r="55" spans="1:4" x14ac:dyDescent="0.15">
      <c r="A55" s="11">
        <v>49</v>
      </c>
      <c r="B55" s="5">
        <f t="shared" si="2"/>
        <v>2.4459234608985025</v>
      </c>
      <c r="C55" s="6">
        <f t="shared" si="0"/>
        <v>55.813280985046241</v>
      </c>
      <c r="D55" s="6">
        <f t="shared" si="1"/>
        <v>136.51501339104487</v>
      </c>
    </row>
    <row r="56" spans="1:4" x14ac:dyDescent="0.15">
      <c r="A56" s="11">
        <v>50</v>
      </c>
      <c r="B56" s="5">
        <f t="shared" si="2"/>
        <v>2.4958402662229617</v>
      </c>
      <c r="C56" s="6">
        <f t="shared" si="0"/>
        <v>56.385116538336639</v>
      </c>
      <c r="D56" s="6">
        <f t="shared" si="1"/>
        <v>140.72824427205484</v>
      </c>
    </row>
    <row r="57" spans="1:4" x14ac:dyDescent="0.15">
      <c r="A57" s="11">
        <v>51</v>
      </c>
      <c r="B57" s="5">
        <f t="shared" si="2"/>
        <v>2.5457570715474209</v>
      </c>
      <c r="C57" s="6">
        <f t="shared" si="0"/>
        <v>56.94255087986835</v>
      </c>
      <c r="D57" s="6">
        <f t="shared" si="1"/>
        <v>144.96190157437366</v>
      </c>
    </row>
    <row r="58" spans="1:4" x14ac:dyDescent="0.15">
      <c r="A58" s="11">
        <v>52</v>
      </c>
      <c r="B58" s="5">
        <f t="shared" si="2"/>
        <v>2.5956738768718801</v>
      </c>
      <c r="C58" s="6">
        <f t="shared" si="0"/>
        <v>57.485902776365464</v>
      </c>
      <c r="D58" s="6">
        <f t="shared" si="1"/>
        <v>149.21465612500853</v>
      </c>
    </row>
    <row r="59" spans="1:4" x14ac:dyDescent="0.15">
      <c r="A59" s="11">
        <v>53</v>
      </c>
      <c r="B59" s="5">
        <f t="shared" si="2"/>
        <v>2.6455906821963393</v>
      </c>
      <c r="C59" s="6">
        <f t="shared" si="0"/>
        <v>58.015482514304452</v>
      </c>
      <c r="D59" s="6">
        <f t="shared" si="1"/>
        <v>153.4852199629685</v>
      </c>
    </row>
    <row r="60" spans="1:4" x14ac:dyDescent="0.15">
      <c r="A60" s="11">
        <v>54</v>
      </c>
      <c r="B60" s="5">
        <f t="shared" si="2"/>
        <v>2.6955074875207985</v>
      </c>
      <c r="C60" s="6">
        <f t="shared" si="0"/>
        <v>58.531592175596423</v>
      </c>
      <c r="D60" s="6">
        <f t="shared" si="1"/>
        <v>157.77234496583395</v>
      </c>
    </row>
    <row r="61" spans="1:4" x14ac:dyDescent="0.15">
      <c r="A61" s="11">
        <v>55</v>
      </c>
      <c r="B61" s="5">
        <f t="shared" si="2"/>
        <v>2.7454242928452577</v>
      </c>
      <c r="C61" s="6">
        <f t="shared" si="0"/>
        <v>59.034525902606667</v>
      </c>
      <c r="D61" s="6">
        <f t="shared" si="1"/>
        <v>162.07482152961896</v>
      </c>
    </row>
    <row r="62" spans="1:4" x14ac:dyDescent="0.15">
      <c r="A62" s="11">
        <v>56</v>
      </c>
      <c r="B62" s="5">
        <f t="shared" si="2"/>
        <v>2.7953410981697169</v>
      </c>
      <c r="C62" s="6">
        <f t="shared" si="0"/>
        <v>59.524570152989618</v>
      </c>
      <c r="D62" s="6">
        <f t="shared" si="1"/>
        <v>166.39147729953834</v>
      </c>
    </row>
    <row r="63" spans="1:4" x14ac:dyDescent="0.15">
      <c r="A63" s="11">
        <v>57</v>
      </c>
      <c r="B63" s="5">
        <f t="shared" si="2"/>
        <v>2.8452579034941761</v>
      </c>
      <c r="C63" s="6">
        <f t="shared" si="0"/>
        <v>60.002003944792527</v>
      </c>
      <c r="D63" s="6">
        <f t="shared" si="1"/>
        <v>170.72117594940966</v>
      </c>
    </row>
    <row r="64" spans="1:4" x14ac:dyDescent="0.15">
      <c r="A64" s="11">
        <v>58</v>
      </c>
      <c r="B64" s="5">
        <f t="shared" si="2"/>
        <v>2.8951747088186353</v>
      </c>
      <c r="C64" s="6">
        <f t="shared" si="0"/>
        <v>60.467099092258792</v>
      </c>
      <c r="D64" s="6">
        <f t="shared" si="1"/>
        <v>175.06281600753792</v>
      </c>
    </row>
    <row r="65" spans="1:4" x14ac:dyDescent="0.15">
      <c r="A65" s="11">
        <v>59</v>
      </c>
      <c r="B65" s="5">
        <f t="shared" si="2"/>
        <v>2.9450915141430949</v>
      </c>
      <c r="C65" s="6">
        <f t="shared" si="0"/>
        <v>60.920120432739928</v>
      </c>
      <c r="D65" s="6">
        <f t="shared" si="1"/>
        <v>179.41532972703772</v>
      </c>
    </row>
    <row r="66" spans="1:4" x14ac:dyDescent="0.15">
      <c r="A66" s="11">
        <v>60</v>
      </c>
      <c r="B66" s="5">
        <f t="shared" si="2"/>
        <v>2.9950083194675541</v>
      </c>
      <c r="C66" s="6">
        <f t="shared" si="0"/>
        <v>61.361326045104683</v>
      </c>
      <c r="D66" s="6">
        <f t="shared" si="1"/>
        <v>183.77768199864963</v>
      </c>
    </row>
    <row r="67" spans="1:4" x14ac:dyDescent="0.15">
      <c r="A67" s="11">
        <v>61</v>
      </c>
      <c r="B67" s="5">
        <f t="shared" si="2"/>
        <v>3.0449251247920133</v>
      </c>
      <c r="C67" s="6">
        <f t="shared" si="0"/>
        <v>61.790967460014691</v>
      </c>
      <c r="D67" s="6">
        <f t="shared" ref="D67" si="3">B67*C67</f>
        <v>188.14886930420445</v>
      </c>
    </row>
    <row r="68" spans="1:4" x14ac:dyDescent="0.15">
      <c r="A68" s="11">
        <v>62</v>
      </c>
      <c r="B68" s="5">
        <f t="shared" ref="B68:B107" si="4">$B$1/$B$2*A68</f>
        <v>3.0948419301164725</v>
      </c>
      <c r="C68" s="6">
        <f t="shared" ref="C68:C107" si="5">200*(B68/(5+B68))*EXP(-2*B68/$B$1)</f>
        <v>62.209289862417698</v>
      </c>
      <c r="D68" s="6">
        <f t="shared" ref="D68:D107" si="6">B68*C68</f>
        <v>192.52791870897988</v>
      </c>
    </row>
    <row r="69" spans="1:4" x14ac:dyDescent="0.15">
      <c r="A69" s="11">
        <v>63</v>
      </c>
      <c r="B69" s="5">
        <f t="shared" si="4"/>
        <v>3.1447587354409317</v>
      </c>
      <c r="C69" s="6">
        <f t="shared" si="5"/>
        <v>62.616532286592481</v>
      </c>
      <c r="D69" s="6">
        <f t="shared" si="6"/>
        <v>196.91388689128084</v>
      </c>
    </row>
    <row r="70" spans="1:4" x14ac:dyDescent="0.15">
      <c r="A70" s="11">
        <v>64</v>
      </c>
      <c r="B70" s="5">
        <f t="shared" si="4"/>
        <v>3.1946755407653908</v>
      </c>
      <c r="C70" s="6">
        <f t="shared" si="5"/>
        <v>63.0129278040625</v>
      </c>
      <c r="D70" s="6">
        <f t="shared" si="6"/>
        <v>201.3058592076539</v>
      </c>
    </row>
    <row r="71" spans="1:4" x14ac:dyDescent="0.15">
      <c r="A71" s="11">
        <v>65</v>
      </c>
      <c r="B71" s="5">
        <f t="shared" si="4"/>
        <v>3.24459234608985</v>
      </c>
      <c r="C71" s="6">
        <f t="shared" si="5"/>
        <v>63.398703704681381</v>
      </c>
      <c r="D71" s="6">
        <f t="shared" si="6"/>
        <v>205.70294879222743</v>
      </c>
    </row>
    <row r="72" spans="1:4" x14ac:dyDescent="0.15">
      <c r="A72" s="11">
        <v>66</v>
      </c>
      <c r="B72" s="5">
        <f t="shared" si="4"/>
        <v>3.2945091514143092</v>
      </c>
      <c r="C72" s="6">
        <f t="shared" si="5"/>
        <v>63.774081671176852</v>
      </c>
      <c r="D72" s="6">
        <f t="shared" si="6"/>
        <v>210.1042956887357</v>
      </c>
    </row>
    <row r="73" spans="1:4" x14ac:dyDescent="0.15">
      <c r="A73" s="11">
        <v>67</v>
      </c>
      <c r="B73" s="5">
        <f t="shared" si="4"/>
        <v>3.3444259567387684</v>
      </c>
      <c r="C73" s="6">
        <f t="shared" si="5"/>
        <v>64.13927794742817</v>
      </c>
      <c r="D73" s="6">
        <f t="shared" si="6"/>
        <v>214.50906601386126</v>
      </c>
    </row>
    <row r="74" spans="1:4" x14ac:dyDescent="0.15">
      <c r="A74" s="11">
        <v>68</v>
      </c>
      <c r="B74" s="5">
        <f t="shared" si="4"/>
        <v>3.3943427620632276</v>
      </c>
      <c r="C74" s="6">
        <f t="shared" si="5"/>
        <v>64.494503500736755</v>
      </c>
      <c r="D74" s="6">
        <f t="shared" si="6"/>
        <v>218.91645115058731</v>
      </c>
    </row>
    <row r="75" spans="1:4" x14ac:dyDescent="0.15">
      <c r="A75" s="11">
        <v>69</v>
      </c>
      <c r="B75" s="5">
        <f t="shared" si="4"/>
        <v>3.4442595673876868</v>
      </c>
      <c r="C75" s="6">
        <f t="shared" si="5"/>
        <v>64.839964178339812</v>
      </c>
      <c r="D75" s="6">
        <f t="shared" si="6"/>
        <v>223.32566697032178</v>
      </c>
    </row>
    <row r="76" spans="1:4" x14ac:dyDescent="0.15">
      <c r="A76" s="11">
        <v>70</v>
      </c>
      <c r="B76" s="5">
        <f t="shared" si="4"/>
        <v>3.4941763727121464</v>
      </c>
      <c r="C76" s="6">
        <f t="shared" si="5"/>
        <v>65.175860858402444</v>
      </c>
      <c r="D76" s="6">
        <f t="shared" si="6"/>
        <v>227.73595308260423</v>
      </c>
    </row>
    <row r="77" spans="1:4" x14ac:dyDescent="0.15">
      <c r="A77" s="11">
        <v>71</v>
      </c>
      <c r="B77" s="5">
        <f t="shared" si="4"/>
        <v>3.5440931780366056</v>
      </c>
      <c r="C77" s="6">
        <f t="shared" si="5"/>
        <v>65.502389595715414</v>
      </c>
      <c r="D77" s="6">
        <f t="shared" si="6"/>
        <v>232.14657211127093</v>
      </c>
    </row>
    <row r="78" spans="1:4" x14ac:dyDescent="0.15">
      <c r="A78" s="11">
        <v>72</v>
      </c>
      <c r="B78" s="5">
        <f t="shared" si="4"/>
        <v>3.5940099833610648</v>
      </c>
      <c r="C78" s="6">
        <f t="shared" si="5"/>
        <v>65.81974176231266</v>
      </c>
      <c r="D78" s="6">
        <f t="shared" si="6"/>
        <v>236.55680899599889</v>
      </c>
    </row>
    <row r="79" spans="1:4" x14ac:dyDescent="0.15">
      <c r="A79" s="11">
        <v>73</v>
      </c>
      <c r="B79" s="5">
        <f t="shared" si="4"/>
        <v>3.643926788685524</v>
      </c>
      <c r="C79" s="6">
        <f t="shared" si="5"/>
        <v>66.128104183214788</v>
      </c>
      <c r="D79" s="6">
        <f t="shared" si="6"/>
        <v>240.96597031820363</v>
      </c>
    </row>
    <row r="80" spans="1:4" x14ac:dyDescent="0.15">
      <c r="A80" s="11">
        <v>74</v>
      </c>
      <c r="B80" s="5">
        <f t="shared" si="4"/>
        <v>3.6938435940099832</v>
      </c>
      <c r="C80" s="6">
        <f t="shared" si="5"/>
        <v>66.427659267493894</v>
      </c>
      <c r="D80" s="6">
        <f t="shared" si="6"/>
        <v>245.37338365031022</v>
      </c>
    </row>
    <row r="81" spans="1:4" x14ac:dyDescent="0.15">
      <c r="A81" s="11">
        <v>75</v>
      </c>
      <c r="B81" s="5">
        <f t="shared" si="4"/>
        <v>3.7437603993344424</v>
      </c>
      <c r="C81" s="6">
        <f t="shared" si="5"/>
        <v>66.718585134846933</v>
      </c>
      <c r="D81" s="6">
        <f t="shared" si="6"/>
        <v>249.77839692746355</v>
      </c>
    </row>
    <row r="82" spans="1:4" x14ac:dyDescent="0.15">
      <c r="A82" s="11">
        <v>76</v>
      </c>
      <c r="B82" s="5">
        <f t="shared" si="4"/>
        <v>3.7936772046589016</v>
      </c>
      <c r="C82" s="6">
        <f t="shared" si="5"/>
        <v>67.001055737856277</v>
      </c>
      <c r="D82" s="6">
        <f t="shared" si="6"/>
        <v>254.18037784078587</v>
      </c>
    </row>
    <row r="83" spans="1:4" x14ac:dyDescent="0.15">
      <c r="A83" s="11">
        <v>77</v>
      </c>
      <c r="B83" s="5">
        <f t="shared" si="4"/>
        <v>3.8435940099833608</v>
      </c>
      <c r="C83" s="6">
        <f t="shared" si="5"/>
        <v>67.275240980107299</v>
      </c>
      <c r="D83" s="6">
        <f t="shared" si="6"/>
        <v>258.57871325132754</v>
      </c>
    </row>
    <row r="84" spans="1:4" x14ac:dyDescent="0.15">
      <c r="A84" s="11">
        <v>78</v>
      </c>
      <c r="B84" s="5">
        <f t="shared" si="4"/>
        <v>3.8935108153078199</v>
      </c>
      <c r="C84" s="6">
        <f t="shared" si="5"/>
        <v>67.541306830326519</v>
      </c>
      <c r="D84" s="6">
        <f t="shared" si="6"/>
        <v>262.97280862390022</v>
      </c>
    </row>
    <row r="85" spans="1:4" x14ac:dyDescent="0.15">
      <c r="A85" s="11">
        <v>79</v>
      </c>
      <c r="B85" s="5">
        <f t="shared" si="4"/>
        <v>3.9434276206322791</v>
      </c>
      <c r="C85" s="6">
        <f t="shared" si="5"/>
        <v>67.79941543269517</v>
      </c>
      <c r="D85" s="6">
        <f t="shared" si="6"/>
        <v>267.36208748001252</v>
      </c>
    </row>
    <row r="86" spans="1:4" x14ac:dyDescent="0.15">
      <c r="A86" s="11">
        <v>80</v>
      </c>
      <c r="B86" s="5">
        <f t="shared" si="4"/>
        <v>3.9933444259567388</v>
      </c>
      <c r="C86" s="6">
        <f t="shared" si="5"/>
        <v>68.049725213487108</v>
      </c>
      <c r="D86" s="6">
        <f t="shared" si="6"/>
        <v>271.74599086916646</v>
      </c>
    </row>
    <row r="87" spans="1:4" x14ac:dyDescent="0.15">
      <c r="A87" s="11">
        <v>81</v>
      </c>
      <c r="B87" s="5">
        <f t="shared" si="4"/>
        <v>4.043261231281198</v>
      </c>
      <c r="C87" s="6">
        <f t="shared" si="5"/>
        <v>68.292390984173039</v>
      </c>
      <c r="D87" s="6">
        <f t="shared" si="6"/>
        <v>276.12397685780445</v>
      </c>
    </row>
    <row r="88" spans="1:4" x14ac:dyDescent="0.15">
      <c r="A88" s="11">
        <v>82</v>
      </c>
      <c r="B88" s="5">
        <f t="shared" si="4"/>
        <v>4.0931780366056572</v>
      </c>
      <c r="C88" s="6">
        <f t="shared" si="5"/>
        <v>68.527564041126837</v>
      </c>
      <c r="D88" s="6">
        <f t="shared" si="6"/>
        <v>280.49552003522797</v>
      </c>
    </row>
    <row r="89" spans="1:4" x14ac:dyDescent="0.15">
      <c r="A89" s="11">
        <v>83</v>
      </c>
      <c r="B89" s="5">
        <f t="shared" si="4"/>
        <v>4.1430948419301163</v>
      </c>
      <c r="C89" s="6">
        <f t="shared" si="5"/>
        <v>68.755392262063779</v>
      </c>
      <c r="D89" s="6">
        <f t="shared" si="6"/>
        <v>284.86011103583826</v>
      </c>
    </row>
    <row r="90" spans="1:4" x14ac:dyDescent="0.15">
      <c r="A90" s="11">
        <v>84</v>
      </c>
      <c r="B90" s="5">
        <f t="shared" si="4"/>
        <v>4.1930116472545755</v>
      </c>
      <c r="C90" s="6">
        <f t="shared" si="5"/>
        <v>68.976020199334968</v>
      </c>
      <c r="D90" s="6">
        <f t="shared" si="6"/>
        <v>289.21725607707839</v>
      </c>
    </row>
    <row r="91" spans="1:4" x14ac:dyDescent="0.15">
      <c r="A91" s="11">
        <v>85</v>
      </c>
      <c r="B91" s="5">
        <f t="shared" si="4"/>
        <v>4.2429284525790347</v>
      </c>
      <c r="C91" s="6">
        <f t="shared" si="5"/>
        <v>69.189589170196882</v>
      </c>
      <c r="D91" s="6">
        <f t="shared" si="6"/>
        <v>293.56647651248261</v>
      </c>
    </row>
    <row r="92" spans="1:4" x14ac:dyDescent="0.15">
      <c r="A92" s="11">
        <v>86</v>
      </c>
      <c r="B92" s="5">
        <f t="shared" si="4"/>
        <v>4.2928452579034939</v>
      </c>
      <c r="C92" s="6">
        <f t="shared" si="5"/>
        <v>69.396237344169577</v>
      </c>
      <c r="D92" s="6">
        <f t="shared" si="6"/>
        <v>297.90730839926374</v>
      </c>
    </row>
    <row r="93" spans="1:4" x14ac:dyDescent="0.15">
      <c r="A93" s="11">
        <v>87</v>
      </c>
      <c r="B93" s="5">
        <f t="shared" si="4"/>
        <v>4.3427620632279531</v>
      </c>
      <c r="C93" s="6">
        <f t="shared" si="5"/>
        <v>69.59609982759261</v>
      </c>
      <c r="D93" s="6">
        <f t="shared" si="6"/>
        <v>302.23930207989468</v>
      </c>
    </row>
    <row r="94" spans="1:4" x14ac:dyDescent="0.15">
      <c r="A94" s="11">
        <v>88</v>
      </c>
      <c r="B94" s="5">
        <f t="shared" si="4"/>
        <v>4.3926788685524123</v>
      </c>
      <c r="C94" s="6">
        <f t="shared" si="5"/>
        <v>69.78930874548297</v>
      </c>
      <c r="D94" s="6">
        <f t="shared" si="6"/>
        <v>306.56202177716312</v>
      </c>
    </row>
    <row r="95" spans="1:4" x14ac:dyDescent="0.15">
      <c r="A95" s="11">
        <v>89</v>
      </c>
      <c r="B95" s="5">
        <f t="shared" si="4"/>
        <v>4.4425956738768715</v>
      </c>
      <c r="C95" s="6">
        <f t="shared" si="5"/>
        <v>69.975993320794601</v>
      </c>
      <c r="D95" s="6">
        <f t="shared" si="6"/>
        <v>310.87504520219892</v>
      </c>
    </row>
    <row r="96" spans="1:4" x14ac:dyDescent="0.15">
      <c r="A96" s="11">
        <v>90</v>
      </c>
      <c r="B96" s="5">
        <f t="shared" si="4"/>
        <v>4.4925124792013307</v>
      </c>
      <c r="C96" s="6">
        <f t="shared" si="5"/>
        <v>70.15627995117562</v>
      </c>
      <c r="D96" s="6">
        <f t="shared" si="6"/>
        <v>315.17796317499858</v>
      </c>
    </row>
    <row r="97" spans="1:4" x14ac:dyDescent="0.15">
      <c r="A97" s="11">
        <v>91</v>
      </c>
      <c r="B97" s="5">
        <f t="shared" si="4"/>
        <v>4.5424292845257899</v>
      </c>
      <c r="C97" s="6">
        <f t="shared" si="5"/>
        <v>70.33029228331425</v>
      </c>
      <c r="D97" s="6">
        <f t="shared" si="6"/>
        <v>319.47037925698481</v>
      </c>
    </row>
    <row r="98" spans="1:4" x14ac:dyDescent="0.15">
      <c r="A98" s="11">
        <v>92</v>
      </c>
      <c r="B98" s="5">
        <f t="shared" si="4"/>
        <v>4.5923460898502491</v>
      </c>
      <c r="C98" s="6">
        <f t="shared" si="5"/>
        <v>70.49815128496202</v>
      </c>
      <c r="D98" s="6">
        <f t="shared" si="6"/>
        <v>323.75190939516665</v>
      </c>
    </row>
    <row r="99" spans="1:4" x14ac:dyDescent="0.15">
      <c r="A99" s="11">
        <v>93</v>
      </c>
      <c r="B99" s="5">
        <f t="shared" si="4"/>
        <v>4.6422628951747082</v>
      </c>
      <c r="C99" s="6">
        <f t="shared" si="5"/>
        <v>70.659975314717769</v>
      </c>
      <c r="D99" s="6">
        <f t="shared" si="6"/>
        <v>328.02218157747512</v>
      </c>
    </row>
    <row r="100" spans="1:4" x14ac:dyDescent="0.15">
      <c r="A100" s="11">
        <v>94</v>
      </c>
      <c r="B100" s="5">
        <f t="shared" si="4"/>
        <v>4.6921797004991674</v>
      </c>
      <c r="C100" s="6">
        <f t="shared" si="5"/>
        <v>70.815880189653598</v>
      </c>
      <c r="D100" s="6">
        <f t="shared" si="6"/>
        <v>332.28083549887373</v>
      </c>
    </row>
    <row r="101" spans="1:4" x14ac:dyDescent="0.15">
      <c r="A101" s="11">
        <v>95</v>
      </c>
      <c r="B101" s="5">
        <f t="shared" si="4"/>
        <v>4.7420965058236266</v>
      </c>
      <c r="C101" s="6">
        <f t="shared" si="5"/>
        <v>70.96597925086003</v>
      </c>
      <c r="D101" s="6">
        <f t="shared" si="6"/>
        <v>336.52752223785535</v>
      </c>
    </row>
    <row r="102" spans="1:4" x14ac:dyDescent="0.15">
      <c r="A102" s="11">
        <v>96</v>
      </c>
      <c r="B102" s="5">
        <f t="shared" si="4"/>
        <v>4.7920133111480858</v>
      </c>
      <c r="C102" s="6">
        <f t="shared" si="5"/>
        <v>71.110383426984669</v>
      </c>
      <c r="D102" s="6">
        <f t="shared" si="6"/>
        <v>340.76190394295475</v>
      </c>
    </row>
    <row r="103" spans="1:4" x14ac:dyDescent="0.15">
      <c r="A103" s="11">
        <v>97</v>
      </c>
      <c r="B103" s="5">
        <f t="shared" si="4"/>
        <v>4.8419301164725459</v>
      </c>
      <c r="C103" s="6">
        <f t="shared" si="5"/>
        <v>71.249201295835476</v>
      </c>
      <c r="D103" s="6">
        <f t="shared" si="6"/>
        <v>344.98365352892051</v>
      </c>
    </row>
    <row r="104" spans="1:4" x14ac:dyDescent="0.15">
      <c r="A104" s="11">
        <v>98</v>
      </c>
      <c r="B104" s="5">
        <f t="shared" si="4"/>
        <v>4.8918469217970051</v>
      </c>
      <c r="C104" s="6">
        <f t="shared" si="5"/>
        <v>71.382539144117331</v>
      </c>
      <c r="D104" s="6">
        <f t="shared" si="6"/>
        <v>349.19245438220457</v>
      </c>
    </row>
    <row r="105" spans="1:4" x14ac:dyDescent="0.15">
      <c r="A105" s="11">
        <v>99</v>
      </c>
      <c r="B105" s="5">
        <f t="shared" si="4"/>
        <v>4.9417637271214643</v>
      </c>
      <c r="C105" s="6">
        <f t="shared" si="5"/>
        <v>71.510501025367063</v>
      </c>
      <c r="D105" s="6">
        <f t="shared" si="6"/>
        <v>353.38800007544125</v>
      </c>
    </row>
    <row r="106" spans="1:4" x14ac:dyDescent="0.15">
      <c r="A106" s="11">
        <v>100</v>
      </c>
      <c r="B106" s="5">
        <f t="shared" si="4"/>
        <v>4.9916805324459235</v>
      </c>
      <c r="C106" s="6">
        <f t="shared" si="5"/>
        <v>71.633188816150536</v>
      </c>
      <c r="D106" s="6">
        <f t="shared" si="6"/>
        <v>357.56999409060165</v>
      </c>
    </row>
    <row r="107" spans="1:4" x14ac:dyDescent="0.15">
      <c r="A107" s="11">
        <v>101</v>
      </c>
      <c r="B107" s="5">
        <f t="shared" si="4"/>
        <v>5.0415973377703827</v>
      </c>
      <c r="C107" s="6">
        <f t="shared" si="5"/>
        <v>71.750702270581527</v>
      </c>
      <c r="D107" s="6">
        <f t="shared" si="6"/>
        <v>361.73814955051915</v>
      </c>
    </row>
    <row r="108" spans="1:4" x14ac:dyDescent="0.15">
      <c r="A108" s="11">
        <v>102</v>
      </c>
      <c r="B108" s="5">
        <f t="shared" ref="B108:B171" si="7">$B$1/$B$2*A108</f>
        <v>5.0915141430948418</v>
      </c>
      <c r="C108" s="6">
        <f t="shared" ref="C108:C171" si="8">200*(B108/(5+B108))*EXP(-2*B108/$B$1)</f>
        <v>71.863139073221348</v>
      </c>
      <c r="D108" s="6">
        <f t="shared" ref="D108:D171" si="9">B108*C108</f>
        <v>365.89218895849802</v>
      </c>
    </row>
    <row r="109" spans="1:4" x14ac:dyDescent="0.15">
      <c r="A109" s="11">
        <v>103</v>
      </c>
      <c r="B109" s="5">
        <f t="shared" si="7"/>
        <v>5.141430948419301</v>
      </c>
      <c r="C109" s="6">
        <f t="shared" si="8"/>
        <v>71.970594890414148</v>
      </c>
      <c r="D109" s="6">
        <f t="shared" si="9"/>
        <v>370.03184394572332</v>
      </c>
    </row>
    <row r="110" spans="1:4" x14ac:dyDescent="0.15">
      <c r="A110" s="11">
        <v>104</v>
      </c>
      <c r="B110" s="5">
        <f t="shared" si="7"/>
        <v>5.1913477537437602</v>
      </c>
      <c r="C110" s="6">
        <f t="shared" si="8"/>
        <v>72.073163420112422</v>
      </c>
      <c r="D110" s="6">
        <f t="shared" si="9"/>
        <v>374.15685502620755</v>
      </c>
    </row>
    <row r="111" spans="1:4" x14ac:dyDescent="0.15">
      <c r="A111" s="11">
        <v>105</v>
      </c>
      <c r="B111" s="5">
        <f t="shared" si="7"/>
        <v>5.2412645590682194</v>
      </c>
      <c r="C111" s="6">
        <f t="shared" si="8"/>
        <v>72.170936440243338</v>
      </c>
      <c r="D111" s="6">
        <f t="shared" si="9"/>
        <v>378.26697135901247</v>
      </c>
    </row>
    <row r="112" spans="1:4" x14ac:dyDescent="0.15">
      <c r="A112" s="11">
        <v>106</v>
      </c>
      <c r="B112" s="5">
        <f t="shared" si="7"/>
        <v>5.2911813643926786</v>
      </c>
      <c r="C112" s="6">
        <f t="shared" si="8"/>
        <v>72.264003855666303</v>
      </c>
      <c r="D112" s="6">
        <f t="shared" si="9"/>
        <v>382.36195051750224</v>
      </c>
    </row>
    <row r="113" spans="1:4" x14ac:dyDescent="0.15">
      <c r="A113" s="11">
        <v>107</v>
      </c>
      <c r="B113" s="5">
        <f t="shared" si="7"/>
        <v>5.3410981697171378</v>
      </c>
      <c r="C113" s="6">
        <f t="shared" si="8"/>
        <v>72.352453743768564</v>
      </c>
      <c r="D113" s="6">
        <f t="shared" si="9"/>
        <v>386.44155826538616</v>
      </c>
    </row>
    <row r="114" spans="1:4" x14ac:dyDescent="0.15">
      <c r="A114" s="11">
        <v>108</v>
      </c>
      <c r="B114" s="5">
        <f t="shared" si="7"/>
        <v>5.391014975041597</v>
      </c>
      <c r="C114" s="6">
        <f t="shared" si="8"/>
        <v>72.436372398745476</v>
      </c>
      <c r="D114" s="6">
        <f t="shared" si="9"/>
        <v>390.50556833932666</v>
      </c>
    </row>
    <row r="115" spans="1:4" x14ac:dyDescent="0.15">
      <c r="A115" s="11">
        <v>109</v>
      </c>
      <c r="B115" s="5">
        <f t="shared" si="7"/>
        <v>5.4409317803660562</v>
      </c>
      <c r="C115" s="6">
        <f t="shared" si="8"/>
        <v>72.515844374608548</v>
      </c>
      <c r="D115" s="6">
        <f t="shared" si="9"/>
        <v>394.55376223788676</v>
      </c>
    </row>
    <row r="116" spans="1:4" x14ac:dyDescent="0.15">
      <c r="A116" s="11">
        <v>110</v>
      </c>
      <c r="B116" s="5">
        <f t="shared" si="7"/>
        <v>5.4908485856905154</v>
      </c>
      <c r="C116" s="6">
        <f t="shared" si="8"/>
        <v>72.590952526964628</v>
      </c>
      <c r="D116" s="6">
        <f t="shared" si="9"/>
        <v>398.58592901661109</v>
      </c>
    </row>
    <row r="117" spans="1:4" x14ac:dyDescent="0.15">
      <c r="A117" s="11">
        <v>111</v>
      </c>
      <c r="B117" s="5">
        <f t="shared" si="7"/>
        <v>5.5407653910149746</v>
      </c>
      <c r="C117" s="6">
        <f t="shared" si="8"/>
        <v>72.661778053605971</v>
      </c>
      <c r="D117" s="6">
        <f t="shared" si="9"/>
        <v>402.60186508903138</v>
      </c>
    </row>
    <row r="118" spans="1:4" x14ac:dyDescent="0.15">
      <c r="A118" s="11">
        <v>112</v>
      </c>
      <c r="B118" s="5">
        <f t="shared" si="7"/>
        <v>5.5906821963394338</v>
      </c>
      <c r="C118" s="6">
        <f t="shared" si="8"/>
        <v>72.728400533951401</v>
      </c>
      <c r="D118" s="6">
        <f t="shared" si="9"/>
        <v>406.60137403340548</v>
      </c>
    </row>
    <row r="119" spans="1:4" x14ac:dyDescent="0.15">
      <c r="A119" s="11">
        <v>113</v>
      </c>
      <c r="B119" s="5">
        <f t="shared" si="7"/>
        <v>5.6405990016638929</v>
      </c>
      <c r="C119" s="6">
        <f t="shared" si="8"/>
        <v>72.790897967375344</v>
      </c>
      <c r="D119" s="6">
        <f t="shared" si="9"/>
        <v>410.58426640499567</v>
      </c>
    </row>
    <row r="120" spans="1:4" x14ac:dyDescent="0.15">
      <c r="A120" s="11">
        <v>114</v>
      </c>
      <c r="B120" s="5">
        <f t="shared" si="7"/>
        <v>5.6905158069883521</v>
      </c>
      <c r="C120" s="6">
        <f t="shared" si="8"/>
        <v>72.849346810462123</v>
      </c>
      <c r="D120" s="6">
        <f t="shared" si="9"/>
        <v>414.55035955371119</v>
      </c>
    </row>
    <row r="121" spans="1:4" x14ac:dyDescent="0.15">
      <c r="A121" s="11">
        <v>115</v>
      </c>
      <c r="B121" s="5">
        <f t="shared" si="7"/>
        <v>5.7404326123128113</v>
      </c>
      <c r="C121" s="6">
        <f t="shared" si="8"/>
        <v>72.90382201321934</v>
      </c>
      <c r="D121" s="6">
        <f t="shared" si="9"/>
        <v>418.49947744693293</v>
      </c>
    </row>
    <row r="122" spans="1:4" x14ac:dyDescent="0.15">
      <c r="A122" s="11">
        <v>116</v>
      </c>
      <c r="B122" s="5">
        <f t="shared" si="7"/>
        <v>5.7903494176372705</v>
      </c>
      <c r="C122" s="6">
        <f t="shared" si="8"/>
        <v>72.954397054285138</v>
      </c>
      <c r="D122" s="6">
        <f t="shared" si="9"/>
        <v>422.43145049735813</v>
      </c>
    </row>
    <row r="123" spans="1:4" x14ac:dyDescent="0.15">
      <c r="A123" s="11">
        <v>117</v>
      </c>
      <c r="B123" s="5">
        <f t="shared" si="7"/>
        <v>5.8402662229617297</v>
      </c>
      <c r="C123" s="6">
        <f t="shared" si="8"/>
        <v>73.001143975161014</v>
      </c>
      <c r="D123" s="6">
        <f t="shared" si="9"/>
        <v>426.34611539569903</v>
      </c>
    </row>
    <row r="124" spans="1:4" x14ac:dyDescent="0.15">
      <c r="A124" s="11">
        <v>118</v>
      </c>
      <c r="B124" s="5">
        <f t="shared" si="7"/>
        <v>5.8901830282861898</v>
      </c>
      <c r="C124" s="6">
        <f t="shared" si="8"/>
        <v>73.044133413501854</v>
      </c>
      <c r="D124" s="6">
        <f t="shared" si="9"/>
        <v>430.24331494808081</v>
      </c>
    </row>
    <row r="125" spans="1:4" x14ac:dyDescent="0.15">
      <c r="A125" s="11">
        <v>119</v>
      </c>
      <c r="B125" s="5">
        <f t="shared" si="7"/>
        <v>5.940099833610649</v>
      </c>
      <c r="C125" s="6">
        <f t="shared" si="8"/>
        <v>73.083434635493049</v>
      </c>
      <c r="D125" s="6">
        <f t="shared" si="9"/>
        <v>434.12289791798702</v>
      </c>
    </row>
    <row r="126" spans="1:4" x14ac:dyDescent="0.15">
      <c r="A126" s="11">
        <v>120</v>
      </c>
      <c r="B126" s="5">
        <f t="shared" si="7"/>
        <v>5.9900166389351082</v>
      </c>
      <c r="C126" s="6">
        <f t="shared" si="8"/>
        <v>73.119115567344039</v>
      </c>
      <c r="D126" s="6">
        <f t="shared" si="9"/>
        <v>437.9847188726099</v>
      </c>
    </row>
    <row r="127" spans="1:4" x14ac:dyDescent="0.15">
      <c r="A127" s="11">
        <v>121</v>
      </c>
      <c r="B127" s="5">
        <f t="shared" si="7"/>
        <v>6.0399334442595674</v>
      </c>
      <c r="C127" s="6">
        <f t="shared" si="8"/>
        <v>73.151242825926019</v>
      </c>
      <c r="D127" s="6">
        <f t="shared" si="9"/>
        <v>441.82863803346333</v>
      </c>
    </row>
    <row r="128" spans="1:4" x14ac:dyDescent="0.15">
      <c r="A128" s="11">
        <v>122</v>
      </c>
      <c r="B128" s="5">
        <f t="shared" si="7"/>
        <v>6.0898502495840265</v>
      </c>
      <c r="C128" s="6">
        <f t="shared" si="8"/>
        <v>73.179881748580655</v>
      </c>
      <c r="D128" s="6">
        <f t="shared" si="9"/>
        <v>445.65452113112343</v>
      </c>
    </row>
    <row r="129" spans="1:4" x14ac:dyDescent="0.15">
      <c r="A129" s="11">
        <v>123</v>
      </c>
      <c r="B129" s="5">
        <f t="shared" si="7"/>
        <v>6.1397670549084857</v>
      </c>
      <c r="C129" s="6">
        <f t="shared" si="8"/>
        <v>73.205096422126275</v>
      </c>
      <c r="D129" s="6">
        <f t="shared" si="9"/>
        <v>449.46223926396999</v>
      </c>
    </row>
    <row r="130" spans="1:4" x14ac:dyDescent="0.15">
      <c r="A130" s="11">
        <v>124</v>
      </c>
      <c r="B130" s="5">
        <f t="shared" si="7"/>
        <v>6.1896838602329449</v>
      </c>
      <c r="C130" s="6">
        <f t="shared" si="8"/>
        <v>73.226949711086178</v>
      </c>
      <c r="D130" s="6">
        <f t="shared" si="9"/>
        <v>453.25166876079965</v>
      </c>
    </row>
    <row r="131" spans="1:4" x14ac:dyDescent="0.15">
      <c r="A131" s="11">
        <v>125</v>
      </c>
      <c r="B131" s="5">
        <f t="shared" si="7"/>
        <v>6.2396006655574041</v>
      </c>
      <c r="C131" s="6">
        <f t="shared" si="8"/>
        <v>73.245503285163338</v>
      </c>
      <c r="D131" s="6">
        <f t="shared" si="9"/>
        <v>457.02269104719221</v>
      </c>
    </row>
    <row r="132" spans="1:4" x14ac:dyDescent="0.15">
      <c r="A132" s="11">
        <v>126</v>
      </c>
      <c r="B132" s="5">
        <f t="shared" si="7"/>
        <v>6.2895174708818633</v>
      </c>
      <c r="C132" s="6">
        <f t="shared" si="8"/>
        <v>73.260817645985057</v>
      </c>
      <c r="D132" s="6">
        <f t="shared" si="9"/>
        <v>460.77519251551331</v>
      </c>
    </row>
    <row r="133" spans="1:4" x14ac:dyDescent="0.15">
      <c r="A133" s="11">
        <v>127</v>
      </c>
      <c r="B133" s="5">
        <f t="shared" si="7"/>
        <v>6.3394342762063225</v>
      </c>
      <c r="C133" s="6">
        <f t="shared" si="8"/>
        <v>73.272952153139684</v>
      </c>
      <c r="D133" s="6">
        <f t="shared" si="9"/>
        <v>464.50906439843959</v>
      </c>
    </row>
    <row r="134" spans="1:4" x14ac:dyDescent="0.15">
      <c r="A134" s="11">
        <v>128</v>
      </c>
      <c r="B134" s="5">
        <f t="shared" si="7"/>
        <v>6.3893510815307817</v>
      </c>
      <c r="C134" s="6">
        <f t="shared" si="8"/>
        <v>73.281965049527543</v>
      </c>
      <c r="D134" s="6">
        <f t="shared" si="9"/>
        <v>468.22420264589977</v>
      </c>
    </row>
    <row r="135" spans="1:4" x14ac:dyDescent="0.15">
      <c r="A135" s="11">
        <v>129</v>
      </c>
      <c r="B135" s="5">
        <f t="shared" si="7"/>
        <v>6.4392678868552409</v>
      </c>
      <c r="C135" s="6">
        <f t="shared" si="8"/>
        <v>73.287913486046776</v>
      </c>
      <c r="D135" s="6">
        <f t="shared" si="9"/>
        <v>471.92050780532611</v>
      </c>
    </row>
    <row r="136" spans="1:4" x14ac:dyDescent="0.15">
      <c r="A136" s="11">
        <v>130</v>
      </c>
      <c r="B136" s="5">
        <f t="shared" si="7"/>
        <v>6.4891846921797001</v>
      </c>
      <c r="C136" s="6">
        <f t="shared" si="8"/>
        <v>73.290853545634235</v>
      </c>
      <c r="D136" s="6">
        <f t="shared" si="9"/>
        <v>475.59788490511397</v>
      </c>
    </row>
    <row r="137" spans="1:4" x14ac:dyDescent="0.15">
      <c r="A137" s="11">
        <v>131</v>
      </c>
      <c r="B137" s="5">
        <f t="shared" si="7"/>
        <v>6.5391014975041593</v>
      </c>
      <c r="C137" s="6">
        <f t="shared" si="8"/>
        <v>73.290840266681258</v>
      </c>
      <c r="D137" s="6">
        <f t="shared" si="9"/>
        <v>479.25624334119357</v>
      </c>
    </row>
    <row r="138" spans="1:4" x14ac:dyDescent="0.15">
      <c r="A138" s="11">
        <v>132</v>
      </c>
      <c r="B138" s="5">
        <f t="shared" si="7"/>
        <v>6.5890183028286184</v>
      </c>
      <c r="C138" s="6">
        <f t="shared" si="8"/>
        <v>73.287927665842943</v>
      </c>
      <c r="D138" s="6">
        <f t="shared" si="9"/>
        <v>482.89549676661903</v>
      </c>
    </row>
    <row r="139" spans="1:4" x14ac:dyDescent="0.15">
      <c r="A139" s="11">
        <v>133</v>
      </c>
      <c r="B139" s="5">
        <f t="shared" si="7"/>
        <v>6.6389351081530776</v>
      </c>
      <c r="C139" s="6">
        <f t="shared" si="8"/>
        <v>73.282168760259367</v>
      </c>
      <c r="D139" s="6">
        <f t="shared" si="9"/>
        <v>486.51556298408462</v>
      </c>
    </row>
    <row r="140" spans="1:4" x14ac:dyDescent="0.15">
      <c r="A140" s="11">
        <v>134</v>
      </c>
      <c r="B140" s="5">
        <f t="shared" si="7"/>
        <v>6.6888519134775368</v>
      </c>
      <c r="C140" s="6">
        <f t="shared" si="8"/>
        <v>73.273615589205747</v>
      </c>
      <c r="D140" s="6">
        <f t="shared" si="9"/>
        <v>490.11636384127632</v>
      </c>
    </row>
    <row r="141" spans="1:4" x14ac:dyDescent="0.15">
      <c r="A141" s="11">
        <v>135</v>
      </c>
      <c r="B141" s="5">
        <f t="shared" si="7"/>
        <v>6.738768718801996</v>
      </c>
      <c r="C141" s="6">
        <f t="shared" si="8"/>
        <v>73.262319235189679</v>
      </c>
      <c r="D141" s="6">
        <f t="shared" si="9"/>
        <v>493.697825128982</v>
      </c>
    </row>
    <row r="142" spans="1:4" x14ac:dyDescent="0.15">
      <c r="A142" s="11">
        <v>136</v>
      </c>
      <c r="B142" s="5">
        <f t="shared" si="7"/>
        <v>6.7886855241264552</v>
      </c>
      <c r="C142" s="6">
        <f t="shared" si="8"/>
        <v>73.248329844510494</v>
      </c>
      <c r="D142" s="6">
        <f t="shared" si="9"/>
        <v>497.25987648186822</v>
      </c>
    </row>
    <row r="143" spans="1:4" x14ac:dyDescent="0.15">
      <c r="A143" s="11">
        <v>137</v>
      </c>
      <c r="B143" s="5">
        <f t="shared" si="7"/>
        <v>6.8386023294509144</v>
      </c>
      <c r="C143" s="6">
        <f t="shared" si="8"/>
        <v>73.231696647297625</v>
      </c>
      <c r="D143" s="6">
        <f t="shared" si="9"/>
        <v>500.80245128185226</v>
      </c>
    </row>
    <row r="144" spans="1:4" x14ac:dyDescent="0.15">
      <c r="A144" s="11">
        <v>138</v>
      </c>
      <c r="B144" s="5">
        <f t="shared" si="7"/>
        <v>6.8885191347753736</v>
      </c>
      <c r="C144" s="6">
        <f t="shared" si="8"/>
        <v>73.212467977042778</v>
      </c>
      <c r="D144" s="6">
        <f t="shared" si="9"/>
        <v>504.32548656398848</v>
      </c>
    </row>
    <row r="145" spans="1:4" x14ac:dyDescent="0.15">
      <c r="A145" s="11">
        <v>139</v>
      </c>
      <c r="B145" s="5">
        <f t="shared" si="7"/>
        <v>6.9384359400998337</v>
      </c>
      <c r="C145" s="6">
        <f t="shared" si="8"/>
        <v>73.190691289641137</v>
      </c>
      <c r="D145" s="6">
        <f t="shared" si="9"/>
        <v>507.82892292479789</v>
      </c>
    </row>
    <row r="146" spans="1:4" x14ac:dyDescent="0.15">
      <c r="A146" s="11">
        <v>140</v>
      </c>
      <c r="B146" s="5">
        <f t="shared" si="7"/>
        <v>6.9883527454242929</v>
      </c>
      <c r="C146" s="6">
        <f t="shared" si="8"/>
        <v>73.166413181955249</v>
      </c>
      <c r="D146" s="6">
        <f t="shared" si="9"/>
        <v>511.31270443296512</v>
      </c>
    </row>
    <row r="147" spans="1:4" x14ac:dyDescent="0.15">
      <c r="A147" s="11">
        <v>141</v>
      </c>
      <c r="B147" s="5">
        <f t="shared" si="7"/>
        <v>7.038269550748752</v>
      </c>
      <c r="C147" s="6">
        <f t="shared" si="8"/>
        <v>73.139679409916411</v>
      </c>
      <c r="D147" s="6">
        <f t="shared" si="9"/>
        <v>514.77677854234014</v>
      </c>
    </row>
    <row r="148" spans="1:4" x14ac:dyDescent="0.15">
      <c r="A148" s="11">
        <v>142</v>
      </c>
      <c r="B148" s="5">
        <f t="shared" si="7"/>
        <v>7.0881863560732112</v>
      </c>
      <c r="C148" s="6">
        <f t="shared" si="8"/>
        <v>73.110534906175843</v>
      </c>
      <c r="D148" s="6">
        <f t="shared" si="9"/>
        <v>518.22109600716988</v>
      </c>
    </row>
    <row r="149" spans="1:4" x14ac:dyDescent="0.15">
      <c r="A149" s="11">
        <v>143</v>
      </c>
      <c r="B149" s="5">
        <f t="shared" si="7"/>
        <v>7.1381031613976704</v>
      </c>
      <c r="C149" s="6">
        <f t="shared" si="8"/>
        <v>73.079023797319692</v>
      </c>
      <c r="D149" s="6">
        <f t="shared" si="9"/>
        <v>521.64561079950329</v>
      </c>
    </row>
    <row r="150" spans="1:4" x14ac:dyDescent="0.15">
      <c r="A150" s="11">
        <v>144</v>
      </c>
      <c r="B150" s="5">
        <f t="shared" si="7"/>
        <v>7.1880199667221296</v>
      </c>
      <c r="C150" s="6">
        <f t="shared" si="8"/>
        <v>73.045189420659284</v>
      </c>
      <c r="D150" s="6">
        <f t="shared" si="9"/>
        <v>525.05028002869904</v>
      </c>
    </row>
    <row r="151" spans="1:4" x14ac:dyDescent="0.15">
      <c r="A151" s="11">
        <v>145</v>
      </c>
      <c r="B151" s="5">
        <f t="shared" si="7"/>
        <v>7.2379367720465888</v>
      </c>
      <c r="C151" s="6">
        <f t="shared" si="8"/>
        <v>73.009074340609999</v>
      </c>
      <c r="D151" s="6">
        <f t="shared" si="9"/>
        <v>528.43506386298418</v>
      </c>
    </row>
    <row r="152" spans="1:4" x14ac:dyDescent="0.15">
      <c r="A152" s="11">
        <v>146</v>
      </c>
      <c r="B152" s="5">
        <f t="shared" si="7"/>
        <v>7.287853577371048</v>
      </c>
      <c r="C152" s="6">
        <f t="shared" si="8"/>
        <v>72.97072036466902</v>
      </c>
      <c r="D152" s="6">
        <f t="shared" si="9"/>
        <v>531.79992545299547</v>
      </c>
    </row>
    <row r="153" spans="1:4" x14ac:dyDescent="0.15">
      <c r="A153" s="11">
        <v>147</v>
      </c>
      <c r="B153" s="5">
        <f t="shared" si="7"/>
        <v>7.3377703826955072</v>
      </c>
      <c r="C153" s="6">
        <f t="shared" si="8"/>
        <v>72.930168559004841</v>
      </c>
      <c r="D153" s="6">
        <f t="shared" si="9"/>
        <v>535.14483085725681</v>
      </c>
    </row>
    <row r="154" spans="1:4" x14ac:dyDescent="0.15">
      <c r="A154" s="11">
        <v>148</v>
      </c>
      <c r="B154" s="5">
        <f t="shared" si="7"/>
        <v>7.3876871880199664</v>
      </c>
      <c r="C154" s="6">
        <f t="shared" si="8"/>
        <v>72.88745926366812</v>
      </c>
      <c r="D154" s="6">
        <f t="shared" si="9"/>
        <v>538.46974896952815</v>
      </c>
    </row>
    <row r="155" spans="1:4" x14ac:dyDescent="0.15">
      <c r="A155" s="11">
        <v>149</v>
      </c>
      <c r="B155" s="5">
        <f t="shared" si="7"/>
        <v>7.4376039933444256</v>
      </c>
      <c r="C155" s="6">
        <f t="shared" si="8"/>
        <v>72.84263210743562</v>
      </c>
      <c r="D155" s="6">
        <f t="shared" si="9"/>
        <v>541.77465144798202</v>
      </c>
    </row>
    <row r="156" spans="1:4" x14ac:dyDescent="0.15">
      <c r="A156" s="11">
        <v>150</v>
      </c>
      <c r="B156" s="5">
        <f t="shared" si="7"/>
        <v>7.4875207986688848</v>
      </c>
      <c r="C156" s="6">
        <f t="shared" si="8"/>
        <v>72.795726022296606</v>
      </c>
      <c r="D156" s="6">
        <f t="shared" si="9"/>
        <v>545.0595126461476</v>
      </c>
    </row>
    <row r="157" spans="1:4" x14ac:dyDescent="0.15">
      <c r="A157" s="11">
        <v>151</v>
      </c>
      <c r="B157" s="5">
        <f t="shared" si="7"/>
        <v>7.5374376039933439</v>
      </c>
      <c r="C157" s="6">
        <f t="shared" si="8"/>
        <v>72.746779257592564</v>
      </c>
      <c r="D157" s="6">
        <f t="shared" si="9"/>
        <v>548.32430954558117</v>
      </c>
    </row>
    <row r="158" spans="1:4" x14ac:dyDescent="0.15">
      <c r="A158" s="11">
        <v>152</v>
      </c>
      <c r="B158" s="5">
        <f t="shared" si="7"/>
        <v>7.5873544093178031</v>
      </c>
      <c r="C158" s="6">
        <f t="shared" si="8"/>
        <v>72.695829393818869</v>
      </c>
      <c r="D158" s="6">
        <f t="shared" si="9"/>
        <v>551.56902169020634</v>
      </c>
    </row>
    <row r="159" spans="1:4" x14ac:dyDescent="0.15">
      <c r="A159" s="11">
        <v>153</v>
      </c>
      <c r="B159" s="5">
        <f t="shared" si="7"/>
        <v>7.6372712146422623</v>
      </c>
      <c r="C159" s="6">
        <f t="shared" si="8"/>
        <v>72.642913356098774</v>
      </c>
      <c r="D159" s="6">
        <f t="shared" si="9"/>
        <v>554.79363112228509</v>
      </c>
    </row>
    <row r="160" spans="1:4" x14ac:dyDescent="0.15">
      <c r="A160" s="11">
        <v>154</v>
      </c>
      <c r="B160" s="5">
        <f t="shared" si="7"/>
        <v>7.6871880199667215</v>
      </c>
      <c r="C160" s="6">
        <f t="shared" si="8"/>
        <v>72.588067427337833</v>
      </c>
      <c r="D160" s="6">
        <f t="shared" si="9"/>
        <v>557.99812231996805</v>
      </c>
    </row>
    <row r="161" spans="1:4" x14ac:dyDescent="0.15">
      <c r="A161" s="11">
        <v>155</v>
      </c>
      <c r="B161" s="5">
        <f t="shared" si="7"/>
        <v>7.7371048252911807</v>
      </c>
      <c r="C161" s="6">
        <f t="shared" si="8"/>
        <v>72.531327261068384</v>
      </c>
      <c r="D161" s="6">
        <f t="shared" si="9"/>
        <v>561.18248213638594</v>
      </c>
    </row>
    <row r="162" spans="1:4" x14ac:dyDescent="0.15">
      <c r="A162" s="11">
        <v>156</v>
      </c>
      <c r="B162" s="5">
        <f t="shared" si="7"/>
        <v>7.7870216306156399</v>
      </c>
      <c r="C162" s="6">
        <f t="shared" si="8"/>
        <v>72.472727893991589</v>
      </c>
      <c r="D162" s="6">
        <f t="shared" si="9"/>
        <v>564.34669974023393</v>
      </c>
    </row>
    <row r="163" spans="1:4" x14ac:dyDescent="0.15">
      <c r="A163" s="11">
        <v>157</v>
      </c>
      <c r="B163" s="5">
        <f t="shared" si="7"/>
        <v>7.8369384359400991</v>
      </c>
      <c r="C163" s="6">
        <f t="shared" si="8"/>
        <v>72.412303758226457</v>
      </c>
      <c r="D163" s="6">
        <f t="shared" si="9"/>
        <v>567.4907665578146</v>
      </c>
    </row>
    <row r="164" spans="1:4" x14ac:dyDescent="0.15">
      <c r="A164" s="11">
        <v>158</v>
      </c>
      <c r="B164" s="5">
        <f t="shared" si="7"/>
        <v>7.8868552412645583</v>
      </c>
      <c r="C164" s="6">
        <f t="shared" si="8"/>
        <v>72.350088693272539</v>
      </c>
      <c r="D164" s="6">
        <f t="shared" si="9"/>
        <v>570.61467621649217</v>
      </c>
    </row>
    <row r="165" spans="1:4" x14ac:dyDescent="0.15">
      <c r="A165" s="11">
        <v>159</v>
      </c>
      <c r="B165" s="5">
        <f t="shared" si="7"/>
        <v>7.9367720465890175</v>
      </c>
      <c r="C165" s="6">
        <f t="shared" si="8"/>
        <v>72.286115957695088</v>
      </c>
      <c r="D165" s="6">
        <f t="shared" si="9"/>
        <v>573.71842448952668</v>
      </c>
    </row>
    <row r="166" spans="1:4" x14ac:dyDescent="0.15">
      <c r="A166" s="11">
        <v>160</v>
      </c>
      <c r="B166" s="5">
        <f t="shared" si="7"/>
        <v>7.9866888519134775</v>
      </c>
      <c r="C166" s="6">
        <f t="shared" si="8"/>
        <v>72.220418240539502</v>
      </c>
      <c r="D166" s="6">
        <f t="shared" si="9"/>
        <v>576.80200924224562</v>
      </c>
    </row>
    <row r="167" spans="1:4" x14ac:dyDescent="0.15">
      <c r="A167" s="11">
        <v>161</v>
      </c>
      <c r="B167" s="5">
        <f t="shared" si="7"/>
        <v>8.0366056572379367</v>
      </c>
      <c r="C167" s="6">
        <f t="shared" si="8"/>
        <v>72.153027672482523</v>
      </c>
      <c r="D167" s="6">
        <f t="shared" si="9"/>
        <v>579.86543037951844</v>
      </c>
    </row>
    <row r="168" spans="1:4" x14ac:dyDescent="0.15">
      <c r="A168" s="11">
        <v>162</v>
      </c>
      <c r="B168" s="5">
        <f t="shared" si="7"/>
        <v>8.0865224625623959</v>
      </c>
      <c r="C168" s="6">
        <f t="shared" si="8"/>
        <v>72.08397583672739</v>
      </c>
      <c r="D168" s="6">
        <f t="shared" si="9"/>
        <v>582.90868979450102</v>
      </c>
    </row>
    <row r="169" spans="1:4" x14ac:dyDescent="0.15">
      <c r="A169" s="11">
        <v>163</v>
      </c>
      <c r="B169" s="5">
        <f t="shared" si="7"/>
        <v>8.1364392678868551</v>
      </c>
      <c r="C169" s="6">
        <f t="shared" si="8"/>
        <v>72.013293779649345</v>
      </c>
      <c r="D169" s="6">
        <f t="shared" si="9"/>
        <v>585.93179131861109</v>
      </c>
    </row>
    <row r="170" spans="1:4" x14ac:dyDescent="0.15">
      <c r="A170" s="11">
        <v>164</v>
      </c>
      <c r="B170" s="5">
        <f t="shared" si="7"/>
        <v>8.1863560732113143</v>
      </c>
      <c r="C170" s="6">
        <f t="shared" si="8"/>
        <v>71.941012021198574</v>
      </c>
      <c r="D170" s="6">
        <f t="shared" si="9"/>
        <v>588.93474067270711</v>
      </c>
    </row>
    <row r="171" spans="1:4" x14ac:dyDescent="0.15">
      <c r="A171" s="11">
        <v>165</v>
      </c>
      <c r="B171" s="5">
        <f t="shared" si="7"/>
        <v>8.2362728785357735</v>
      </c>
      <c r="C171" s="6">
        <f t="shared" si="8"/>
        <v>71.867160565066698</v>
      </c>
      <c r="D171" s="6">
        <f t="shared" si="9"/>
        <v>591.91754541943453</v>
      </c>
    </row>
    <row r="172" spans="1:4" x14ac:dyDescent="0.15">
      <c r="A172" s="11">
        <v>166</v>
      </c>
      <c r="B172" s="5">
        <f t="shared" ref="B172:B207" si="10">$B$1/$B$2*A172</f>
        <v>8.2861896838602327</v>
      </c>
      <c r="C172" s="6">
        <f t="shared" ref="C172:C207" si="11">200*(B172/(5+B172))*EXP(-2*B172/$B$1)</f>
        <v>71.791768908623041</v>
      </c>
      <c r="D172" s="6">
        <f t="shared" ref="D172:D207" si="12">B172*C172</f>
        <v>594.88021491671009</v>
      </c>
    </row>
    <row r="173" spans="1:4" x14ac:dyDescent="0.15">
      <c r="A173" s="11">
        <v>167</v>
      </c>
      <c r="B173" s="5">
        <f t="shared" si="10"/>
        <v>8.3361064891846919</v>
      </c>
      <c r="C173" s="6">
        <f t="shared" si="11"/>
        <v>71.714866052626959</v>
      </c>
      <c r="D173" s="6">
        <f t="shared" si="12"/>
        <v>597.82276027231455</v>
      </c>
    </row>
    <row r="174" spans="1:4" x14ac:dyDescent="0.15">
      <c r="A174" s="11">
        <v>168</v>
      </c>
      <c r="B174" s="5">
        <f t="shared" si="10"/>
        <v>8.3860232945091511</v>
      </c>
      <c r="C174" s="6">
        <f t="shared" si="11"/>
        <v>71.636480510721725</v>
      </c>
      <c r="D174" s="6">
        <f t="shared" si="12"/>
        <v>600.7451942995632</v>
      </c>
    </row>
    <row r="175" spans="1:4" x14ac:dyDescent="0.15">
      <c r="A175" s="11">
        <v>169</v>
      </c>
      <c r="B175" s="5">
        <f t="shared" si="10"/>
        <v>8.4359400998336103</v>
      </c>
      <c r="C175" s="6">
        <f t="shared" si="11"/>
        <v>71.556640318715907</v>
      </c>
      <c r="D175" s="6">
        <f t="shared" si="12"/>
        <v>603.64753147402598</v>
      </c>
    </row>
    <row r="176" spans="1:4" x14ac:dyDescent="0.15">
      <c r="A176" s="11">
        <v>170</v>
      </c>
      <c r="B176" s="5">
        <f t="shared" si="10"/>
        <v>8.4858569051580695</v>
      </c>
      <c r="C176" s="6">
        <f t="shared" si="11"/>
        <v>71.475373043657825</v>
      </c>
      <c r="D176" s="6">
        <f t="shared" si="12"/>
        <v>606.52978789127269</v>
      </c>
    </row>
    <row r="177" spans="1:4" x14ac:dyDescent="0.15">
      <c r="A177" s="11">
        <v>171</v>
      </c>
      <c r="B177" s="5">
        <f t="shared" si="10"/>
        <v>8.5357737104825286</v>
      </c>
      <c r="C177" s="6">
        <f t="shared" si="11"/>
        <v>71.392705792707886</v>
      </c>
      <c r="D177" s="6">
        <f t="shared" si="12"/>
        <v>609.3919812256097</v>
      </c>
    </row>
    <row r="178" spans="1:4" x14ac:dyDescent="0.15">
      <c r="A178" s="11">
        <v>172</v>
      </c>
      <c r="B178" s="5">
        <f t="shared" si="10"/>
        <v>8.5856905158069878</v>
      </c>
      <c r="C178" s="6">
        <f t="shared" si="11"/>
        <v>71.308665221814934</v>
      </c>
      <c r="D178" s="6">
        <f t="shared" si="12"/>
        <v>612.2341306897921</v>
      </c>
    </row>
    <row r="179" spans="1:4" x14ac:dyDescent="0.15">
      <c r="A179" s="11">
        <v>173</v>
      </c>
      <c r="B179" s="5">
        <f t="shared" si="10"/>
        <v>8.635607321131447</v>
      </c>
      <c r="C179" s="6">
        <f t="shared" si="11"/>
        <v>71.223277544200599</v>
      </c>
      <c r="D179" s="6">
        <f t="shared" si="12"/>
        <v>615.05625699567565</v>
      </c>
    </row>
    <row r="180" spans="1:4" x14ac:dyDescent="0.15">
      <c r="A180" s="11">
        <v>174</v>
      </c>
      <c r="B180" s="5">
        <f t="shared" si="10"/>
        <v>8.6855241264559062</v>
      </c>
      <c r="C180" s="6">
        <f t="shared" si="11"/>
        <v>71.136568538657457</v>
      </c>
      <c r="D180" s="6">
        <f t="shared" si="12"/>
        <v>617.85838231579351</v>
      </c>
    </row>
    <row r="181" spans="1:4" x14ac:dyDescent="0.15">
      <c r="A181" s="11">
        <v>175</v>
      </c>
      <c r="B181" s="5">
        <f t="shared" si="10"/>
        <v>8.7354409317803654</v>
      </c>
      <c r="C181" s="6">
        <f t="shared" si="11"/>
        <v>71.048563557665005</v>
      </c>
      <c r="D181" s="6">
        <f t="shared" si="12"/>
        <v>620.64053024582574</v>
      </c>
    </row>
    <row r="182" spans="1:4" x14ac:dyDescent="0.15">
      <c r="A182" s="11">
        <v>176</v>
      </c>
      <c r="B182" s="5">
        <f t="shared" si="10"/>
        <v>8.7853577371048246</v>
      </c>
      <c r="C182" s="6">
        <f t="shared" si="11"/>
        <v>70.959287535328698</v>
      </c>
      <c r="D182" s="6">
        <f t="shared" si="12"/>
        <v>623.40272576794587</v>
      </c>
    </row>
    <row r="183" spans="1:4" x14ac:dyDescent="0.15">
      <c r="A183" s="11">
        <v>177</v>
      </c>
      <c r="B183" s="5">
        <f t="shared" si="10"/>
        <v>8.8352745424292838</v>
      </c>
      <c r="C183" s="6">
        <f t="shared" si="11"/>
        <v>70.868764995146009</v>
      </c>
      <c r="D183" s="6">
        <f t="shared" si="12"/>
        <v>626.14499521501705</v>
      </c>
    </row>
    <row r="184" spans="1:4" x14ac:dyDescent="0.15">
      <c r="A184" s="11">
        <v>178</v>
      </c>
      <c r="B184" s="5">
        <f t="shared" si="10"/>
        <v>8.885191347753743</v>
      </c>
      <c r="C184" s="6">
        <f t="shared" si="11"/>
        <v>70.777020057604219</v>
      </c>
      <c r="D184" s="6">
        <f t="shared" si="12"/>
        <v>628.86736623561808</v>
      </c>
    </row>
    <row r="185" spans="1:4" x14ac:dyDescent="0.15">
      <c r="A185" s="11">
        <v>179</v>
      </c>
      <c r="B185" s="5">
        <f t="shared" si="10"/>
        <v>8.9351081530782022</v>
      </c>
      <c r="C185" s="6">
        <f t="shared" si="11"/>
        <v>70.684076447614046</v>
      </c>
      <c r="D185" s="6">
        <f t="shared" si="12"/>
        <v>631.56986775987923</v>
      </c>
    </row>
    <row r="186" spans="1:4" x14ac:dyDescent="0.15">
      <c r="A186" s="11">
        <v>180</v>
      </c>
      <c r="B186" s="5">
        <f t="shared" si="10"/>
        <v>8.9850249584026614</v>
      </c>
      <c r="C186" s="6">
        <f t="shared" si="11"/>
        <v>70.589957501782948</v>
      </c>
      <c r="D186" s="6">
        <f t="shared" si="12"/>
        <v>634.252529966103</v>
      </c>
    </row>
    <row r="187" spans="1:4" x14ac:dyDescent="0.15">
      <c r="A187" s="11">
        <v>181</v>
      </c>
      <c r="B187" s="5">
        <f t="shared" si="10"/>
        <v>9.0349417637271205</v>
      </c>
      <c r="C187" s="6">
        <f t="shared" si="11"/>
        <v>70.494686175532792</v>
      </c>
      <c r="D187" s="6">
        <f t="shared" si="12"/>
        <v>636.91538424815815</v>
      </c>
    </row>
    <row r="188" spans="1:4" x14ac:dyDescent="0.15">
      <c r="A188" s="11">
        <v>182</v>
      </c>
      <c r="B188" s="5">
        <f t="shared" si="10"/>
        <v>9.0848585690515797</v>
      </c>
      <c r="C188" s="6">
        <f t="shared" si="11"/>
        <v>70.398285050064899</v>
      </c>
      <c r="D188" s="6">
        <f t="shared" si="12"/>
        <v>639.55846318361785</v>
      </c>
    </row>
    <row r="189" spans="1:4" x14ac:dyDescent="0.15">
      <c r="A189" s="11">
        <v>183</v>
      </c>
      <c r="B189" s="5">
        <f t="shared" si="10"/>
        <v>9.1347753743760389</v>
      </c>
      <c r="C189" s="6">
        <f t="shared" si="11"/>
        <v>70.300776339176906</v>
      </c>
      <c r="D189" s="6">
        <f t="shared" si="12"/>
        <v>642.18180050263095</v>
      </c>
    </row>
    <row r="190" spans="1:4" x14ac:dyDescent="0.15">
      <c r="A190" s="11">
        <v>184</v>
      </c>
      <c r="B190" s="5">
        <f t="shared" si="10"/>
        <v>9.1846921797004981</v>
      </c>
      <c r="C190" s="6">
        <f t="shared" si="11"/>
        <v>70.202181895934643</v>
      </c>
      <c r="D190" s="6">
        <f t="shared" si="12"/>
        <v>644.78543105750282</v>
      </c>
    </row>
    <row r="191" spans="1:4" x14ac:dyDescent="0.15">
      <c r="A191" s="11">
        <v>185</v>
      </c>
      <c r="B191" s="5">
        <f t="shared" si="10"/>
        <v>9.2346089850249573</v>
      </c>
      <c r="C191" s="6">
        <f t="shared" si="11"/>
        <v>70.102523219203036</v>
      </c>
      <c r="D191" s="6">
        <f t="shared" si="12"/>
        <v>647.36939079297304</v>
      </c>
    </row>
    <row r="192" spans="1:4" x14ac:dyDescent="0.15">
      <c r="A192" s="11">
        <v>186</v>
      </c>
      <c r="B192" s="5">
        <f t="shared" si="10"/>
        <v>9.2845257903494165</v>
      </c>
      <c r="C192" s="6">
        <f t="shared" si="11"/>
        <v>70.001821460039054</v>
      </c>
      <c r="D192" s="6">
        <f t="shared" si="12"/>
        <v>649.93371671716784</v>
      </c>
    </row>
    <row r="193" spans="1:4" x14ac:dyDescent="0.15">
      <c r="A193" s="11">
        <v>187</v>
      </c>
      <c r="B193" s="5">
        <f t="shared" si="10"/>
        <v>9.3344425956738757</v>
      </c>
      <c r="C193" s="6">
        <f t="shared" si="11"/>
        <v>69.900097427950229</v>
      </c>
      <c r="D193" s="6">
        <f t="shared" si="12"/>
        <v>652.47844687321253</v>
      </c>
    </row>
    <row r="194" spans="1:4" x14ac:dyDescent="0.15">
      <c r="A194" s="11">
        <v>188</v>
      </c>
      <c r="B194" s="5">
        <f t="shared" si="10"/>
        <v>9.3843594009983349</v>
      </c>
      <c r="C194" s="6">
        <f t="shared" si="11"/>
        <v>69.797371597022249</v>
      </c>
      <c r="D194" s="6">
        <f t="shared" si="12"/>
        <v>655.00362031148995</v>
      </c>
    </row>
    <row r="195" spans="1:4" x14ac:dyDescent="0.15">
      <c r="A195" s="11">
        <v>189</v>
      </c>
      <c r="B195" s="5">
        <f t="shared" si="10"/>
        <v>9.4342762063227941</v>
      </c>
      <c r="C195" s="6">
        <f t="shared" si="11"/>
        <v>69.693664111918423</v>
      </c>
      <c r="D195" s="6">
        <f t="shared" si="12"/>
        <v>657.5092770625248</v>
      </c>
    </row>
    <row r="196" spans="1:4" x14ac:dyDescent="0.15">
      <c r="A196" s="11">
        <v>190</v>
      </c>
      <c r="B196" s="5">
        <f t="shared" si="10"/>
        <v>9.4841930116472533</v>
      </c>
      <c r="C196" s="6">
        <f t="shared" si="11"/>
        <v>69.588994793754196</v>
      </c>
      <c r="D196" s="6">
        <f t="shared" si="12"/>
        <v>659.99545811048063</v>
      </c>
    </row>
    <row r="197" spans="1:4" x14ac:dyDescent="0.15">
      <c r="A197" s="11">
        <v>191</v>
      </c>
      <c r="B197" s="5">
        <f t="shared" si="10"/>
        <v>9.5341098169717124</v>
      </c>
      <c r="C197" s="6">
        <f t="shared" si="11"/>
        <v>69.483383145850112</v>
      </c>
      <c r="D197" s="6">
        <f t="shared" si="12"/>
        <v>662.46220536725639</v>
      </c>
    </row>
    <row r="198" spans="1:4" x14ac:dyDescent="0.15">
      <c r="A198" s="11">
        <v>192</v>
      </c>
      <c r="B198" s="5">
        <f t="shared" si="10"/>
        <v>9.5840266222961716</v>
      </c>
      <c r="C198" s="6">
        <f t="shared" si="11"/>
        <v>69.376848359365482</v>
      </c>
      <c r="D198" s="6">
        <f t="shared" si="12"/>
        <v>664.90956164716329</v>
      </c>
    </row>
    <row r="199" spans="1:4" x14ac:dyDescent="0.15">
      <c r="A199" s="11">
        <v>193</v>
      </c>
      <c r="B199" s="5">
        <f t="shared" si="10"/>
        <v>9.6339434276206326</v>
      </c>
      <c r="C199" s="6">
        <f t="shared" si="11"/>
        <v>69.269409318816244</v>
      </c>
      <c r="D199" s="6">
        <f t="shared" si="12"/>
        <v>667.3375706421732</v>
      </c>
    </row>
    <row r="200" spans="1:4" x14ac:dyDescent="0.15">
      <c r="A200" s="11">
        <v>194</v>
      </c>
      <c r="B200" s="5">
        <f t="shared" si="10"/>
        <v>9.6838602329450918</v>
      </c>
      <c r="C200" s="6">
        <f t="shared" si="11"/>
        <v>69.161084607479282</v>
      </c>
      <c r="D200" s="6">
        <f t="shared" si="12"/>
        <v>669.74627689771955</v>
      </c>
    </row>
    <row r="201" spans="1:4" x14ac:dyDescent="0.15">
      <c r="A201" s="11">
        <v>195</v>
      </c>
      <c r="B201" s="5">
        <f t="shared" si="10"/>
        <v>9.733777038269551</v>
      </c>
      <c r="C201" s="6">
        <f t="shared" si="11"/>
        <v>69.051892512686223</v>
      </c>
      <c r="D201" s="6">
        <f t="shared" si="12"/>
        <v>672.13572578904234</v>
      </c>
    </row>
    <row r="202" spans="1:4" x14ac:dyDescent="0.15">
      <c r="A202" s="11">
        <v>196</v>
      </c>
      <c r="B202" s="5">
        <f t="shared" si="10"/>
        <v>9.7836938435940102</v>
      </c>
      <c r="C202" s="6">
        <f t="shared" si="11"/>
        <v>68.941851031009108</v>
      </c>
      <c r="D202" s="6">
        <f t="shared" si="12"/>
        <v>674.50596349805915</v>
      </c>
    </row>
    <row r="203" spans="1:4" x14ac:dyDescent="0.15">
      <c r="A203" s="11">
        <v>197</v>
      </c>
      <c r="B203" s="5">
        <f t="shared" si="10"/>
        <v>9.8336106489184694</v>
      </c>
      <c r="C203" s="6">
        <f t="shared" si="11"/>
        <v>68.830977873340842</v>
      </c>
      <c r="D203" s="6">
        <f t="shared" si="12"/>
        <v>676.857036990756</v>
      </c>
    </row>
    <row r="204" spans="1:4" x14ac:dyDescent="0.15">
      <c r="A204" s="11">
        <v>198</v>
      </c>
      <c r="B204" s="5">
        <f t="shared" si="10"/>
        <v>9.8835274542429286</v>
      </c>
      <c r="C204" s="6">
        <f t="shared" si="11"/>
        <v>68.719290469872277</v>
      </c>
      <c r="D204" s="6">
        <f t="shared" si="12"/>
        <v>679.18899399507711</v>
      </c>
    </row>
    <row r="205" spans="1:4" x14ac:dyDescent="0.15">
      <c r="A205" s="11">
        <v>199</v>
      </c>
      <c r="B205" s="5">
        <f t="shared" si="10"/>
        <v>9.9334442595673877</v>
      </c>
      <c r="C205" s="6">
        <f t="shared" si="11"/>
        <v>68.606805974968921</v>
      </c>
      <c r="D205" s="6">
        <f t="shared" si="12"/>
        <v>681.50188297930856</v>
      </c>
    </row>
    <row r="206" spans="1:4" x14ac:dyDescent="0.15">
      <c r="A206" s="11">
        <v>200</v>
      </c>
      <c r="B206" s="5">
        <f t="shared" si="10"/>
        <v>9.9833610648918469</v>
      </c>
      <c r="C206" s="6">
        <f t="shared" si="11"/>
        <v>68.493541271949482</v>
      </c>
      <c r="D206" s="6">
        <f t="shared" si="12"/>
        <v>683.79575313094324</v>
      </c>
    </row>
    <row r="207" spans="1:4" x14ac:dyDescent="0.15">
      <c r="A207" s="11">
        <v>201</v>
      </c>
      <c r="B207" s="5">
        <f t="shared" si="10"/>
        <v>10.033277870216306</v>
      </c>
      <c r="C207" s="6">
        <f t="shared" si="11"/>
        <v>68.379512977768343</v>
      </c>
      <c r="D207" s="6">
        <f t="shared" si="12"/>
        <v>686.07065433601178</v>
      </c>
    </row>
    <row r="208" spans="1:4" x14ac:dyDescent="0.15">
      <c r="A208" s="11">
        <v>202</v>
      </c>
      <c r="B208" s="5">
        <f t="shared" ref="B208:B271" si="13">$B$1/$B$2*A208</f>
        <v>10.083194675540765</v>
      </c>
      <c r="C208" s="6">
        <f t="shared" ref="C208:C271" si="14">200*(B208/(5+B208))*EXP(-2*B208/$B$1)</f>
        <v>68.264737447604276</v>
      </c>
      <c r="D208" s="6">
        <f t="shared" ref="D208:D271" si="15">B208*C208</f>
        <v>688.32663715887168</v>
      </c>
    </row>
    <row r="209" spans="1:4" x14ac:dyDescent="0.15">
      <c r="A209" s="11">
        <v>203</v>
      </c>
      <c r="B209" s="5">
        <f t="shared" si="13"/>
        <v>10.133111480865225</v>
      </c>
      <c r="C209" s="6">
        <f t="shared" si="14"/>
        <v>68.149230779357737</v>
      </c>
      <c r="D209" s="6">
        <f t="shared" si="15"/>
        <v>690.56375282244358</v>
      </c>
    </row>
    <row r="210" spans="1:4" x14ac:dyDescent="0.15">
      <c r="A210" s="11">
        <v>204</v>
      </c>
      <c r="B210" s="5">
        <f t="shared" si="13"/>
        <v>10.183028286189684</v>
      </c>
      <c r="C210" s="6">
        <f t="shared" si="14"/>
        <v>68.033008818058661</v>
      </c>
      <c r="D210" s="6">
        <f t="shared" si="15"/>
        <v>692.78205318888354</v>
      </c>
    </row>
    <row r="211" spans="1:4" x14ac:dyDescent="0.15">
      <c r="A211" s="11">
        <v>205</v>
      </c>
      <c r="B211" s="5">
        <f t="shared" si="13"/>
        <v>10.232945091514143</v>
      </c>
      <c r="C211" s="6">
        <f t="shared" si="14"/>
        <v>67.916087160186805</v>
      </c>
      <c r="D211" s="6">
        <f t="shared" si="15"/>
        <v>694.9815907406803</v>
      </c>
    </row>
    <row r="212" spans="1:4" x14ac:dyDescent="0.15">
      <c r="A212" s="11">
        <v>206</v>
      </c>
      <c r="B212" s="5">
        <f t="shared" si="13"/>
        <v>10.282861896838602</v>
      </c>
      <c r="C212" s="6">
        <f t="shared" si="14"/>
        <v>67.79848115790675</v>
      </c>
      <c r="D212" s="6">
        <f t="shared" si="15"/>
        <v>697.16241856216925</v>
      </c>
    </row>
    <row r="213" spans="1:4" x14ac:dyDescent="0.15">
      <c r="A213" s="11">
        <v>207</v>
      </c>
      <c r="B213" s="5">
        <f t="shared" si="13"/>
        <v>10.332778702163061</v>
      </c>
      <c r="C213" s="6">
        <f t="shared" si="14"/>
        <v>67.680205923219503</v>
      </c>
      <c r="D213" s="6">
        <f t="shared" si="15"/>
        <v>699.32459032145277</v>
      </c>
    </row>
    <row r="214" spans="1:4" x14ac:dyDescent="0.15">
      <c r="A214" s="11">
        <v>208</v>
      </c>
      <c r="B214" s="5">
        <f t="shared" si="13"/>
        <v>10.38269550748752</v>
      </c>
      <c r="C214" s="6">
        <f t="shared" si="14"/>
        <v>67.561276332032492</v>
      </c>
      <c r="D214" s="6">
        <f t="shared" si="15"/>
        <v>701.46816025271664</v>
      </c>
    </row>
    <row r="215" spans="1:4" x14ac:dyDescent="0.15">
      <c r="A215" s="11">
        <v>209</v>
      </c>
      <c r="B215" s="5">
        <f t="shared" si="13"/>
        <v>10.43261231281198</v>
      </c>
      <c r="C215" s="6">
        <f t="shared" si="14"/>
        <v>67.441707028149892</v>
      </c>
      <c r="D215" s="6">
        <f t="shared" si="15"/>
        <v>703.59318313893482</v>
      </c>
    </row>
    <row r="216" spans="1:4" x14ac:dyDescent="0.15">
      <c r="A216" s="11">
        <v>210</v>
      </c>
      <c r="B216" s="5">
        <f t="shared" si="13"/>
        <v>10.482529118136439</v>
      </c>
      <c r="C216" s="6">
        <f t="shared" si="14"/>
        <v>67.321512427185056</v>
      </c>
      <c r="D216" s="6">
        <f t="shared" si="15"/>
        <v>705.69971429495149</v>
      </c>
    </row>
    <row r="217" spans="1:4" x14ac:dyDescent="0.15">
      <c r="A217" s="11">
        <v>211</v>
      </c>
      <c r="B217" s="5">
        <f t="shared" si="13"/>
        <v>10.532445923460898</v>
      </c>
      <c r="C217" s="6">
        <f t="shared" si="14"/>
        <v>67.200706720396809</v>
      </c>
      <c r="D217" s="6">
        <f t="shared" si="15"/>
        <v>707.78780955093475</v>
      </c>
    </row>
    <row r="218" spans="1:4" x14ac:dyDescent="0.15">
      <c r="A218" s="11">
        <v>212</v>
      </c>
      <c r="B218" s="5">
        <f t="shared" si="13"/>
        <v>10.582362728785357</v>
      </c>
      <c r="C218" s="6">
        <f t="shared" si="14"/>
        <v>67.079303878451327</v>
      </c>
      <c r="D218" s="6">
        <f t="shared" si="15"/>
        <v>709.85752523619033</v>
      </c>
    </row>
    <row r="219" spans="1:4" x14ac:dyDescent="0.15">
      <c r="A219" s="11">
        <v>213</v>
      </c>
      <c r="B219" s="5">
        <f t="shared" si="13"/>
        <v>10.632279534109816</v>
      </c>
      <c r="C219" s="6">
        <f t="shared" si="14"/>
        <v>66.957317655111197</v>
      </c>
      <c r="D219" s="6">
        <f t="shared" si="15"/>
        <v>711.90891816332862</v>
      </c>
    </row>
    <row r="220" spans="1:4" x14ac:dyDescent="0.15">
      <c r="A220" s="11">
        <v>214</v>
      </c>
      <c r="B220" s="5">
        <f t="shared" si="13"/>
        <v>10.682196339434276</v>
      </c>
      <c r="C220" s="6">
        <f t="shared" si="14"/>
        <v>66.834761590853503</v>
      </c>
      <c r="D220" s="6">
        <f t="shared" si="15"/>
        <v>713.94204561277786</v>
      </c>
    </row>
    <row r="221" spans="1:4" x14ac:dyDescent="0.15">
      <c r="A221" s="11">
        <v>215</v>
      </c>
      <c r="B221" s="5">
        <f t="shared" si="13"/>
        <v>10.732113144758735</v>
      </c>
      <c r="C221" s="6">
        <f t="shared" si="14"/>
        <v>66.71164901641805</v>
      </c>
      <c r="D221" s="6">
        <f t="shared" si="15"/>
        <v>715.95696531763133</v>
      </c>
    </row>
    <row r="222" spans="1:4" x14ac:dyDescent="0.15">
      <c r="A222" s="11">
        <v>216</v>
      </c>
      <c r="B222" s="5">
        <f t="shared" si="13"/>
        <v>10.782029950083194</v>
      </c>
      <c r="C222" s="6">
        <f t="shared" si="14"/>
        <v>66.587993056287971</v>
      </c>
      <c r="D222" s="6">
        <f t="shared" si="15"/>
        <v>717.95373544882864</v>
      </c>
    </row>
    <row r="223" spans="1:4" x14ac:dyDescent="0.15">
      <c r="A223" s="11">
        <v>217</v>
      </c>
      <c r="B223" s="5">
        <f t="shared" si="13"/>
        <v>10.831946755407653</v>
      </c>
      <c r="C223" s="6">
        <f t="shared" si="14"/>
        <v>66.463806632103456</v>
      </c>
      <c r="D223" s="6">
        <f t="shared" si="15"/>
        <v>719.93241460065474</v>
      </c>
    </row>
    <row r="224" spans="1:4" x14ac:dyDescent="0.15">
      <c r="A224" s="11">
        <v>218</v>
      </c>
      <c r="B224" s="5">
        <f t="shared" si="13"/>
        <v>10.881863560732112</v>
      </c>
      <c r="C224" s="6">
        <f t="shared" si="14"/>
        <v>66.339102466010743</v>
      </c>
      <c r="D224" s="6">
        <f t="shared" si="15"/>
        <v>721.89306177655612</v>
      </c>
    </row>
    <row r="225" spans="1:4" x14ac:dyDescent="0.15">
      <c r="A225" s="11">
        <v>219</v>
      </c>
      <c r="B225" s="5">
        <f t="shared" si="13"/>
        <v>10.931780366056572</v>
      </c>
      <c r="C225" s="6">
        <f t="shared" si="14"/>
        <v>66.213893083947255</v>
      </c>
      <c r="D225" s="6">
        <f t="shared" si="15"/>
        <v>723.83573637526365</v>
      </c>
    </row>
    <row r="226" spans="1:4" x14ac:dyDescent="0.15">
      <c r="A226" s="11">
        <v>220</v>
      </c>
      <c r="B226" s="5">
        <f t="shared" si="13"/>
        <v>10.981697171381031</v>
      </c>
      <c r="C226" s="6">
        <f t="shared" si="14"/>
        <v>66.088190818864646</v>
      </c>
      <c r="D226" s="6">
        <f t="shared" si="15"/>
        <v>725.76049817721571</v>
      </c>
    </row>
    <row r="227" spans="1:4" x14ac:dyDescent="0.15">
      <c r="A227" s="11">
        <v>221</v>
      </c>
      <c r="B227" s="5">
        <f t="shared" si="13"/>
        <v>11.03161397670549</v>
      </c>
      <c r="C227" s="6">
        <f t="shared" si="14"/>
        <v>65.962007813890992</v>
      </c>
      <c r="D227" s="6">
        <f t="shared" si="15"/>
        <v>727.66740733127665</v>
      </c>
    </row>
    <row r="228" spans="1:4" x14ac:dyDescent="0.15">
      <c r="A228" s="11">
        <v>222</v>
      </c>
      <c r="B228" s="5">
        <f t="shared" si="13"/>
        <v>11.081530782029949</v>
      </c>
      <c r="C228" s="6">
        <f t="shared" si="14"/>
        <v>65.835356025433356</v>
      </c>
      <c r="D228" s="6">
        <f t="shared" si="15"/>
        <v>729.55652434174067</v>
      </c>
    </row>
    <row r="229" spans="1:4" x14ac:dyDescent="0.15">
      <c r="A229" s="11">
        <v>223</v>
      </c>
      <c r="B229" s="5">
        <f t="shared" si="13"/>
        <v>11.131447587354408</v>
      </c>
      <c r="C229" s="6">
        <f t="shared" si="14"/>
        <v>65.708247226222269</v>
      </c>
      <c r="D229" s="6">
        <f t="shared" si="15"/>
        <v>731.4279100556189</v>
      </c>
    </row>
    <row r="230" spans="1:4" x14ac:dyDescent="0.15">
      <c r="A230" s="11">
        <v>224</v>
      </c>
      <c r="B230" s="5">
        <f t="shared" si="13"/>
        <v>11.181364392678868</v>
      </c>
      <c r="C230" s="6">
        <f t="shared" si="14"/>
        <v>65.580693008298979</v>
      </c>
      <c r="D230" s="6">
        <f t="shared" si="15"/>
        <v>733.28162565019818</v>
      </c>
    </row>
    <row r="231" spans="1:4" x14ac:dyDescent="0.15">
      <c r="A231" s="11">
        <v>225</v>
      </c>
      <c r="B231" s="5">
        <f t="shared" si="13"/>
        <v>11.231281198003327</v>
      </c>
      <c r="C231" s="6">
        <f t="shared" si="14"/>
        <v>65.452704785947205</v>
      </c>
      <c r="D231" s="6">
        <f t="shared" si="15"/>
        <v>735.11773262087115</v>
      </c>
    </row>
    <row r="232" spans="1:4" x14ac:dyDescent="0.15">
      <c r="A232" s="11">
        <v>226</v>
      </c>
      <c r="B232" s="5">
        <f t="shared" si="13"/>
        <v>11.281198003327786</v>
      </c>
      <c r="C232" s="6">
        <f t="shared" si="14"/>
        <v>65.324293798570196</v>
      </c>
      <c r="D232" s="6">
        <f t="shared" si="15"/>
        <v>736.93629276922775</v>
      </c>
    </row>
    <row r="233" spans="1:4" x14ac:dyDescent="0.15">
      <c r="A233" s="11">
        <v>227</v>
      </c>
      <c r="B233" s="5">
        <f t="shared" si="13"/>
        <v>11.331114808652245</v>
      </c>
      <c r="C233" s="6">
        <f t="shared" si="14"/>
        <v>65.195471113514415</v>
      </c>
      <c r="D233" s="6">
        <f t="shared" si="15"/>
        <v>738.73736819140288</v>
      </c>
    </row>
    <row r="234" spans="1:4" x14ac:dyDescent="0.15">
      <c r="A234" s="11">
        <v>228</v>
      </c>
      <c r="B234" s="5">
        <f t="shared" si="13"/>
        <v>11.381031613976704</v>
      </c>
      <c r="C234" s="6">
        <f t="shared" si="14"/>
        <v>65.066247628840969</v>
      </c>
      <c r="D234" s="6">
        <f t="shared" si="15"/>
        <v>740.5210212666758</v>
      </c>
    </row>
    <row r="235" spans="1:4" x14ac:dyDescent="0.15">
      <c r="A235" s="11">
        <v>229</v>
      </c>
      <c r="B235" s="5">
        <f t="shared" si="13"/>
        <v>11.430948419301163</v>
      </c>
      <c r="C235" s="6">
        <f t="shared" si="14"/>
        <v>64.936634076045976</v>
      </c>
      <c r="D235" s="6">
        <f t="shared" si="15"/>
        <v>742.28731464631585</v>
      </c>
    </row>
    <row r="236" spans="1:4" x14ac:dyDescent="0.15">
      <c r="A236" s="11">
        <v>230</v>
      </c>
      <c r="B236" s="5">
        <f t="shared" si="13"/>
        <v>11.480865224625623</v>
      </c>
      <c r="C236" s="6">
        <f t="shared" si="14"/>
        <v>64.806641022730858</v>
      </c>
      <c r="D236" s="6">
        <f t="shared" si="15"/>
        <v>744.03631124266701</v>
      </c>
    </row>
    <row r="237" spans="1:4" x14ac:dyDescent="0.15">
      <c r="A237" s="11">
        <v>231</v>
      </c>
      <c r="B237" s="5">
        <f t="shared" si="13"/>
        <v>11.530782029950082</v>
      </c>
      <c r="C237" s="6">
        <f t="shared" si="14"/>
        <v>64.676278875223588</v>
      </c>
      <c r="D237" s="6">
        <f t="shared" si="15"/>
        <v>745.7680742184682</v>
      </c>
    </row>
    <row r="238" spans="1:4" x14ac:dyDescent="0.15">
      <c r="A238" s="11">
        <v>232</v>
      </c>
      <c r="B238" s="5">
        <f t="shared" si="13"/>
        <v>11.580698835274541</v>
      </c>
      <c r="C238" s="6">
        <f t="shared" si="14"/>
        <v>64.545557881152064</v>
      </c>
      <c r="D238" s="6">
        <f t="shared" si="15"/>
        <v>747.48266697640315</v>
      </c>
    </row>
    <row r="239" spans="1:4" x14ac:dyDescent="0.15">
      <c r="A239" s="11">
        <v>233</v>
      </c>
      <c r="B239" s="5">
        <f t="shared" si="13"/>
        <v>11.630615640599</v>
      </c>
      <c r="C239" s="6">
        <f t="shared" si="14"/>
        <v>64.414488131970458</v>
      </c>
      <c r="D239" s="6">
        <f t="shared" si="15"/>
        <v>749.1801531488743</v>
      </c>
    </row>
    <row r="240" spans="1:4" x14ac:dyDescent="0.15">
      <c r="A240" s="11">
        <v>234</v>
      </c>
      <c r="B240" s="5">
        <f t="shared" si="13"/>
        <v>11.680532445923459</v>
      </c>
      <c r="C240" s="6">
        <f t="shared" si="14"/>
        <v>64.283079565439778</v>
      </c>
      <c r="D240" s="6">
        <f t="shared" si="15"/>
        <v>750.86059658799866</v>
      </c>
    </row>
    <row r="241" spans="1:4" x14ac:dyDescent="0.15">
      <c r="A241" s="11">
        <v>235</v>
      </c>
      <c r="B241" s="5">
        <f t="shared" si="13"/>
        <v>11.73044925124792</v>
      </c>
      <c r="C241" s="6">
        <f t="shared" si="14"/>
        <v>64.151341968063235</v>
      </c>
      <c r="D241" s="6">
        <f t="shared" si="15"/>
        <v>752.52406135581668</v>
      </c>
    </row>
    <row r="242" spans="1:4" x14ac:dyDescent="0.15">
      <c r="A242" s="11">
        <v>236</v>
      </c>
      <c r="B242" s="5">
        <f t="shared" si="13"/>
        <v>11.78036605657238</v>
      </c>
      <c r="C242" s="6">
        <f t="shared" si="14"/>
        <v>64.019284977477639</v>
      </c>
      <c r="D242" s="6">
        <f t="shared" si="15"/>
        <v>754.17061171471164</v>
      </c>
    </row>
    <row r="243" spans="1:4" x14ac:dyDescent="0.15">
      <c r="A243" s="11">
        <v>237</v>
      </c>
      <c r="B243" s="5">
        <f t="shared" si="13"/>
        <v>11.830282861896839</v>
      </c>
      <c r="C243" s="6">
        <f t="shared" si="14"/>
        <v>63.886918084801785</v>
      </c>
      <c r="D243" s="6">
        <f t="shared" si="15"/>
        <v>755.80031211803771</v>
      </c>
    </row>
    <row r="244" spans="1:4" x14ac:dyDescent="0.15">
      <c r="A244" s="11">
        <v>238</v>
      </c>
      <c r="B244" s="5">
        <f t="shared" si="13"/>
        <v>11.880199667221298</v>
      </c>
      <c r="C244" s="6">
        <f t="shared" si="14"/>
        <v>63.754250636942352</v>
      </c>
      <c r="D244" s="6">
        <f t="shared" si="15"/>
        <v>757.4132272009457</v>
      </c>
    </row>
    <row r="245" spans="1:4" x14ac:dyDescent="0.15">
      <c r="A245" s="11">
        <v>239</v>
      </c>
      <c r="B245" s="5">
        <f t="shared" si="13"/>
        <v>11.930116472545757</v>
      </c>
      <c r="C245" s="6">
        <f t="shared" si="14"/>
        <v>63.621291838858575</v>
      </c>
      <c r="D245" s="6">
        <f t="shared" si="15"/>
        <v>759.00942177140757</v>
      </c>
    </row>
    <row r="246" spans="1:4" x14ac:dyDescent="0.15">
      <c r="A246" s="11">
        <v>240</v>
      </c>
      <c r="B246" s="5">
        <f t="shared" si="13"/>
        <v>11.980033277870216</v>
      </c>
      <c r="C246" s="6">
        <f t="shared" si="14"/>
        <v>63.488050755786496</v>
      </c>
      <c r="D246" s="6">
        <f t="shared" si="15"/>
        <v>760.58896080143552</v>
      </c>
    </row>
    <row r="247" spans="1:4" x14ac:dyDescent="0.15">
      <c r="A247" s="11">
        <v>241</v>
      </c>
      <c r="B247" s="5">
        <f t="shared" si="13"/>
        <v>12.029950083194676</v>
      </c>
      <c r="C247" s="6">
        <f t="shared" si="14"/>
        <v>63.354536315423339</v>
      </c>
      <c r="D247" s="6">
        <f t="shared" si="15"/>
        <v>762.15190941848709</v>
      </c>
    </row>
    <row r="248" spans="1:4" x14ac:dyDescent="0.15">
      <c r="A248" s="11">
        <v>242</v>
      </c>
      <c r="B248" s="5">
        <f t="shared" si="13"/>
        <v>12.079866888519135</v>
      </c>
      <c r="C248" s="6">
        <f t="shared" si="14"/>
        <v>63.220757310073168</v>
      </c>
      <c r="D248" s="6">
        <f t="shared" si="15"/>
        <v>763.69833289705684</v>
      </c>
    </row>
    <row r="249" spans="1:4" x14ac:dyDescent="0.15">
      <c r="A249" s="11">
        <v>243</v>
      </c>
      <c r="B249" s="5">
        <f t="shared" si="13"/>
        <v>12.129783693843594</v>
      </c>
      <c r="C249" s="6">
        <f t="shared" si="14"/>
        <v>63.086722398754368</v>
      </c>
      <c r="D249" s="6">
        <f t="shared" si="15"/>
        <v>765.2282966504481</v>
      </c>
    </row>
    <row r="250" spans="1:4" x14ac:dyDescent="0.15">
      <c r="A250" s="11">
        <v>244</v>
      </c>
      <c r="B250" s="5">
        <f t="shared" si="13"/>
        <v>12.179700499168053</v>
      </c>
      <c r="C250" s="6">
        <f t="shared" si="14"/>
        <v>62.952440109269887</v>
      </c>
      <c r="D250" s="6">
        <f t="shared" si="15"/>
        <v>766.74186622272146</v>
      </c>
    </row>
    <row r="251" spans="1:4" x14ac:dyDescent="0.15">
      <c r="A251" s="11">
        <v>245</v>
      </c>
      <c r="B251" s="5">
        <f t="shared" si="13"/>
        <v>12.229617304492512</v>
      </c>
      <c r="C251" s="6">
        <f t="shared" si="14"/>
        <v>62.817918840241006</v>
      </c>
      <c r="D251" s="6">
        <f t="shared" si="15"/>
        <v>768.23910728081762</v>
      </c>
    </row>
    <row r="252" spans="1:4" x14ac:dyDescent="0.15">
      <c r="A252" s="11">
        <v>246</v>
      </c>
      <c r="B252" s="5">
        <f t="shared" si="13"/>
        <v>12.279534109816971</v>
      </c>
      <c r="C252" s="6">
        <f t="shared" si="14"/>
        <v>62.683166863105207</v>
      </c>
      <c r="D252" s="6">
        <f t="shared" si="15"/>
        <v>769.72008560684924</v>
      </c>
    </row>
    <row r="253" spans="1:4" x14ac:dyDescent="0.15">
      <c r="A253" s="11">
        <v>247</v>
      </c>
      <c r="B253" s="5">
        <f t="shared" si="13"/>
        <v>12.329450915141431</v>
      </c>
      <c r="C253" s="6">
        <f t="shared" si="14"/>
        <v>62.548192324078933</v>
      </c>
      <c r="D253" s="6">
        <f t="shared" si="15"/>
        <v>771.18486709055719</v>
      </c>
    </row>
    <row r="254" spans="1:4" x14ac:dyDescent="0.15">
      <c r="A254" s="11">
        <v>248</v>
      </c>
      <c r="B254" s="5">
        <f t="shared" si="13"/>
        <v>12.37936772046589</v>
      </c>
      <c r="C254" s="6">
        <f t="shared" si="14"/>
        <v>62.413003246086191</v>
      </c>
      <c r="D254" s="6">
        <f t="shared" si="15"/>
        <v>772.63351772193221</v>
      </c>
    </row>
    <row r="255" spans="1:4" x14ac:dyDescent="0.15">
      <c r="A255" s="11">
        <v>249</v>
      </c>
      <c r="B255" s="5">
        <f t="shared" si="13"/>
        <v>12.429284525790349</v>
      </c>
      <c r="C255" s="6">
        <f t="shared" si="14"/>
        <v>62.27760753065327</v>
      </c>
      <c r="D255" s="6">
        <f t="shared" si="15"/>
        <v>774.06610358399325</v>
      </c>
    </row>
    <row r="256" spans="1:4" x14ac:dyDescent="0.15">
      <c r="A256" s="11">
        <v>250</v>
      </c>
      <c r="B256" s="5">
        <f t="shared" si="13"/>
        <v>12.479201331114808</v>
      </c>
      <c r="C256" s="6">
        <f t="shared" si="14"/>
        <v>62.142012959770575</v>
      </c>
      <c r="D256" s="6">
        <f t="shared" si="15"/>
        <v>775.48269084572257</v>
      </c>
    </row>
    <row r="257" spans="1:4" x14ac:dyDescent="0.15">
      <c r="A257" s="11">
        <v>251</v>
      </c>
      <c r="B257" s="5">
        <f t="shared" si="13"/>
        <v>12.529118136439267</v>
      </c>
      <c r="C257" s="6">
        <f t="shared" si="14"/>
        <v>62.006227197722055</v>
      </c>
      <c r="D257" s="6">
        <f t="shared" si="15"/>
        <v>776.88334575515319</v>
      </c>
    </row>
    <row r="258" spans="1:4" x14ac:dyDescent="0.15">
      <c r="A258" s="11">
        <v>252</v>
      </c>
      <c r="B258" s="5">
        <f t="shared" si="13"/>
        <v>12.579034941763727</v>
      </c>
      <c r="C258" s="6">
        <f t="shared" si="14"/>
        <v>61.87025779288301</v>
      </c>
      <c r="D258" s="6">
        <f t="shared" si="15"/>
        <v>778.26813463260487</v>
      </c>
    </row>
    <row r="259" spans="1:4" x14ac:dyDescent="0.15">
      <c r="A259" s="11">
        <v>253</v>
      </c>
      <c r="B259" s="5">
        <f t="shared" si="13"/>
        <v>12.628951747088186</v>
      </c>
      <c r="C259" s="6">
        <f t="shared" si="14"/>
        <v>61.734112179486814</v>
      </c>
      <c r="D259" s="6">
        <f t="shared" si="15"/>
        <v>779.63712386406803</v>
      </c>
    </row>
    <row r="260" spans="1:4" x14ac:dyDescent="0.15">
      <c r="A260" s="11">
        <v>254</v>
      </c>
      <c r="B260" s="5">
        <f t="shared" si="13"/>
        <v>12.678868552412645</v>
      </c>
      <c r="C260" s="6">
        <f t="shared" si="14"/>
        <v>61.597797679361157</v>
      </c>
      <c r="D260" s="6">
        <f t="shared" si="15"/>
        <v>780.99037989472879</v>
      </c>
    </row>
    <row r="261" spans="1:4" x14ac:dyDescent="0.15">
      <c r="A261" s="11">
        <v>255</v>
      </c>
      <c r="B261" s="5">
        <f t="shared" si="13"/>
        <v>12.728785357737104</v>
      </c>
      <c r="C261" s="6">
        <f t="shared" si="14"/>
        <v>61.461321503634416</v>
      </c>
      <c r="D261" s="6">
        <f t="shared" si="15"/>
        <v>782.32796922263435</v>
      </c>
    </row>
    <row r="262" spans="1:4" x14ac:dyDescent="0.15">
      <c r="A262" s="11">
        <v>256</v>
      </c>
      <c r="B262" s="5">
        <f t="shared" si="13"/>
        <v>12.778702163061563</v>
      </c>
      <c r="C262" s="6">
        <f t="shared" si="14"/>
        <v>61.32469075441292</v>
      </c>
      <c r="D262" s="6">
        <f t="shared" si="15"/>
        <v>783.64995839249787</v>
      </c>
    </row>
    <row r="263" spans="1:4" x14ac:dyDescent="0.15">
      <c r="A263" s="11">
        <v>257</v>
      </c>
      <c r="B263" s="5">
        <f t="shared" si="13"/>
        <v>12.828618968386023</v>
      </c>
      <c r="C263" s="6">
        <f t="shared" si="14"/>
        <v>61.187912426429342</v>
      </c>
      <c r="D263" s="6">
        <f t="shared" si="15"/>
        <v>784.95641398963426</v>
      </c>
    </row>
    <row r="264" spans="1:4" x14ac:dyDescent="0.15">
      <c r="A264" s="11">
        <v>258</v>
      </c>
      <c r="B264" s="5">
        <f t="shared" si="13"/>
        <v>12.878535773710482</v>
      </c>
      <c r="C264" s="6">
        <f t="shared" si="14"/>
        <v>61.05099340866316</v>
      </c>
      <c r="D264" s="6">
        <f t="shared" si="15"/>
        <v>786.24740263403135</v>
      </c>
    </row>
    <row r="265" spans="1:4" x14ac:dyDescent="0.15">
      <c r="A265" s="11">
        <v>259</v>
      </c>
      <c r="B265" s="5">
        <f t="shared" si="13"/>
        <v>12.928452579034941</v>
      </c>
      <c r="C265" s="6">
        <f t="shared" si="14"/>
        <v>60.913940485933317</v>
      </c>
      <c r="D265" s="6">
        <f t="shared" si="15"/>
        <v>787.52299097454545</v>
      </c>
    </row>
    <row r="266" spans="1:4" x14ac:dyDescent="0.15">
      <c r="A266" s="11">
        <v>260</v>
      </c>
      <c r="B266" s="5">
        <f t="shared" si="13"/>
        <v>12.9783693843594</v>
      </c>
      <c r="C266" s="6">
        <f t="shared" si="14"/>
        <v>60.776760340464122</v>
      </c>
      <c r="D266" s="6">
        <f t="shared" si="15"/>
        <v>788.78324568322819</v>
      </c>
    </row>
    <row r="267" spans="1:4" x14ac:dyDescent="0.15">
      <c r="A267" s="11">
        <v>261</v>
      </c>
      <c r="B267" s="5">
        <f t="shared" si="13"/>
        <v>13.028286189683859</v>
      </c>
      <c r="C267" s="6">
        <f t="shared" si="14"/>
        <v>60.63945955342443</v>
      </c>
      <c r="D267" s="6">
        <f t="shared" si="15"/>
        <v>790.02823344977253</v>
      </c>
    </row>
    <row r="268" spans="1:4" x14ac:dyDescent="0.15">
      <c r="A268" s="11">
        <v>262</v>
      </c>
      <c r="B268" s="5">
        <f t="shared" si="13"/>
        <v>13.078202995008319</v>
      </c>
      <c r="C268" s="6">
        <f t="shared" si="14"/>
        <v>60.50204460644099</v>
      </c>
      <c r="D268" s="6">
        <f t="shared" si="15"/>
        <v>791.25802097608346</v>
      </c>
    </row>
    <row r="269" spans="1:4" x14ac:dyDescent="0.15">
      <c r="A269" s="11">
        <v>263</v>
      </c>
      <c r="B269" s="5">
        <f t="shared" si="13"/>
        <v>13.128119800332778</v>
      </c>
      <c r="C269" s="6">
        <f t="shared" si="14"/>
        <v>60.364521883086155</v>
      </c>
      <c r="D269" s="6">
        <f t="shared" si="15"/>
        <v>792.47267497096459</v>
      </c>
    </row>
    <row r="270" spans="1:4" x14ac:dyDescent="0.15">
      <c r="A270" s="11">
        <v>264</v>
      </c>
      <c r="B270" s="5">
        <f t="shared" si="13"/>
        <v>13.178036605657237</v>
      </c>
      <c r="C270" s="6">
        <f t="shared" si="14"/>
        <v>60.226897670340648</v>
      </c>
      <c r="D270" s="6">
        <f t="shared" si="15"/>
        <v>793.67226214492166</v>
      </c>
    </row>
    <row r="271" spans="1:4" x14ac:dyDescent="0.15">
      <c r="A271" s="11">
        <v>265</v>
      </c>
      <c r="B271" s="5">
        <f t="shared" si="13"/>
        <v>13.227953410981696</v>
      </c>
      <c r="C271" s="6">
        <f t="shared" si="14"/>
        <v>60.089178160031992</v>
      </c>
      <c r="D271" s="6">
        <f t="shared" si="15"/>
        <v>794.85684920508197</v>
      </c>
    </row>
    <row r="272" spans="1:4" x14ac:dyDescent="0.15">
      <c r="A272" s="11">
        <v>266</v>
      </c>
      <c r="B272" s="5">
        <f t="shared" ref="B272:B335" si="16">$B$1/$B$2*A272</f>
        <v>13.277870216306155</v>
      </c>
      <c r="C272" s="6">
        <f t="shared" ref="C272:C335" si="17">200*(B272/(5+B272))*EXP(-2*B272/$B$1)</f>
        <v>59.951369450248599</v>
      </c>
      <c r="D272" s="6">
        <f t="shared" ref="D272:D335" si="18">B272*C272</f>
        <v>796.02650285022264</v>
      </c>
    </row>
    <row r="273" spans="1:4" x14ac:dyDescent="0.15">
      <c r="A273" s="11">
        <v>267</v>
      </c>
      <c r="B273" s="5">
        <f t="shared" si="16"/>
        <v>13.327787021630614</v>
      </c>
      <c r="C273" s="6">
        <f t="shared" si="17"/>
        <v>59.813477546730468</v>
      </c>
      <c r="D273" s="6">
        <f t="shared" si="18"/>
        <v>797.18128976590845</v>
      </c>
    </row>
    <row r="274" spans="1:4" x14ac:dyDescent="0.15">
      <c r="A274" s="11">
        <v>268</v>
      </c>
      <c r="B274" s="5">
        <f t="shared" si="16"/>
        <v>13.377703826955074</v>
      </c>
      <c r="C274" s="6">
        <f t="shared" si="17"/>
        <v>59.675508364236684</v>
      </c>
      <c r="D274" s="6">
        <f t="shared" si="18"/>
        <v>798.32127661973857</v>
      </c>
    </row>
    <row r="275" spans="1:4" x14ac:dyDescent="0.15">
      <c r="A275" s="11">
        <v>269</v>
      </c>
      <c r="B275" s="5">
        <f t="shared" si="16"/>
        <v>13.427620632279533</v>
      </c>
      <c r="C275" s="6">
        <f t="shared" si="17"/>
        <v>59.537467727890281</v>
      </c>
      <c r="D275" s="6">
        <f t="shared" si="18"/>
        <v>799.44653005669636</v>
      </c>
    </row>
    <row r="276" spans="1:4" x14ac:dyDescent="0.15">
      <c r="A276" s="11">
        <v>270</v>
      </c>
      <c r="B276" s="5">
        <f t="shared" si="16"/>
        <v>13.477537437603992</v>
      </c>
      <c r="C276" s="6">
        <f t="shared" si="17"/>
        <v>59.399361374500764</v>
      </c>
      <c r="D276" s="6">
        <f t="shared" si="18"/>
        <v>800.55711669460254</v>
      </c>
    </row>
    <row r="277" spans="1:4" x14ac:dyDescent="0.15">
      <c r="A277" s="11">
        <v>271</v>
      </c>
      <c r="B277" s="5">
        <f t="shared" si="16"/>
        <v>13.527454242928451</v>
      </c>
      <c r="C277" s="6">
        <f t="shared" si="17"/>
        <v>59.261194953864852</v>
      </c>
      <c r="D277" s="6">
        <f t="shared" si="18"/>
        <v>801.65310311966925</v>
      </c>
    </row>
    <row r="278" spans="1:4" x14ac:dyDescent="0.15">
      <c r="A278" s="11">
        <v>272</v>
      </c>
      <c r="B278" s="5">
        <f t="shared" si="16"/>
        <v>13.57737104825291</v>
      </c>
      <c r="C278" s="6">
        <f t="shared" si="17"/>
        <v>59.122974030045754</v>
      </c>
      <c r="D278" s="6">
        <f t="shared" si="18"/>
        <v>802.73455588215188</v>
      </c>
    </row>
    <row r="279" spans="1:4" x14ac:dyDescent="0.15">
      <c r="A279" s="11">
        <v>273</v>
      </c>
      <c r="B279" s="5">
        <f t="shared" si="16"/>
        <v>13.62728785357737</v>
      </c>
      <c r="C279" s="6">
        <f t="shared" si="17"/>
        <v>58.984704082631467</v>
      </c>
      <c r="D279" s="6">
        <f t="shared" si="18"/>
        <v>803.80154149209932</v>
      </c>
    </row>
    <row r="280" spans="1:4" x14ac:dyDescent="0.15">
      <c r="A280" s="11">
        <v>274</v>
      </c>
      <c r="B280" s="5">
        <f t="shared" si="16"/>
        <v>13.677204658901829</v>
      </c>
      <c r="C280" s="6">
        <f t="shared" si="17"/>
        <v>58.846390507972423</v>
      </c>
      <c r="D280" s="6">
        <f t="shared" si="18"/>
        <v>804.85412641519679</v>
      </c>
    </row>
    <row r="281" spans="1:4" x14ac:dyDescent="0.15">
      <c r="A281" s="11">
        <v>275</v>
      </c>
      <c r="B281" s="5">
        <f t="shared" si="16"/>
        <v>13.727121464226288</v>
      </c>
      <c r="C281" s="6">
        <f t="shared" si="17"/>
        <v>58.708038620398845</v>
      </c>
      <c r="D281" s="6">
        <f t="shared" si="18"/>
        <v>805.8923770687029</v>
      </c>
    </row>
    <row r="282" spans="1:4" x14ac:dyDescent="0.15">
      <c r="A282" s="11">
        <v>276</v>
      </c>
      <c r="B282" s="5">
        <f t="shared" si="16"/>
        <v>13.777038269550747</v>
      </c>
      <c r="C282" s="6">
        <f t="shared" si="17"/>
        <v>58.569653653418293</v>
      </c>
      <c r="D282" s="6">
        <f t="shared" si="18"/>
        <v>806.91635981747652</v>
      </c>
    </row>
    <row r="283" spans="1:4" x14ac:dyDescent="0.15">
      <c r="A283" s="11">
        <v>277</v>
      </c>
      <c r="B283" s="5">
        <f t="shared" si="16"/>
        <v>13.826955074875206</v>
      </c>
      <c r="C283" s="6">
        <f t="shared" si="17"/>
        <v>58.431240760893758</v>
      </c>
      <c r="D283" s="6">
        <f t="shared" si="18"/>
        <v>807.92614097009493</v>
      </c>
    </row>
    <row r="284" spans="1:4" x14ac:dyDescent="0.15">
      <c r="A284" s="11">
        <v>278</v>
      </c>
      <c r="B284" s="5">
        <f t="shared" si="16"/>
        <v>13.876871880199667</v>
      </c>
      <c r="C284" s="6">
        <f t="shared" si="17"/>
        <v>58.292805018202557</v>
      </c>
      <c r="D284" s="6">
        <f t="shared" si="18"/>
        <v>808.92178677505717</v>
      </c>
    </row>
    <row r="285" spans="1:4" x14ac:dyDescent="0.15">
      <c r="A285" s="11">
        <v>279</v>
      </c>
      <c r="B285" s="5">
        <f t="shared" si="16"/>
        <v>13.926788685524127</v>
      </c>
      <c r="C285" s="6">
        <f t="shared" si="17"/>
        <v>58.154351423376404</v>
      </c>
      <c r="D285" s="6">
        <f t="shared" si="18"/>
        <v>809.90336341707234</v>
      </c>
    </row>
    <row r="286" spans="1:4" x14ac:dyDescent="0.15">
      <c r="A286" s="11">
        <v>280</v>
      </c>
      <c r="B286" s="5">
        <f t="shared" si="16"/>
        <v>13.976705490848586</v>
      </c>
      <c r="C286" s="6">
        <f t="shared" si="17"/>
        <v>58.015884898223227</v>
      </c>
      <c r="D286" s="6">
        <f t="shared" si="18"/>
        <v>810.87093701343611</v>
      </c>
    </row>
    <row r="287" spans="1:4" x14ac:dyDescent="0.15">
      <c r="A287" s="11">
        <v>281</v>
      </c>
      <c r="B287" s="5">
        <f t="shared" si="16"/>
        <v>14.026622296173045</v>
      </c>
      <c r="C287" s="6">
        <f t="shared" si="17"/>
        <v>57.877410289430721</v>
      </c>
      <c r="D287" s="6">
        <f t="shared" si="18"/>
        <v>811.82457361048409</v>
      </c>
    </row>
    <row r="288" spans="1:4" x14ac:dyDescent="0.15">
      <c r="A288" s="11">
        <v>282</v>
      </c>
      <c r="B288" s="5">
        <f t="shared" si="16"/>
        <v>14.076539101497504</v>
      </c>
      <c r="C288" s="6">
        <f t="shared" si="17"/>
        <v>57.738932369652225</v>
      </c>
      <c r="D288" s="6">
        <f t="shared" si="18"/>
        <v>812.76433918012947</v>
      </c>
    </row>
    <row r="289" spans="1:4" x14ac:dyDescent="0.15">
      <c r="A289" s="11">
        <v>283</v>
      </c>
      <c r="B289" s="5">
        <f t="shared" si="16"/>
        <v>14.126455906821963</v>
      </c>
      <c r="C289" s="6">
        <f t="shared" si="17"/>
        <v>57.600455838575193</v>
      </c>
      <c r="D289" s="6">
        <f t="shared" si="18"/>
        <v>813.69029961647823</v>
      </c>
    </row>
    <row r="290" spans="1:4" x14ac:dyDescent="0.15">
      <c r="A290" s="11">
        <v>284</v>
      </c>
      <c r="B290" s="5">
        <f t="shared" si="16"/>
        <v>14.176372712146422</v>
      </c>
      <c r="C290" s="6">
        <f t="shared" si="17"/>
        <v>57.461985323972442</v>
      </c>
      <c r="D290" s="6">
        <f t="shared" si="18"/>
        <v>814.60252073252116</v>
      </c>
    </row>
    <row r="291" spans="1:4" x14ac:dyDescent="0.15">
      <c r="A291" s="11">
        <v>285</v>
      </c>
      <c r="B291" s="5">
        <f t="shared" si="16"/>
        <v>14.226289517470882</v>
      </c>
      <c r="C291" s="6">
        <f t="shared" si="17"/>
        <v>57.323525382736833</v>
      </c>
      <c r="D291" s="6">
        <f t="shared" si="18"/>
        <v>815.501068256905</v>
      </c>
    </row>
    <row r="292" spans="1:4" x14ac:dyDescent="0.15">
      <c r="A292" s="11">
        <v>286</v>
      </c>
      <c r="B292" s="5">
        <f t="shared" si="16"/>
        <v>14.276206322795341</v>
      </c>
      <c r="C292" s="6">
        <f t="shared" si="17"/>
        <v>57.185080501899144</v>
      </c>
      <c r="D292" s="6">
        <f t="shared" si="18"/>
        <v>816.38600783077311</v>
      </c>
    </row>
    <row r="293" spans="1:4" x14ac:dyDescent="0.15">
      <c r="A293" s="11">
        <v>287</v>
      </c>
      <c r="B293" s="5">
        <f t="shared" si="16"/>
        <v>14.3261231281198</v>
      </c>
      <c r="C293" s="6">
        <f t="shared" si="17"/>
        <v>57.046655099630016</v>
      </c>
      <c r="D293" s="6">
        <f t="shared" si="18"/>
        <v>817.25740500468294</v>
      </c>
    </row>
    <row r="294" spans="1:4" x14ac:dyDescent="0.15">
      <c r="A294" s="11">
        <v>288</v>
      </c>
      <c r="B294" s="5">
        <f t="shared" si="16"/>
        <v>14.376039933444259</v>
      </c>
      <c r="C294" s="6">
        <f t="shared" si="17"/>
        <v>56.908253526225927</v>
      </c>
      <c r="D294" s="6">
        <f t="shared" si="18"/>
        <v>818.11532523559401</v>
      </c>
    </row>
    <row r="295" spans="1:4" x14ac:dyDescent="0.15">
      <c r="A295" s="11">
        <v>289</v>
      </c>
      <c r="B295" s="5">
        <f t="shared" si="16"/>
        <v>14.425956738768718</v>
      </c>
      <c r="C295" s="6">
        <f t="shared" si="17"/>
        <v>56.769880065079477</v>
      </c>
      <c r="D295" s="6">
        <f t="shared" si="18"/>
        <v>818.95983388392517</v>
      </c>
    </row>
    <row r="296" spans="1:4" x14ac:dyDescent="0.15">
      <c r="A296" s="11">
        <v>290</v>
      </c>
      <c r="B296" s="5">
        <f t="shared" si="16"/>
        <v>14.475873544093178</v>
      </c>
      <c r="C296" s="6">
        <f t="shared" si="17"/>
        <v>56.631538933634424</v>
      </c>
      <c r="D296" s="6">
        <f t="shared" si="18"/>
        <v>819.79099621068133</v>
      </c>
    </row>
    <row r="297" spans="1:4" x14ac:dyDescent="0.15">
      <c r="A297" s="11">
        <v>291</v>
      </c>
      <c r="B297" s="5">
        <f t="shared" si="16"/>
        <v>14.525790349417637</v>
      </c>
      <c r="C297" s="6">
        <f t="shared" si="17"/>
        <v>56.493234284325617</v>
      </c>
      <c r="D297" s="6">
        <f t="shared" si="18"/>
        <v>820.60887737464657</v>
      </c>
    </row>
    <row r="298" spans="1:4" x14ac:dyDescent="0.15">
      <c r="A298" s="11">
        <v>292</v>
      </c>
      <c r="B298" s="5">
        <f t="shared" si="16"/>
        <v>14.575707154742096</v>
      </c>
      <c r="C298" s="6">
        <f t="shared" si="17"/>
        <v>56.354970205504237</v>
      </c>
      <c r="D298" s="6">
        <f t="shared" si="18"/>
        <v>821.41354242964576</v>
      </c>
    </row>
    <row r="299" spans="1:4" x14ac:dyDescent="0.15">
      <c r="A299" s="11">
        <v>293</v>
      </c>
      <c r="B299" s="5">
        <f t="shared" si="16"/>
        <v>14.625623960066555</v>
      </c>
      <c r="C299" s="6">
        <f t="shared" si="17"/>
        <v>56.216750722348458</v>
      </c>
      <c r="D299" s="6">
        <f t="shared" si="18"/>
        <v>822.20505632186848</v>
      </c>
    </row>
    <row r="300" spans="1:4" x14ac:dyDescent="0.15">
      <c r="A300" s="11">
        <v>294</v>
      </c>
      <c r="B300" s="5">
        <f t="shared" si="16"/>
        <v>14.675540765391014</v>
      </c>
      <c r="C300" s="6">
        <f t="shared" si="17"/>
        <v>56.078579797759808</v>
      </c>
      <c r="D300" s="6">
        <f t="shared" si="18"/>
        <v>822.98348388725708</v>
      </c>
    </row>
    <row r="301" spans="1:4" x14ac:dyDescent="0.15">
      <c r="A301" s="11">
        <v>295</v>
      </c>
      <c r="B301" s="5">
        <f t="shared" si="16"/>
        <v>14.725457570715474</v>
      </c>
      <c r="C301" s="6">
        <f t="shared" si="17"/>
        <v>55.940461333245544</v>
      </c>
      <c r="D301" s="6">
        <f t="shared" si="18"/>
        <v>823.74888984895676</v>
      </c>
    </row>
    <row r="302" spans="1:4" x14ac:dyDescent="0.15">
      <c r="A302" s="11">
        <v>296</v>
      </c>
      <c r="B302" s="5">
        <f t="shared" si="16"/>
        <v>14.775374376039933</v>
      </c>
      <c r="C302" s="6">
        <f t="shared" si="17"/>
        <v>55.802399169787435</v>
      </c>
      <c r="D302" s="6">
        <f t="shared" si="18"/>
        <v>824.5013388148293</v>
      </c>
    </row>
    <row r="303" spans="1:4" x14ac:dyDescent="0.15">
      <c r="A303" s="11">
        <v>297</v>
      </c>
      <c r="B303" s="5">
        <f t="shared" si="16"/>
        <v>14.825291181364392</v>
      </c>
      <c r="C303" s="6">
        <f t="shared" si="17"/>
        <v>55.664397088696767</v>
      </c>
      <c r="D303" s="6">
        <f t="shared" si="18"/>
        <v>825.2408952750219</v>
      </c>
    </row>
    <row r="304" spans="1:4" x14ac:dyDescent="0.15">
      <c r="A304" s="11">
        <v>298</v>
      </c>
      <c r="B304" s="5">
        <f t="shared" si="16"/>
        <v>14.875207986688851</v>
      </c>
      <c r="C304" s="6">
        <f t="shared" si="17"/>
        <v>55.526458812456241</v>
      </c>
      <c r="D304" s="6">
        <f t="shared" si="18"/>
        <v>825.9676235995986</v>
      </c>
    </row>
    <row r="305" spans="1:4" x14ac:dyDescent="0.15">
      <c r="A305" s="11">
        <v>299</v>
      </c>
      <c r="B305" s="5">
        <f t="shared" si="16"/>
        <v>14.92512479201331</v>
      </c>
      <c r="C305" s="6">
        <f t="shared" si="17"/>
        <v>55.388588005548868</v>
      </c>
      <c r="D305" s="6">
        <f t="shared" si="18"/>
        <v>826.6815880362285</v>
      </c>
    </row>
    <row r="306" spans="1:4" x14ac:dyDescent="0.15">
      <c r="A306" s="11">
        <v>300</v>
      </c>
      <c r="B306" s="5">
        <f t="shared" si="16"/>
        <v>14.97504159733777</v>
      </c>
      <c r="C306" s="6">
        <f t="shared" si="17"/>
        <v>55.250788275273862</v>
      </c>
      <c r="D306" s="6">
        <f t="shared" si="18"/>
        <v>827.38285270792801</v>
      </c>
    </row>
    <row r="307" spans="1:4" x14ac:dyDescent="0.15">
      <c r="A307" s="11">
        <v>301</v>
      </c>
      <c r="B307" s="5">
        <f t="shared" si="16"/>
        <v>15.024958402662229</v>
      </c>
      <c r="C307" s="6">
        <f t="shared" si="17"/>
        <v>55.113063172550262</v>
      </c>
      <c r="D307" s="6">
        <f t="shared" si="18"/>
        <v>828.07148161086332</v>
      </c>
    </row>
    <row r="308" spans="1:4" x14ac:dyDescent="0.15">
      <c r="A308" s="11">
        <v>302</v>
      </c>
      <c r="B308" s="5">
        <f t="shared" si="16"/>
        <v>15.074875207986688</v>
      </c>
      <c r="C308" s="6">
        <f t="shared" si="17"/>
        <v>54.975416192707819</v>
      </c>
      <c r="D308" s="6">
        <f t="shared" si="18"/>
        <v>828.74753861220097</v>
      </c>
    </row>
    <row r="309" spans="1:4" x14ac:dyDescent="0.15">
      <c r="A309" s="11">
        <v>303</v>
      </c>
      <c r="B309" s="5">
        <f t="shared" si="16"/>
        <v>15.124792013311147</v>
      </c>
      <c r="C309" s="6">
        <f t="shared" si="17"/>
        <v>54.837850776266031</v>
      </c>
      <c r="D309" s="6">
        <f t="shared" si="18"/>
        <v>829.41108744801693</v>
      </c>
    </row>
    <row r="310" spans="1:4" x14ac:dyDescent="0.15">
      <c r="A310" s="11">
        <v>304</v>
      </c>
      <c r="B310" s="5">
        <f t="shared" si="16"/>
        <v>15.174708818635606</v>
      </c>
      <c r="C310" s="6">
        <f t="shared" si="17"/>
        <v>54.700370309701114</v>
      </c>
      <c r="D310" s="6">
        <f t="shared" si="18"/>
        <v>830.06219172125475</v>
      </c>
    </row>
    <row r="311" spans="1:4" x14ac:dyDescent="0.15">
      <c r="A311" s="11">
        <v>305</v>
      </c>
      <c r="B311" s="5">
        <f t="shared" si="16"/>
        <v>15.224625623960065</v>
      </c>
      <c r="C311" s="6">
        <f t="shared" si="17"/>
        <v>54.562978126201322</v>
      </c>
      <c r="D311" s="6">
        <f t="shared" si="18"/>
        <v>830.7009148997372</v>
      </c>
    </row>
    <row r="312" spans="1:4" x14ac:dyDescent="0.15">
      <c r="A312" s="11">
        <v>306</v>
      </c>
      <c r="B312" s="5">
        <f t="shared" si="16"/>
        <v>15.274542429284525</v>
      </c>
      <c r="C312" s="6">
        <f t="shared" si="17"/>
        <v>54.425677506410565</v>
      </c>
      <c r="D312" s="6">
        <f t="shared" si="18"/>
        <v>831.32732031422449</v>
      </c>
    </row>
    <row r="313" spans="1:4" x14ac:dyDescent="0.15">
      <c r="A313" s="11">
        <v>307</v>
      </c>
      <c r="B313" s="5">
        <f t="shared" si="16"/>
        <v>15.324459234608984</v>
      </c>
      <c r="C313" s="6">
        <f t="shared" si="17"/>
        <v>54.28847167916097</v>
      </c>
      <c r="D313" s="6">
        <f t="shared" si="18"/>
        <v>831.94147115652663</v>
      </c>
    </row>
    <row r="314" spans="1:4" x14ac:dyDescent="0.15">
      <c r="A314" s="11">
        <v>308</v>
      </c>
      <c r="B314" s="5">
        <f t="shared" si="16"/>
        <v>15.374376039933443</v>
      </c>
      <c r="C314" s="6">
        <f t="shared" si="17"/>
        <v>54.151363822194099</v>
      </c>
      <c r="D314" s="6">
        <f t="shared" si="18"/>
        <v>832.54343047765963</v>
      </c>
    </row>
    <row r="315" spans="1:4" x14ac:dyDescent="0.15">
      <c r="A315" s="11">
        <v>309</v>
      </c>
      <c r="B315" s="5">
        <f t="shared" si="16"/>
        <v>15.424292845257902</v>
      </c>
      <c r="C315" s="6">
        <f t="shared" si="17"/>
        <v>54.014357062871355</v>
      </c>
      <c r="D315" s="6">
        <f t="shared" si="18"/>
        <v>833.13326118605232</v>
      </c>
    </row>
    <row r="316" spans="1:4" x14ac:dyDescent="0.15">
      <c r="A316" s="11">
        <v>310</v>
      </c>
      <c r="B316" s="5">
        <f t="shared" si="16"/>
        <v>15.474209650582361</v>
      </c>
      <c r="C316" s="6">
        <f t="shared" si="17"/>
        <v>53.877454478873531</v>
      </c>
      <c r="D316" s="6">
        <f t="shared" si="18"/>
        <v>833.71102604579664</v>
      </c>
    </row>
    <row r="317" spans="1:4" x14ac:dyDescent="0.15">
      <c r="A317" s="11">
        <v>311</v>
      </c>
      <c r="B317" s="5">
        <f t="shared" si="16"/>
        <v>15.524126455906821</v>
      </c>
      <c r="C317" s="6">
        <f t="shared" si="17"/>
        <v>53.740659098889893</v>
      </c>
      <c r="D317" s="6">
        <f t="shared" si="18"/>
        <v>834.27678767494615</v>
      </c>
    </row>
    <row r="318" spans="1:4" x14ac:dyDescent="0.15">
      <c r="A318" s="11">
        <v>312</v>
      </c>
      <c r="B318" s="5">
        <f t="shared" si="16"/>
        <v>15.57404326123128</v>
      </c>
      <c r="C318" s="6">
        <f t="shared" si="17"/>
        <v>53.603973903296897</v>
      </c>
      <c r="D318" s="6">
        <f t="shared" si="18"/>
        <v>834.83060854385838</v>
      </c>
    </row>
    <row r="319" spans="1:4" x14ac:dyDescent="0.15">
      <c r="A319" s="11">
        <v>313</v>
      </c>
      <c r="B319" s="5">
        <f t="shared" si="16"/>
        <v>15.623960066555739</v>
      </c>
      <c r="C319" s="6">
        <f t="shared" si="17"/>
        <v>53.467401824826545</v>
      </c>
      <c r="D319" s="6">
        <f t="shared" si="18"/>
        <v>835.37255097357945</v>
      </c>
    </row>
    <row r="320" spans="1:4" x14ac:dyDescent="0.15">
      <c r="A320" s="11">
        <v>314</v>
      </c>
      <c r="B320" s="5">
        <f t="shared" si="16"/>
        <v>15.673876871880198</v>
      </c>
      <c r="C320" s="6">
        <f t="shared" si="17"/>
        <v>53.330945749224881</v>
      </c>
      <c r="D320" s="6">
        <f t="shared" si="18"/>
        <v>835.9026771342734</v>
      </c>
    </row>
    <row r="321" spans="1:4" x14ac:dyDescent="0.15">
      <c r="A321" s="11">
        <v>315</v>
      </c>
      <c r="B321" s="5">
        <f t="shared" si="16"/>
        <v>15.723793677204657</v>
      </c>
      <c r="C321" s="6">
        <f t="shared" si="17"/>
        <v>53.194608515900541</v>
      </c>
      <c r="D321" s="6">
        <f t="shared" si="18"/>
        <v>836.42104904369398</v>
      </c>
    </row>
    <row r="322" spans="1:4" x14ac:dyDescent="0.15">
      <c r="A322" s="11">
        <v>316</v>
      </c>
      <c r="B322" s="5">
        <f t="shared" si="16"/>
        <v>15.773710482529117</v>
      </c>
      <c r="C322" s="6">
        <f t="shared" si="17"/>
        <v>53.058392918563648</v>
      </c>
      <c r="D322" s="6">
        <f t="shared" si="18"/>
        <v>836.92772856569604</v>
      </c>
    </row>
    <row r="323" spans="1:4" x14ac:dyDescent="0.15">
      <c r="A323" s="11">
        <v>317</v>
      </c>
      <c r="B323" s="5">
        <f t="shared" si="16"/>
        <v>15.823627287853576</v>
      </c>
      <c r="C323" s="6">
        <f t="shared" si="17"/>
        <v>52.922301705855098</v>
      </c>
      <c r="D323" s="6">
        <f t="shared" si="18"/>
        <v>837.42277740878853</v>
      </c>
    </row>
    <row r="324" spans="1:4" x14ac:dyDescent="0.15">
      <c r="A324" s="11">
        <v>318</v>
      </c>
      <c r="B324" s="5">
        <f t="shared" si="16"/>
        <v>15.873544093178035</v>
      </c>
      <c r="C324" s="6">
        <f t="shared" si="17"/>
        <v>52.786337581966606</v>
      </c>
      <c r="D324" s="6">
        <f t="shared" si="18"/>
        <v>837.90625712472774</v>
      </c>
    </row>
    <row r="325" spans="1:4" x14ac:dyDescent="0.15">
      <c r="A325" s="11">
        <v>319</v>
      </c>
      <c r="B325" s="5">
        <f t="shared" si="16"/>
        <v>15.923460898502494</v>
      </c>
      <c r="C325" s="6">
        <f t="shared" si="17"/>
        <v>52.650503207251411</v>
      </c>
      <c r="D325" s="6">
        <f t="shared" si="18"/>
        <v>838.37822910714806</v>
      </c>
    </row>
    <row r="326" spans="1:4" x14ac:dyDescent="0.15">
      <c r="A326" s="11">
        <v>320</v>
      </c>
      <c r="B326" s="5">
        <f t="shared" si="16"/>
        <v>15.973377703826955</v>
      </c>
      <c r="C326" s="6">
        <f t="shared" si="17"/>
        <v>52.514801198826021</v>
      </c>
      <c r="D326" s="6">
        <f t="shared" si="18"/>
        <v>838.83875459023261</v>
      </c>
    </row>
    <row r="327" spans="1:4" x14ac:dyDescent="0.15">
      <c r="A327" s="11">
        <v>321</v>
      </c>
      <c r="B327" s="5">
        <f t="shared" si="16"/>
        <v>16.023294509151413</v>
      </c>
      <c r="C327" s="6">
        <f t="shared" si="17"/>
        <v>52.379234131162995</v>
      </c>
      <c r="D327" s="6">
        <f t="shared" si="18"/>
        <v>839.28789464742033</v>
      </c>
    </row>
    <row r="328" spans="1:4" x14ac:dyDescent="0.15">
      <c r="A328" s="11">
        <v>322</v>
      </c>
      <c r="B328" s="5">
        <f t="shared" si="16"/>
        <v>16.073211314475873</v>
      </c>
      <c r="C328" s="6">
        <f t="shared" si="17"/>
        <v>52.243804536675015</v>
      </c>
      <c r="D328" s="6">
        <f t="shared" si="18"/>
        <v>839.72571019015083</v>
      </c>
    </row>
    <row r="329" spans="1:4" x14ac:dyDescent="0.15">
      <c r="A329" s="11">
        <v>323</v>
      </c>
      <c r="B329" s="5">
        <f t="shared" si="16"/>
        <v>16.123128119800331</v>
      </c>
      <c r="C329" s="6">
        <f t="shared" si="17"/>
        <v>52.108514906290289</v>
      </c>
      <c r="D329" s="6">
        <f t="shared" si="18"/>
        <v>840.15226196664366</v>
      </c>
    </row>
    <row r="330" spans="1:4" x14ac:dyDescent="0.15">
      <c r="A330" s="11">
        <v>324</v>
      </c>
      <c r="B330" s="5">
        <f t="shared" si="16"/>
        <v>16.173044925124792</v>
      </c>
      <c r="C330" s="6">
        <f t="shared" si="17"/>
        <v>51.973367690019543</v>
      </c>
      <c r="D330" s="6">
        <f t="shared" si="18"/>
        <v>840.56761056071537</v>
      </c>
    </row>
    <row r="331" spans="1:4" x14ac:dyDescent="0.15">
      <c r="A331" s="11">
        <v>325</v>
      </c>
      <c r="B331" s="5">
        <f t="shared" si="16"/>
        <v>16.222961730449249</v>
      </c>
      <c r="C331" s="6">
        <f t="shared" si="17"/>
        <v>51.838365297514699</v>
      </c>
      <c r="D331" s="6">
        <f t="shared" si="18"/>
        <v>840.97181639062933</v>
      </c>
    </row>
    <row r="332" spans="1:4" x14ac:dyDescent="0.15">
      <c r="A332" s="11">
        <v>326</v>
      </c>
      <c r="B332" s="5">
        <f t="shared" si="16"/>
        <v>16.27287853577371</v>
      </c>
      <c r="C332" s="6">
        <f t="shared" si="17"/>
        <v>51.70351009861924</v>
      </c>
      <c r="D332" s="6">
        <f t="shared" si="18"/>
        <v>841.36493970798028</v>
      </c>
    </row>
    <row r="333" spans="1:4" x14ac:dyDescent="0.15">
      <c r="A333" s="11">
        <v>327</v>
      </c>
      <c r="B333" s="5">
        <f t="shared" si="16"/>
        <v>16.322795341098168</v>
      </c>
      <c r="C333" s="6">
        <f t="shared" si="17"/>
        <v>51.568804423910741</v>
      </c>
      <c r="D333" s="6">
        <f t="shared" si="18"/>
        <v>841.74704059661281</v>
      </c>
    </row>
    <row r="334" spans="1:4" x14ac:dyDescent="0.15">
      <c r="A334" s="11">
        <v>328</v>
      </c>
      <c r="B334" s="5">
        <f t="shared" si="16"/>
        <v>16.372712146422629</v>
      </c>
      <c r="C334" s="6">
        <f t="shared" si="17"/>
        <v>51.434250565235274</v>
      </c>
      <c r="D334" s="6">
        <f t="shared" si="18"/>
        <v>842.11817897157255</v>
      </c>
    </row>
    <row r="335" spans="1:4" x14ac:dyDescent="0.15">
      <c r="A335" s="11">
        <v>329</v>
      </c>
      <c r="B335" s="5">
        <f t="shared" si="16"/>
        <v>16.422628951747086</v>
      </c>
      <c r="C335" s="6">
        <f t="shared" si="17"/>
        <v>51.29985077623413</v>
      </c>
      <c r="D335" s="6">
        <f t="shared" si="18"/>
        <v>842.47841457808784</v>
      </c>
    </row>
    <row r="336" spans="1:4" x14ac:dyDescent="0.15">
      <c r="A336" s="11">
        <v>330</v>
      </c>
      <c r="B336" s="5">
        <f t="shared" ref="B336:B399" si="19">$B$1/$B$2*A336</f>
        <v>16.472545757071547</v>
      </c>
      <c r="C336" s="6">
        <f t="shared" ref="C336:C399" si="20">200*(B336/(5+B336))*EXP(-2*B336/$B$1)</f>
        <v>51.165607272862879</v>
      </c>
      <c r="D336" s="6">
        <f t="shared" ref="D336:D399" si="21">B336*C336</f>
        <v>842.82780699058651</v>
      </c>
    </row>
    <row r="337" spans="1:4" x14ac:dyDescent="0.15">
      <c r="A337" s="11">
        <v>331</v>
      </c>
      <c r="B337" s="5">
        <f t="shared" si="19"/>
        <v>16.522462562396004</v>
      </c>
      <c r="C337" s="6">
        <f t="shared" si="20"/>
        <v>51.031522233902841</v>
      </c>
      <c r="D337" s="6">
        <f t="shared" si="21"/>
        <v>843.16641561173901</v>
      </c>
    </row>
    <row r="338" spans="1:4" x14ac:dyDescent="0.15">
      <c r="A338" s="11">
        <v>332</v>
      </c>
      <c r="B338" s="5">
        <f t="shared" si="19"/>
        <v>16.572379367720465</v>
      </c>
      <c r="C338" s="6">
        <f t="shared" si="20"/>
        <v>50.897597801465217</v>
      </c>
      <c r="D338" s="6">
        <f t="shared" si="21"/>
        <v>843.49429967153674</v>
      </c>
    </row>
    <row r="339" spans="1:4" x14ac:dyDescent="0.15">
      <c r="A339" s="11">
        <v>333</v>
      </c>
      <c r="B339" s="5">
        <f t="shared" si="19"/>
        <v>16.622296173044923</v>
      </c>
      <c r="C339" s="6">
        <f t="shared" si="20"/>
        <v>50.763836081487867</v>
      </c>
      <c r="D339" s="6">
        <f t="shared" si="21"/>
        <v>843.81151822639549</v>
      </c>
    </row>
    <row r="340" spans="1:4" x14ac:dyDescent="0.15">
      <c r="A340" s="11">
        <v>334</v>
      </c>
      <c r="B340" s="5">
        <f t="shared" si="19"/>
        <v>16.672212978369384</v>
      </c>
      <c r="C340" s="6">
        <f t="shared" si="20"/>
        <v>50.630239144224952</v>
      </c>
      <c r="D340" s="6">
        <f t="shared" si="21"/>
        <v>844.11813015829284</v>
      </c>
    </row>
    <row r="341" spans="1:4" x14ac:dyDescent="0.15">
      <c r="A341" s="11">
        <v>335</v>
      </c>
      <c r="B341" s="5">
        <f t="shared" si="19"/>
        <v>16.722129783693841</v>
      </c>
      <c r="C341" s="6">
        <f t="shared" si="20"/>
        <v>50.496809024729515</v>
      </c>
      <c r="D341" s="6">
        <f t="shared" si="21"/>
        <v>844.41419417392933</v>
      </c>
    </row>
    <row r="342" spans="1:4" x14ac:dyDescent="0.15">
      <c r="A342" s="11">
        <v>336</v>
      </c>
      <c r="B342" s="5">
        <f t="shared" si="19"/>
        <v>16.772046589018302</v>
      </c>
      <c r="C342" s="6">
        <f t="shared" si="20"/>
        <v>50.363547723329084</v>
      </c>
      <c r="D342" s="6">
        <f t="shared" si="21"/>
        <v>844.6997688039221</v>
      </c>
    </row>
    <row r="343" spans="1:4" x14ac:dyDescent="0.15">
      <c r="A343" s="11">
        <v>337</v>
      </c>
      <c r="B343" s="5">
        <f t="shared" si="19"/>
        <v>16.82196339434276</v>
      </c>
      <c r="C343" s="6">
        <f t="shared" si="20"/>
        <v>50.230457206094563</v>
      </c>
      <c r="D343" s="6">
        <f t="shared" si="21"/>
        <v>844.97491240202328</v>
      </c>
    </row>
    <row r="344" spans="1:4" x14ac:dyDescent="0.15">
      <c r="A344" s="11">
        <v>338</v>
      </c>
      <c r="B344" s="5">
        <f t="shared" si="19"/>
        <v>16.871880199667221</v>
      </c>
      <c r="C344" s="6">
        <f t="shared" si="20"/>
        <v>50.097539405302228</v>
      </c>
      <c r="D344" s="6">
        <f t="shared" si="21"/>
        <v>845.23968314436706</v>
      </c>
    </row>
    <row r="345" spans="1:4" x14ac:dyDescent="0.15">
      <c r="A345" s="11">
        <v>339</v>
      </c>
      <c r="B345" s="5">
        <f t="shared" si="19"/>
        <v>16.921797004991678</v>
      </c>
      <c r="C345" s="6">
        <f t="shared" si="20"/>
        <v>49.964796219889244</v>
      </c>
      <c r="D345" s="6">
        <f t="shared" si="21"/>
        <v>845.4941390287413</v>
      </c>
    </row>
    <row r="346" spans="1:4" x14ac:dyDescent="0.15">
      <c r="A346" s="11">
        <v>340</v>
      </c>
      <c r="B346" s="5">
        <f t="shared" si="19"/>
        <v>16.971713810316139</v>
      </c>
      <c r="C346" s="6">
        <f t="shared" si="20"/>
        <v>49.832229515902668</v>
      </c>
      <c r="D346" s="6">
        <f t="shared" si="21"/>
        <v>845.73833787388878</v>
      </c>
    </row>
    <row r="347" spans="1:4" x14ac:dyDescent="0.15">
      <c r="A347" s="11">
        <v>341</v>
      </c>
      <c r="B347" s="5">
        <f t="shared" si="19"/>
        <v>17.021630615640596</v>
      </c>
      <c r="C347" s="6">
        <f t="shared" si="20"/>
        <v>49.699841126941983</v>
      </c>
      <c r="D347" s="6">
        <f t="shared" si="21"/>
        <v>845.97233731882932</v>
      </c>
    </row>
    <row r="348" spans="1:4" x14ac:dyDescent="0.15">
      <c r="A348" s="11">
        <v>342</v>
      </c>
      <c r="B348" s="5">
        <f t="shared" si="19"/>
        <v>17.071547420965057</v>
      </c>
      <c r="C348" s="6">
        <f t="shared" si="20"/>
        <v>49.567632854595409</v>
      </c>
      <c r="D348" s="6">
        <f t="shared" si="21"/>
        <v>846.19619482221105</v>
      </c>
    </row>
    <row r="349" spans="1:4" x14ac:dyDescent="0.15">
      <c r="A349" s="11">
        <v>343</v>
      </c>
      <c r="B349" s="5">
        <f t="shared" si="19"/>
        <v>17.121464226289518</v>
      </c>
      <c r="C349" s="6">
        <f t="shared" si="20"/>
        <v>49.435606468869963</v>
      </c>
      <c r="D349" s="6">
        <f t="shared" si="21"/>
        <v>846.40996766168382</v>
      </c>
    </row>
    <row r="350" spans="1:4" x14ac:dyDescent="0.15">
      <c r="A350" s="11">
        <v>344</v>
      </c>
      <c r="B350" s="5">
        <f t="shared" si="19"/>
        <v>17.171381031613976</v>
      </c>
      <c r="C350" s="6">
        <f t="shared" si="20"/>
        <v>49.30376370861552</v>
      </c>
      <c r="D350" s="6">
        <f t="shared" si="21"/>
        <v>846.61371293329807</v>
      </c>
    </row>
    <row r="351" spans="1:4" x14ac:dyDescent="0.15">
      <c r="A351" s="11">
        <v>345</v>
      </c>
      <c r="B351" s="5">
        <f t="shared" si="19"/>
        <v>17.221297836938437</v>
      </c>
      <c r="C351" s="6">
        <f t="shared" si="20"/>
        <v>49.172106281942632</v>
      </c>
      <c r="D351" s="6">
        <f t="shared" si="21"/>
        <v>846.80748755092554</v>
      </c>
    </row>
    <row r="352" spans="1:4" x14ac:dyDescent="0.15">
      <c r="A352" s="11">
        <v>346</v>
      </c>
      <c r="B352" s="5">
        <f t="shared" si="19"/>
        <v>17.271214642262894</v>
      </c>
      <c r="C352" s="6">
        <f t="shared" si="20"/>
        <v>49.040635866634844</v>
      </c>
      <c r="D352" s="6">
        <f t="shared" si="21"/>
        <v>846.9913482457066</v>
      </c>
    </row>
    <row r="353" spans="1:4" x14ac:dyDescent="0.15">
      <c r="A353" s="11">
        <v>347</v>
      </c>
      <c r="B353" s="5">
        <f t="shared" si="19"/>
        <v>17.321131447587355</v>
      </c>
      <c r="C353" s="6">
        <f t="shared" si="20"/>
        <v>48.909354110554744</v>
      </c>
      <c r="D353" s="6">
        <f t="shared" si="21"/>
        <v>847.16535156551561</v>
      </c>
    </row>
    <row r="354" spans="1:4" x14ac:dyDescent="0.15">
      <c r="A354" s="11">
        <v>348</v>
      </c>
      <c r="B354" s="5">
        <f t="shared" si="19"/>
        <v>17.371048252911812</v>
      </c>
      <c r="C354" s="6">
        <f t="shared" si="20"/>
        <v>48.778262632044679</v>
      </c>
      <c r="D354" s="6">
        <f t="shared" si="21"/>
        <v>847.32955387445327</v>
      </c>
    </row>
    <row r="355" spans="1:4" x14ac:dyDescent="0.15">
      <c r="A355" s="11">
        <v>349</v>
      </c>
      <c r="B355" s="5">
        <f t="shared" si="19"/>
        <v>17.420965058236273</v>
      </c>
      <c r="C355" s="6">
        <f t="shared" si="20"/>
        <v>48.647363020321571</v>
      </c>
      <c r="D355" s="6">
        <f t="shared" si="21"/>
        <v>847.48401135235747</v>
      </c>
    </row>
    <row r="356" spans="1:4" x14ac:dyDescent="0.15">
      <c r="A356" s="11">
        <v>350</v>
      </c>
      <c r="B356" s="5">
        <f t="shared" si="19"/>
        <v>17.470881863560731</v>
      </c>
      <c r="C356" s="6">
        <f t="shared" si="20"/>
        <v>48.516656835866378</v>
      </c>
      <c r="D356" s="6">
        <f t="shared" si="21"/>
        <v>847.62877999433761</v>
      </c>
    </row>
    <row r="357" spans="1:4" x14ac:dyDescent="0.15">
      <c r="A357" s="11">
        <v>351</v>
      </c>
      <c r="B357" s="5">
        <f t="shared" si="19"/>
        <v>17.520798668885192</v>
      </c>
      <c r="C357" s="6">
        <f t="shared" si="20"/>
        <v>48.386145610807922</v>
      </c>
      <c r="D357" s="6">
        <f t="shared" si="21"/>
        <v>847.76391561032847</v>
      </c>
    </row>
    <row r="358" spans="1:4" x14ac:dyDescent="0.15">
      <c r="A358" s="11">
        <v>352</v>
      </c>
      <c r="B358" s="5">
        <f t="shared" si="19"/>
        <v>17.570715474209649</v>
      </c>
      <c r="C358" s="6">
        <f t="shared" si="20"/>
        <v>48.255830849301596</v>
      </c>
      <c r="D358" s="6">
        <f t="shared" si="21"/>
        <v>847.88947382466688</v>
      </c>
    </row>
    <row r="359" spans="1:4" x14ac:dyDescent="0.15">
      <c r="A359" s="11">
        <v>353</v>
      </c>
      <c r="B359" s="5">
        <f t="shared" si="19"/>
        <v>17.62063227953411</v>
      </c>
      <c r="C359" s="6">
        <f t="shared" si="20"/>
        <v>48.12571402790249</v>
      </c>
      <c r="D359" s="6">
        <f t="shared" si="21"/>
        <v>848.00551007568617</v>
      </c>
    </row>
    <row r="360" spans="1:4" x14ac:dyDescent="0.15">
      <c r="A360" s="11">
        <v>354</v>
      </c>
      <c r="B360" s="5">
        <f t="shared" si="19"/>
        <v>17.670549084858568</v>
      </c>
      <c r="C360" s="6">
        <f t="shared" si="20"/>
        <v>47.995796595933591</v>
      </c>
      <c r="D360" s="6">
        <f t="shared" si="21"/>
        <v>848.11207961533228</v>
      </c>
    </row>
    <row r="361" spans="1:4" x14ac:dyDescent="0.15">
      <c r="A361" s="11">
        <v>355</v>
      </c>
      <c r="B361" s="5">
        <f t="shared" si="19"/>
        <v>17.720465890183029</v>
      </c>
      <c r="C361" s="6">
        <f t="shared" si="20"/>
        <v>47.866079975848592</v>
      </c>
      <c r="D361" s="6">
        <f t="shared" si="21"/>
        <v>848.20923750879786</v>
      </c>
    </row>
    <row r="362" spans="1:4" x14ac:dyDescent="0.15">
      <c r="A362" s="11">
        <v>356</v>
      </c>
      <c r="B362" s="5">
        <f t="shared" si="19"/>
        <v>17.770382695507486</v>
      </c>
      <c r="C362" s="6">
        <f t="shared" si="20"/>
        <v>47.736565563589998</v>
      </c>
      <c r="D362" s="6">
        <f t="shared" si="21"/>
        <v>848.29703863417831</v>
      </c>
    </row>
    <row r="363" spans="1:4" x14ac:dyDescent="0.15">
      <c r="A363" s="11">
        <v>357</v>
      </c>
      <c r="B363" s="5">
        <f t="shared" si="19"/>
        <v>17.820299500831947</v>
      </c>
      <c r="C363" s="6">
        <f t="shared" si="20"/>
        <v>47.607254728941918</v>
      </c>
      <c r="D363" s="6">
        <f t="shared" si="21"/>
        <v>848.37553768214298</v>
      </c>
    </row>
    <row r="364" spans="1:4" x14ac:dyDescent="0.15">
      <c r="A364" s="11">
        <v>358</v>
      </c>
      <c r="B364" s="5">
        <f t="shared" si="19"/>
        <v>17.870216306156404</v>
      </c>
      <c r="C364" s="6">
        <f t="shared" si="20"/>
        <v>47.478148815878193</v>
      </c>
      <c r="D364" s="6">
        <f t="shared" si="21"/>
        <v>848.44478915562684</v>
      </c>
    </row>
    <row r="365" spans="1:4" x14ac:dyDescent="0.15">
      <c r="A365" s="11">
        <v>359</v>
      </c>
      <c r="B365" s="5">
        <f t="shared" si="19"/>
        <v>17.920133111480865</v>
      </c>
      <c r="C365" s="6">
        <f t="shared" si="20"/>
        <v>47.349249142905649</v>
      </c>
      <c r="D365" s="6">
        <f t="shared" si="21"/>
        <v>848.50484736954047</v>
      </c>
    </row>
    <row r="366" spans="1:4" x14ac:dyDescent="0.15">
      <c r="A366" s="11">
        <v>360</v>
      </c>
      <c r="B366" s="5">
        <f t="shared" si="19"/>
        <v>17.970049916805323</v>
      </c>
      <c r="C366" s="6">
        <f t="shared" si="20"/>
        <v>47.220557003402647</v>
      </c>
      <c r="D366" s="6">
        <f t="shared" si="21"/>
        <v>848.55576645049678</v>
      </c>
    </row>
    <row r="367" spans="1:4" x14ac:dyDescent="0.15">
      <c r="A367" s="11">
        <v>361</v>
      </c>
      <c r="B367" s="5">
        <f t="shared" si="19"/>
        <v>18.019966722129784</v>
      </c>
      <c r="C367" s="6">
        <f t="shared" si="20"/>
        <v>47.092073665952846</v>
      </c>
      <c r="D367" s="6">
        <f t="shared" si="21"/>
        <v>848.59760033655459</v>
      </c>
    </row>
    <row r="368" spans="1:4" x14ac:dyDescent="0.15">
      <c r="A368" s="11">
        <v>362</v>
      </c>
      <c r="B368" s="5">
        <f t="shared" si="19"/>
        <v>18.069883527454241</v>
      </c>
      <c r="C368" s="6">
        <f t="shared" si="20"/>
        <v>46.963800374674626</v>
      </c>
      <c r="D368" s="6">
        <f t="shared" si="21"/>
        <v>848.63040277698235</v>
      </c>
    </row>
    <row r="369" spans="1:4" x14ac:dyDescent="0.15">
      <c r="A369" s="11">
        <v>363</v>
      </c>
      <c r="B369" s="5">
        <f t="shared" si="19"/>
        <v>18.119800332778702</v>
      </c>
      <c r="C369" s="6">
        <f t="shared" si="20"/>
        <v>46.835738349545629</v>
      </c>
      <c r="D369" s="6">
        <f t="shared" si="21"/>
        <v>848.65422733203309</v>
      </c>
    </row>
    <row r="370" spans="1:4" x14ac:dyDescent="0.15">
      <c r="A370" s="11">
        <v>364</v>
      </c>
      <c r="B370" s="5">
        <f t="shared" si="19"/>
        <v>18.169717138103159</v>
      </c>
      <c r="C370" s="6">
        <f t="shared" si="20"/>
        <v>46.707888786723259</v>
      </c>
      <c r="D370" s="6">
        <f t="shared" si="21"/>
        <v>848.66912737274197</v>
      </c>
    </row>
    <row r="371" spans="1:4" x14ac:dyDescent="0.15">
      <c r="A371" s="11">
        <v>365</v>
      </c>
      <c r="B371" s="5">
        <f t="shared" si="19"/>
        <v>18.21963394342762</v>
      </c>
      <c r="C371" s="6">
        <f t="shared" si="20"/>
        <v>46.580252858860447</v>
      </c>
      <c r="D371" s="6">
        <f t="shared" si="21"/>
        <v>848.67515608073529</v>
      </c>
    </row>
    <row r="372" spans="1:4" x14ac:dyDescent="0.15">
      <c r="A372" s="11">
        <v>366</v>
      </c>
      <c r="B372" s="5">
        <f t="shared" si="19"/>
        <v>18.269550748752078</v>
      </c>
      <c r="C372" s="6">
        <f t="shared" si="20"/>
        <v>46.452831715417318</v>
      </c>
      <c r="D372" s="6">
        <f t="shared" si="21"/>
        <v>848.67236644805678</v>
      </c>
    </row>
    <row r="373" spans="1:4" x14ac:dyDescent="0.15">
      <c r="A373" s="11">
        <v>367</v>
      </c>
      <c r="B373" s="5">
        <f t="shared" si="19"/>
        <v>18.319467554076539</v>
      </c>
      <c r="C373" s="6">
        <f t="shared" si="20"/>
        <v>46.325626482968495</v>
      </c>
      <c r="D373" s="6">
        <f t="shared" si="21"/>
        <v>848.66081127701023</v>
      </c>
    </row>
    <row r="374" spans="1:4" x14ac:dyDescent="0.15">
      <c r="A374" s="11">
        <v>368</v>
      </c>
      <c r="B374" s="5">
        <f t="shared" si="19"/>
        <v>18.369384359400996</v>
      </c>
      <c r="C374" s="6">
        <f t="shared" si="20"/>
        <v>46.198638265506304</v>
      </c>
      <c r="D374" s="6">
        <f t="shared" si="21"/>
        <v>848.64054318001592</v>
      </c>
    </row>
    <row r="375" spans="1:4" x14ac:dyDescent="0.15">
      <c r="A375" s="11">
        <v>369</v>
      </c>
      <c r="B375" s="5">
        <f t="shared" si="19"/>
        <v>18.419301164725457</v>
      </c>
      <c r="C375" s="6">
        <f t="shared" si="20"/>
        <v>46.071868144739717</v>
      </c>
      <c r="D375" s="6">
        <f t="shared" si="21"/>
        <v>848.61161457948197</v>
      </c>
    </row>
    <row r="376" spans="1:4" x14ac:dyDescent="0.15">
      <c r="A376" s="11">
        <v>370</v>
      </c>
      <c r="B376" s="5">
        <f t="shared" si="19"/>
        <v>18.469217970049915</v>
      </c>
      <c r="C376" s="6">
        <f t="shared" si="20"/>
        <v>45.945317180389452</v>
      </c>
      <c r="D376" s="6">
        <f t="shared" si="21"/>
        <v>848.57407770769191</v>
      </c>
    </row>
    <row r="377" spans="1:4" x14ac:dyDescent="0.15">
      <c r="A377" s="11">
        <v>371</v>
      </c>
      <c r="B377" s="5">
        <f t="shared" si="19"/>
        <v>18.519134775374376</v>
      </c>
      <c r="C377" s="6">
        <f t="shared" si="20"/>
        <v>45.818986410478807</v>
      </c>
      <c r="D377" s="6">
        <f t="shared" si="21"/>
        <v>848.52798460670397</v>
      </c>
    </row>
    <row r="378" spans="1:4" x14ac:dyDescent="0.15">
      <c r="A378" s="11">
        <v>372</v>
      </c>
      <c r="B378" s="5">
        <f t="shared" si="19"/>
        <v>18.569051580698833</v>
      </c>
      <c r="C378" s="6">
        <f t="shared" si="20"/>
        <v>45.692876851620838</v>
      </c>
      <c r="D378" s="6">
        <f t="shared" si="21"/>
        <v>848.47338712826706</v>
      </c>
    </row>
    <row r="379" spans="1:4" x14ac:dyDescent="0.15">
      <c r="A379" s="11">
        <v>373</v>
      </c>
      <c r="B379" s="5">
        <f t="shared" si="19"/>
        <v>18.618968386023294</v>
      </c>
      <c r="C379" s="6">
        <f t="shared" si="20"/>
        <v>45.566989499301357</v>
      </c>
      <c r="D379" s="6">
        <f t="shared" si="21"/>
        <v>848.41033693374732</v>
      </c>
    </row>
    <row r="380" spans="1:4" x14ac:dyDescent="0.15">
      <c r="A380" s="11">
        <v>374</v>
      </c>
      <c r="B380" s="5">
        <f t="shared" si="19"/>
        <v>18.668885191347751</v>
      </c>
      <c r="C380" s="6">
        <f t="shared" si="20"/>
        <v>45.441325328158413</v>
      </c>
      <c r="D380" s="6">
        <f t="shared" si="21"/>
        <v>848.33888549407209</v>
      </c>
    </row>
    <row r="381" spans="1:4" x14ac:dyDescent="0.15">
      <c r="A381" s="11">
        <v>375</v>
      </c>
      <c r="B381" s="5">
        <f t="shared" si="19"/>
        <v>18.718801996672212</v>
      </c>
      <c r="C381" s="6">
        <f t="shared" si="20"/>
        <v>45.315885292257718</v>
      </c>
      <c r="D381" s="6">
        <f t="shared" si="21"/>
        <v>848.25908408968269</v>
      </c>
    </row>
    <row r="382" spans="1:4" x14ac:dyDescent="0.15">
      <c r="A382" s="11">
        <v>376</v>
      </c>
      <c r="B382" s="5">
        <f t="shared" si="19"/>
        <v>18.76871880199667</v>
      </c>
      <c r="C382" s="6">
        <f t="shared" si="20"/>
        <v>45.190670325364692</v>
      </c>
      <c r="D382" s="6">
        <f t="shared" si="21"/>
        <v>848.17098381050528</v>
      </c>
    </row>
    <row r="383" spans="1:4" x14ac:dyDescent="0.15">
      <c r="A383" s="11">
        <v>377</v>
      </c>
      <c r="B383" s="5">
        <f t="shared" si="19"/>
        <v>18.818635607321131</v>
      </c>
      <c r="C383" s="6">
        <f t="shared" si="20"/>
        <v>45.065681341212404</v>
      </c>
      <c r="D383" s="6">
        <f t="shared" si="21"/>
        <v>848.07463555592722</v>
      </c>
    </row>
    <row r="384" spans="1:4" x14ac:dyDescent="0.15">
      <c r="A384" s="11">
        <v>378</v>
      </c>
      <c r="B384" s="5">
        <f t="shared" si="19"/>
        <v>18.868552412645588</v>
      </c>
      <c r="C384" s="6">
        <f t="shared" si="20"/>
        <v>44.9409192337665</v>
      </c>
      <c r="D384" s="6">
        <f t="shared" si="21"/>
        <v>847.97009003479536</v>
      </c>
    </row>
    <row r="385" spans="1:4" x14ac:dyDescent="0.15">
      <c r="A385" s="11">
        <v>379</v>
      </c>
      <c r="B385" s="5">
        <f t="shared" si="19"/>
        <v>18.918469217970049</v>
      </c>
      <c r="C385" s="6">
        <f t="shared" si="20"/>
        <v>44.816384877485959</v>
      </c>
      <c r="D385" s="6">
        <f t="shared" si="21"/>
        <v>847.85739776541652</v>
      </c>
    </row>
    <row r="386" spans="1:4" x14ac:dyDescent="0.15">
      <c r="A386" s="11">
        <v>380</v>
      </c>
      <c r="B386" s="5">
        <f t="shared" si="19"/>
        <v>18.968386023294507</v>
      </c>
      <c r="C386" s="6">
        <f t="shared" si="20"/>
        <v>44.692079127580932</v>
      </c>
      <c r="D386" s="6">
        <f t="shared" si="21"/>
        <v>847.73660907557826</v>
      </c>
    </row>
    <row r="387" spans="1:4" x14ac:dyDescent="0.15">
      <c r="A387" s="11">
        <v>381</v>
      </c>
      <c r="B387" s="5">
        <f t="shared" si="19"/>
        <v>19.018302828618967</v>
      </c>
      <c r="C387" s="6">
        <f t="shared" si="20"/>
        <v>44.568002820266628</v>
      </c>
      <c r="D387" s="6">
        <f t="shared" si="21"/>
        <v>847.60777410257492</v>
      </c>
    </row>
    <row r="388" spans="1:4" x14ac:dyDescent="0.15">
      <c r="A388" s="11">
        <v>382</v>
      </c>
      <c r="B388" s="5">
        <f t="shared" si="19"/>
        <v>19.068219633943425</v>
      </c>
      <c r="C388" s="6">
        <f t="shared" si="20"/>
        <v>44.444156773014292</v>
      </c>
      <c r="D388" s="6">
        <f t="shared" si="21"/>
        <v>847.47094279325074</v>
      </c>
    </row>
    <row r="389" spans="1:4" x14ac:dyDescent="0.15">
      <c r="A389" s="11">
        <v>383</v>
      </c>
      <c r="B389" s="5">
        <f t="shared" si="19"/>
        <v>19.118136439267886</v>
      </c>
      <c r="C389" s="6">
        <f t="shared" si="20"/>
        <v>44.320541784798394</v>
      </c>
      <c r="D389" s="6">
        <f t="shared" si="21"/>
        <v>847.32616490404916</v>
      </c>
    </row>
    <row r="390" spans="1:4" x14ac:dyDescent="0.15">
      <c r="A390" s="11">
        <v>384</v>
      </c>
      <c r="B390" s="5">
        <f t="shared" si="19"/>
        <v>19.168053244592343</v>
      </c>
      <c r="C390" s="6">
        <f t="shared" si="20"/>
        <v>44.197158636340895</v>
      </c>
      <c r="D390" s="6">
        <f t="shared" si="21"/>
        <v>847.17349000107663</v>
      </c>
    </row>
    <row r="391" spans="1:4" x14ac:dyDescent="0.15">
      <c r="A391" s="11">
        <v>385</v>
      </c>
      <c r="B391" s="5">
        <f t="shared" si="19"/>
        <v>19.217970049916804</v>
      </c>
      <c r="C391" s="6">
        <f t="shared" si="20"/>
        <v>44.074008090352038</v>
      </c>
      <c r="D391" s="6">
        <f t="shared" si="21"/>
        <v>847.01296746017636</v>
      </c>
    </row>
    <row r="392" spans="1:4" x14ac:dyDescent="0.15">
      <c r="A392" s="11">
        <v>386</v>
      </c>
      <c r="B392" s="5">
        <f t="shared" si="19"/>
        <v>19.267886855241265</v>
      </c>
      <c r="C392" s="6">
        <f t="shared" si="20"/>
        <v>43.951090891768061</v>
      </c>
      <c r="D392" s="6">
        <f t="shared" si="21"/>
        <v>846.8446464670119</v>
      </c>
    </row>
    <row r="393" spans="1:4" x14ac:dyDescent="0.15">
      <c r="A393" s="11">
        <v>387</v>
      </c>
      <c r="B393" s="5">
        <f t="shared" si="19"/>
        <v>19.317803660565723</v>
      </c>
      <c r="C393" s="6">
        <f t="shared" si="20"/>
        <v>43.828407767985681</v>
      </c>
      <c r="D393" s="6">
        <f t="shared" si="21"/>
        <v>846.66857601716094</v>
      </c>
    </row>
    <row r="394" spans="1:4" x14ac:dyDescent="0.15">
      <c r="A394" s="11">
        <v>388</v>
      </c>
      <c r="B394" s="5">
        <f t="shared" si="19"/>
        <v>19.367720465890184</v>
      </c>
      <c r="C394" s="6">
        <f t="shared" si="20"/>
        <v>43.705959429093575</v>
      </c>
      <c r="D394" s="6">
        <f t="shared" si="21"/>
        <v>846.48480491622172</v>
      </c>
    </row>
    <row r="395" spans="1:4" x14ac:dyDescent="0.15">
      <c r="A395" s="11">
        <v>389</v>
      </c>
      <c r="B395" s="5">
        <f t="shared" si="19"/>
        <v>19.417637271214641</v>
      </c>
      <c r="C395" s="6">
        <f t="shared" si="20"/>
        <v>43.5837465681007</v>
      </c>
      <c r="D395" s="6">
        <f t="shared" si="21"/>
        <v>846.29338177992531</v>
      </c>
    </row>
    <row r="396" spans="1:4" x14ac:dyDescent="0.15">
      <c r="A396" s="11">
        <v>390</v>
      </c>
      <c r="B396" s="5">
        <f t="shared" si="19"/>
        <v>19.467554076539102</v>
      </c>
      <c r="C396" s="6">
        <f t="shared" si="20"/>
        <v>43.46176986116167</v>
      </c>
      <c r="D396" s="6">
        <f t="shared" si="21"/>
        <v>846.09435503426221</v>
      </c>
    </row>
    <row r="397" spans="1:4" x14ac:dyDescent="0.15">
      <c r="A397" s="11">
        <v>391</v>
      </c>
      <c r="B397" s="5">
        <f t="shared" si="19"/>
        <v>19.517470881863559</v>
      </c>
      <c r="C397" s="6">
        <f t="shared" si="20"/>
        <v>43.340029967799175</v>
      </c>
      <c r="D397" s="6">
        <f t="shared" si="21"/>
        <v>845.88777291561451</v>
      </c>
    </row>
    <row r="398" spans="1:4" x14ac:dyDescent="0.15">
      <c r="A398" s="11">
        <v>392</v>
      </c>
      <c r="B398" s="5">
        <f t="shared" si="19"/>
        <v>19.56738768718802</v>
      </c>
      <c r="C398" s="6">
        <f t="shared" si="20"/>
        <v>43.218527531123371</v>
      </c>
      <c r="D398" s="6">
        <f t="shared" si="21"/>
        <v>845.67368347089996</v>
      </c>
    </row>
    <row r="399" spans="1:4" x14ac:dyDescent="0.15">
      <c r="A399" s="11">
        <v>393</v>
      </c>
      <c r="B399" s="5">
        <f t="shared" si="19"/>
        <v>19.617304492512478</v>
      </c>
      <c r="C399" s="6">
        <f t="shared" si="20"/>
        <v>43.097263178048543</v>
      </c>
      <c r="D399" s="6">
        <f t="shared" si="21"/>
        <v>845.45213455772432</v>
      </c>
    </row>
    <row r="400" spans="1:4" x14ac:dyDescent="0.15">
      <c r="A400" s="11">
        <v>394</v>
      </c>
      <c r="B400" s="5">
        <f t="shared" ref="B400:B463" si="22">$B$1/$B$2*A400</f>
        <v>19.667221297836939</v>
      </c>
      <c r="C400" s="6">
        <f t="shared" ref="C400:C463" si="23">200*(B400/(5+B400))*EXP(-2*B400/$B$1)</f>
        <v>42.976237519506796</v>
      </c>
      <c r="D400" s="6">
        <f t="shared" ref="D400:D463" si="24">B400*C400</f>
        <v>845.223173844543</v>
      </c>
    </row>
    <row r="401" spans="1:4" x14ac:dyDescent="0.15">
      <c r="A401" s="11">
        <v>395</v>
      </c>
      <c r="B401" s="5">
        <f t="shared" si="22"/>
        <v>19.717138103161396</v>
      </c>
      <c r="C401" s="6">
        <f t="shared" si="23"/>
        <v>42.855451150659015</v>
      </c>
      <c r="D401" s="6">
        <f t="shared" si="24"/>
        <v>844.98684881083079</v>
      </c>
    </row>
    <row r="402" spans="1:4" x14ac:dyDescent="0.15">
      <c r="A402" s="11">
        <v>396</v>
      </c>
      <c r="B402" s="5">
        <f t="shared" si="22"/>
        <v>19.767054908485857</v>
      </c>
      <c r="C402" s="6">
        <f t="shared" si="23"/>
        <v>42.734904651103037</v>
      </c>
      <c r="D402" s="6">
        <f t="shared" si="24"/>
        <v>844.74320674726141</v>
      </c>
    </row>
    <row r="403" spans="1:4" x14ac:dyDescent="0.15">
      <c r="A403" s="11">
        <v>397</v>
      </c>
      <c r="B403" s="5">
        <f t="shared" si="22"/>
        <v>19.816971713810315</v>
      </c>
      <c r="C403" s="6">
        <f t="shared" si="23"/>
        <v>42.614598585079115</v>
      </c>
      <c r="D403" s="6">
        <f t="shared" si="24"/>
        <v>844.49229475589391</v>
      </c>
    </row>
    <row r="404" spans="1:4" x14ac:dyDescent="0.15">
      <c r="A404" s="11">
        <v>398</v>
      </c>
      <c r="B404" s="5">
        <f t="shared" si="22"/>
        <v>19.866888519134775</v>
      </c>
      <c r="C404" s="6">
        <f t="shared" si="23"/>
        <v>42.494533501672699</v>
      </c>
      <c r="D404" s="6">
        <f t="shared" si="24"/>
        <v>844.23415975036937</v>
      </c>
    </row>
    <row r="405" spans="1:4" x14ac:dyDescent="0.15">
      <c r="A405" s="11">
        <v>399</v>
      </c>
      <c r="B405" s="5">
        <f t="shared" si="22"/>
        <v>19.916805324459233</v>
      </c>
      <c r="C405" s="6">
        <f t="shared" si="23"/>
        <v>42.374709935014593</v>
      </c>
      <c r="D405" s="6">
        <f t="shared" si="24"/>
        <v>843.96884845611419</v>
      </c>
    </row>
    <row r="406" spans="1:4" x14ac:dyDescent="0.15">
      <c r="A406" s="11">
        <v>400</v>
      </c>
      <c r="B406" s="5">
        <f t="shared" si="22"/>
        <v>19.966722129783694</v>
      </c>
      <c r="C406" s="6">
        <f t="shared" si="23"/>
        <v>42.255128404478441</v>
      </c>
      <c r="D406" s="6">
        <f t="shared" si="24"/>
        <v>843.69640741055127</v>
      </c>
    </row>
    <row r="407" spans="1:4" x14ac:dyDescent="0.15">
      <c r="A407" s="11">
        <v>401</v>
      </c>
      <c r="B407" s="5">
        <f t="shared" si="22"/>
        <v>20.016638935108151</v>
      </c>
      <c r="C407" s="6">
        <f t="shared" si="23"/>
        <v>42.135789414875759</v>
      </c>
      <c r="D407" s="6">
        <f t="shared" si="24"/>
        <v>843.41688296332006</v>
      </c>
    </row>
    <row r="408" spans="1:4" x14ac:dyDescent="0.15">
      <c r="A408" s="11">
        <v>402</v>
      </c>
      <c r="B408" s="5">
        <f t="shared" si="22"/>
        <v>20.066555740432612</v>
      </c>
      <c r="C408" s="6">
        <f t="shared" si="23"/>
        <v>42.016693456648298</v>
      </c>
      <c r="D408" s="6">
        <f t="shared" si="24"/>
        <v>843.13032127650331</v>
      </c>
    </row>
    <row r="409" spans="1:4" x14ac:dyDescent="0.15">
      <c r="A409" s="11">
        <v>403</v>
      </c>
      <c r="B409" s="5">
        <f t="shared" si="22"/>
        <v>20.11647254575707</v>
      </c>
      <c r="C409" s="6">
        <f t="shared" si="23"/>
        <v>41.897841006058044</v>
      </c>
      <c r="D409" s="6">
        <f t="shared" si="24"/>
        <v>842.8367683248614</v>
      </c>
    </row>
    <row r="410" spans="1:4" x14ac:dyDescent="0.15">
      <c r="A410" s="11">
        <v>404</v>
      </c>
      <c r="B410" s="5">
        <f t="shared" si="22"/>
        <v>20.166389351081531</v>
      </c>
      <c r="C410" s="6">
        <f t="shared" si="23"/>
        <v>41.779232525374681</v>
      </c>
      <c r="D410" s="6">
        <f t="shared" si="24"/>
        <v>842.53626989607505</v>
      </c>
    </row>
    <row r="411" spans="1:4" x14ac:dyDescent="0.15">
      <c r="A411" s="11">
        <v>405</v>
      </c>
      <c r="B411" s="5">
        <f t="shared" si="22"/>
        <v>20.216306156405988</v>
      </c>
      <c r="C411" s="6">
        <f t="shared" si="23"/>
        <v>41.660868463060616</v>
      </c>
      <c r="D411" s="6">
        <f t="shared" si="24"/>
        <v>842.22887159099241</v>
      </c>
    </row>
    <row r="412" spans="1:4" x14ac:dyDescent="0.15">
      <c r="A412" s="11">
        <v>406</v>
      </c>
      <c r="B412" s="5">
        <f t="shared" si="22"/>
        <v>20.266222961730449</v>
      </c>
      <c r="C412" s="6">
        <f t="shared" si="23"/>
        <v>41.542749253953701</v>
      </c>
      <c r="D412" s="6">
        <f t="shared" si="24"/>
        <v>841.91461882388694</v>
      </c>
    </row>
    <row r="413" spans="1:4" x14ac:dyDescent="0.15">
      <c r="A413" s="11">
        <v>407</v>
      </c>
      <c r="B413" s="5">
        <f t="shared" si="22"/>
        <v>20.316139767054906</v>
      </c>
      <c r="C413" s="6">
        <f t="shared" si="23"/>
        <v>41.424875319447509</v>
      </c>
      <c r="D413" s="6">
        <f t="shared" si="24"/>
        <v>841.59355682271882</v>
      </c>
    </row>
    <row r="414" spans="1:4" x14ac:dyDescent="0.15">
      <c r="A414" s="11">
        <v>408</v>
      </c>
      <c r="B414" s="5">
        <f t="shared" si="22"/>
        <v>20.366056572379367</v>
      </c>
      <c r="C414" s="6">
        <f t="shared" si="23"/>
        <v>41.307247067669309</v>
      </c>
      <c r="D414" s="6">
        <f t="shared" si="24"/>
        <v>841.26573062940486</v>
      </c>
    </row>
    <row r="415" spans="1:4" x14ac:dyDescent="0.15">
      <c r="A415" s="11">
        <v>409</v>
      </c>
      <c r="B415" s="5">
        <f t="shared" si="22"/>
        <v>20.415973377703825</v>
      </c>
      <c r="C415" s="6">
        <f t="shared" si="23"/>
        <v>41.189864893655809</v>
      </c>
      <c r="D415" s="6">
        <f t="shared" si="24"/>
        <v>840.93118510009435</v>
      </c>
    </row>
    <row r="416" spans="1:4" x14ac:dyDescent="0.15">
      <c r="A416" s="11">
        <v>410</v>
      </c>
      <c r="B416" s="5">
        <f t="shared" si="22"/>
        <v>20.465890183028286</v>
      </c>
      <c r="C416" s="6">
        <f t="shared" si="23"/>
        <v>41.072729179526547</v>
      </c>
      <c r="D416" s="6">
        <f t="shared" si="24"/>
        <v>840.58996490545178</v>
      </c>
    </row>
    <row r="417" spans="1:4" x14ac:dyDescent="0.15">
      <c r="A417" s="11">
        <v>411</v>
      </c>
      <c r="B417" s="5">
        <f t="shared" si="22"/>
        <v>20.515806988352743</v>
      </c>
      <c r="C417" s="6">
        <f t="shared" si="23"/>
        <v>40.955840294655133</v>
      </c>
      <c r="D417" s="6">
        <f t="shared" si="24"/>
        <v>840.2421145309446</v>
      </c>
    </row>
    <row r="418" spans="1:4" x14ac:dyDescent="0.15">
      <c r="A418" s="11">
        <v>412</v>
      </c>
      <c r="B418" s="5">
        <f t="shared" si="22"/>
        <v>20.565723793677204</v>
      </c>
      <c r="C418" s="6">
        <f t="shared" si="23"/>
        <v>40.839198595838241</v>
      </c>
      <c r="D418" s="6">
        <f t="shared" si="24"/>
        <v>839.88767827713912</v>
      </c>
    </row>
    <row r="419" spans="1:4" x14ac:dyDescent="0.15">
      <c r="A419" s="11">
        <v>413</v>
      </c>
      <c r="B419" s="5">
        <f t="shared" si="22"/>
        <v>20.615640599001662</v>
      </c>
      <c r="C419" s="6">
        <f t="shared" si="23"/>
        <v>40.72280442746252</v>
      </c>
      <c r="D419" s="6">
        <f t="shared" si="24"/>
        <v>839.52670026000101</v>
      </c>
    </row>
    <row r="420" spans="1:4" x14ac:dyDescent="0.15">
      <c r="A420" s="11">
        <v>414</v>
      </c>
      <c r="B420" s="5">
        <f t="shared" si="22"/>
        <v>20.665557404326123</v>
      </c>
      <c r="C420" s="6">
        <f t="shared" si="23"/>
        <v>40.606658121669213</v>
      </c>
      <c r="D420" s="6">
        <f t="shared" si="24"/>
        <v>839.15922441120063</v>
      </c>
    </row>
    <row r="421" spans="1:4" x14ac:dyDescent="0.15">
      <c r="A421" s="11">
        <v>415</v>
      </c>
      <c r="B421" s="5">
        <f t="shared" si="22"/>
        <v>20.71547420965058</v>
      </c>
      <c r="C421" s="6">
        <f t="shared" si="23"/>
        <v>40.490759998516857</v>
      </c>
      <c r="D421" s="6">
        <f t="shared" si="24"/>
        <v>838.78529447842732</v>
      </c>
    </row>
    <row r="422" spans="1:4" x14ac:dyDescent="0.15">
      <c r="A422" s="11">
        <v>416</v>
      </c>
      <c r="B422" s="5">
        <f t="shared" si="22"/>
        <v>20.765391014975041</v>
      </c>
      <c r="C422" s="6">
        <f t="shared" si="23"/>
        <v>40.37511036614179</v>
      </c>
      <c r="D422" s="6">
        <f t="shared" si="24"/>
        <v>838.40495402570639</v>
      </c>
    </row>
    <row r="423" spans="1:4" x14ac:dyDescent="0.15">
      <c r="A423" s="11">
        <v>417</v>
      </c>
      <c r="B423" s="5">
        <f t="shared" si="22"/>
        <v>20.815307820299498</v>
      </c>
      <c r="C423" s="6">
        <f t="shared" si="23"/>
        <v>40.25970952091663</v>
      </c>
      <c r="D423" s="6">
        <f t="shared" si="24"/>
        <v>838.01824643372208</v>
      </c>
    </row>
    <row r="424" spans="1:4" x14ac:dyDescent="0.15">
      <c r="A424" s="11">
        <v>418</v>
      </c>
      <c r="B424" s="5">
        <f t="shared" si="22"/>
        <v>20.865224625623959</v>
      </c>
      <c r="C424" s="6">
        <f t="shared" si="23"/>
        <v>40.144557747606775</v>
      </c>
      <c r="D424" s="6">
        <f t="shared" si="24"/>
        <v>837.62521490014797</v>
      </c>
    </row>
    <row r="425" spans="1:4" x14ac:dyDescent="0.15">
      <c r="A425" s="11">
        <v>419</v>
      </c>
      <c r="B425" s="5">
        <f t="shared" si="22"/>
        <v>20.915141430948417</v>
      </c>
      <c r="C425" s="6">
        <f t="shared" si="23"/>
        <v>40.029655319524856</v>
      </c>
      <c r="D425" s="6">
        <f t="shared" si="24"/>
        <v>837.225902439979</v>
      </c>
    </row>
    <row r="426" spans="1:4" x14ac:dyDescent="0.15">
      <c r="A426" s="11">
        <v>420</v>
      </c>
      <c r="B426" s="5">
        <f t="shared" si="22"/>
        <v>20.965058236272878</v>
      </c>
      <c r="C426" s="6">
        <f t="shared" si="23"/>
        <v>39.915002498683293</v>
      </c>
      <c r="D426" s="6">
        <f t="shared" si="24"/>
        <v>836.8203518858727</v>
      </c>
    </row>
    <row r="427" spans="1:4" x14ac:dyDescent="0.15">
      <c r="A427" s="11">
        <v>421</v>
      </c>
      <c r="B427" s="5">
        <f t="shared" si="22"/>
        <v>21.014975041597335</v>
      </c>
      <c r="C427" s="6">
        <f t="shared" si="23"/>
        <v>39.800599535944848</v>
      </c>
      <c r="D427" s="6">
        <f t="shared" si="24"/>
        <v>836.40860588849148</v>
      </c>
    </row>
    <row r="428" spans="1:4" x14ac:dyDescent="0.15">
      <c r="A428" s="11">
        <v>422</v>
      </c>
      <c r="B428" s="5">
        <f t="shared" si="22"/>
        <v>21.064891846921796</v>
      </c>
      <c r="C428" s="6">
        <f t="shared" si="23"/>
        <v>39.686446671171339</v>
      </c>
      <c r="D428" s="6">
        <f t="shared" si="24"/>
        <v>835.99070691685381</v>
      </c>
    </row>
    <row r="429" spans="1:4" x14ac:dyDescent="0.15">
      <c r="A429" s="11">
        <v>423</v>
      </c>
      <c r="B429" s="5">
        <f t="shared" si="22"/>
        <v>21.114808652246253</v>
      </c>
      <c r="C429" s="6">
        <f t="shared" si="23"/>
        <v>39.572544133370364</v>
      </c>
      <c r="D429" s="6">
        <f t="shared" si="24"/>
        <v>835.56669725868528</v>
      </c>
    </row>
    <row r="430" spans="1:4" x14ac:dyDescent="0.15">
      <c r="A430" s="11">
        <v>424</v>
      </c>
      <c r="B430" s="5">
        <f t="shared" si="22"/>
        <v>21.164725457570714</v>
      </c>
      <c r="C430" s="6">
        <f t="shared" si="23"/>
        <v>39.458892140840341</v>
      </c>
      <c r="D430" s="6">
        <f t="shared" si="24"/>
        <v>835.13661902078059</v>
      </c>
    </row>
    <row r="431" spans="1:4" x14ac:dyDescent="0.15">
      <c r="A431" s="11">
        <v>425</v>
      </c>
      <c r="B431" s="5">
        <f t="shared" si="22"/>
        <v>21.214642262895172</v>
      </c>
      <c r="C431" s="6">
        <f t="shared" si="23"/>
        <v>39.345490901313504</v>
      </c>
      <c r="D431" s="6">
        <f t="shared" si="24"/>
        <v>834.70051412936289</v>
      </c>
    </row>
    <row r="432" spans="1:4" x14ac:dyDescent="0.15">
      <c r="A432" s="11">
        <v>426</v>
      </c>
      <c r="B432" s="5">
        <f t="shared" si="22"/>
        <v>21.264559068219633</v>
      </c>
      <c r="C432" s="6">
        <f t="shared" si="23"/>
        <v>39.232340612097296</v>
      </c>
      <c r="D432" s="6">
        <f t="shared" si="24"/>
        <v>834.25842433045489</v>
      </c>
    </row>
    <row r="433" spans="1:4" x14ac:dyDescent="0.15">
      <c r="A433" s="11">
        <v>427</v>
      </c>
      <c r="B433" s="5">
        <f t="shared" si="22"/>
        <v>21.314475873544094</v>
      </c>
      <c r="C433" s="6">
        <f t="shared" si="23"/>
        <v>39.119441460213821</v>
      </c>
      <c r="D433" s="6">
        <f t="shared" si="24"/>
        <v>833.81039119024797</v>
      </c>
    </row>
    <row r="434" spans="1:4" x14ac:dyDescent="0.15">
      <c r="A434" s="11">
        <v>428</v>
      </c>
      <c r="B434" s="5">
        <f t="shared" si="22"/>
        <v>21.364392678868551</v>
      </c>
      <c r="C434" s="6">
        <f t="shared" si="23"/>
        <v>39.006793622537657</v>
      </c>
      <c r="D434" s="6">
        <f t="shared" si="24"/>
        <v>833.35645609547998</v>
      </c>
    </row>
    <row r="435" spans="1:4" x14ac:dyDescent="0.15">
      <c r="A435" s="11">
        <v>429</v>
      </c>
      <c r="B435" s="5">
        <f t="shared" si="22"/>
        <v>21.414309484193012</v>
      </c>
      <c r="C435" s="6">
        <f t="shared" si="23"/>
        <v>38.894397265931822</v>
      </c>
      <c r="D435" s="6">
        <f t="shared" si="24"/>
        <v>832.89666025381462</v>
      </c>
    </row>
    <row r="436" spans="1:4" x14ac:dyDescent="0.15">
      <c r="A436" s="11">
        <v>430</v>
      </c>
      <c r="B436" s="5">
        <f t="shared" si="22"/>
        <v>21.46422628951747</v>
      </c>
      <c r="C436" s="6">
        <f t="shared" si="23"/>
        <v>38.782252547382171</v>
      </c>
      <c r="D436" s="6">
        <f t="shared" si="24"/>
        <v>832.43104469422622</v>
      </c>
    </row>
    <row r="437" spans="1:4" x14ac:dyDescent="0.15">
      <c r="A437" s="11">
        <v>431</v>
      </c>
      <c r="B437" s="5">
        <f t="shared" si="22"/>
        <v>21.514143094841931</v>
      </c>
      <c r="C437" s="6">
        <f t="shared" si="23"/>
        <v>38.670359614129929</v>
      </c>
      <c r="D437" s="6">
        <f t="shared" si="24"/>
        <v>831.9596502673877</v>
      </c>
    </row>
    <row r="438" spans="1:4" x14ac:dyDescent="0.15">
      <c r="A438" s="11">
        <v>432</v>
      </c>
      <c r="B438" s="5">
        <f t="shared" si="22"/>
        <v>21.564059900166388</v>
      </c>
      <c r="C438" s="6">
        <f t="shared" si="23"/>
        <v>38.558718603802774</v>
      </c>
      <c r="D438" s="6">
        <f t="shared" si="24"/>
        <v>831.48251764606312</v>
      </c>
    </row>
    <row r="439" spans="1:4" x14ac:dyDescent="0.15">
      <c r="A439" s="11">
        <v>433</v>
      </c>
      <c r="B439" s="5">
        <f t="shared" si="22"/>
        <v>21.613976705490849</v>
      </c>
      <c r="C439" s="6">
        <f t="shared" si="23"/>
        <v>38.447329644544048</v>
      </c>
      <c r="D439" s="6">
        <f t="shared" si="24"/>
        <v>830.9996873255028</v>
      </c>
    </row>
    <row r="440" spans="1:4" x14ac:dyDescent="0.15">
      <c r="A440" s="11">
        <v>434</v>
      </c>
      <c r="B440" s="5">
        <f t="shared" si="22"/>
        <v>21.663893510815306</v>
      </c>
      <c r="C440" s="6">
        <f t="shared" si="23"/>
        <v>38.336192855140574</v>
      </c>
      <c r="D440" s="6">
        <f t="shared" si="24"/>
        <v>830.51119962384394</v>
      </c>
    </row>
    <row r="441" spans="1:4" x14ac:dyDescent="0.15">
      <c r="A441" s="11">
        <v>435</v>
      </c>
      <c r="B441" s="5">
        <f t="shared" si="22"/>
        <v>21.713810316139767</v>
      </c>
      <c r="C441" s="6">
        <f t="shared" si="23"/>
        <v>38.225308345148662</v>
      </c>
      <c r="D441" s="6">
        <f t="shared" si="24"/>
        <v>830.01709468251249</v>
      </c>
    </row>
    <row r="442" spans="1:4" x14ac:dyDescent="0.15">
      <c r="A442" s="11">
        <v>436</v>
      </c>
      <c r="B442" s="5">
        <f t="shared" si="22"/>
        <v>21.763727121464225</v>
      </c>
      <c r="C442" s="6">
        <f t="shared" si="23"/>
        <v>38.114676215018733</v>
      </c>
      <c r="D442" s="6">
        <f t="shared" si="24"/>
        <v>829.51741246663062</v>
      </c>
    </row>
    <row r="443" spans="1:4" x14ac:dyDescent="0.15">
      <c r="A443" s="11">
        <v>437</v>
      </c>
      <c r="B443" s="5">
        <f t="shared" si="22"/>
        <v>21.813643926788686</v>
      </c>
      <c r="C443" s="6">
        <f t="shared" si="23"/>
        <v>38.004296556218243</v>
      </c>
      <c r="D443" s="6">
        <f t="shared" si="24"/>
        <v>829.01219276542622</v>
      </c>
    </row>
    <row r="444" spans="1:4" x14ac:dyDescent="0.15">
      <c r="A444" s="11">
        <v>438</v>
      </c>
      <c r="B444" s="5">
        <f t="shared" si="22"/>
        <v>21.863560732113143</v>
      </c>
      <c r="C444" s="6">
        <f t="shared" si="23"/>
        <v>37.894169451353157</v>
      </c>
      <c r="D444" s="6">
        <f t="shared" si="24"/>
        <v>828.50147519264635</v>
      </c>
    </row>
    <row r="445" spans="1:4" x14ac:dyDescent="0.15">
      <c r="A445" s="11">
        <v>439</v>
      </c>
      <c r="B445" s="5">
        <f t="shared" si="22"/>
        <v>21.913477537437604</v>
      </c>
      <c r="C445" s="6">
        <f t="shared" si="23"/>
        <v>37.784294974287882</v>
      </c>
      <c r="D445" s="6">
        <f t="shared" si="24"/>
        <v>827.98529918697409</v>
      </c>
    </row>
    <row r="446" spans="1:4" x14ac:dyDescent="0.15">
      <c r="A446" s="11">
        <v>440</v>
      </c>
      <c r="B446" s="5">
        <f t="shared" si="22"/>
        <v>21.963394342762061</v>
      </c>
      <c r="C446" s="6">
        <f t="shared" si="23"/>
        <v>37.674673190263697</v>
      </c>
      <c r="D446" s="6">
        <f t="shared" si="24"/>
        <v>827.46370401244724</v>
      </c>
    </row>
    <row r="447" spans="1:4" x14ac:dyDescent="0.15">
      <c r="A447" s="11">
        <v>441</v>
      </c>
      <c r="B447" s="5">
        <f t="shared" si="22"/>
        <v>22.013311148086522</v>
      </c>
      <c r="C447" s="6">
        <f t="shared" si="23"/>
        <v>37.565304156015713</v>
      </c>
      <c r="D447" s="6">
        <f t="shared" si="24"/>
        <v>826.93672875888171</v>
      </c>
    </row>
    <row r="448" spans="1:4" x14ac:dyDescent="0.15">
      <c r="A448" s="11">
        <v>442</v>
      </c>
      <c r="B448" s="5">
        <f t="shared" si="22"/>
        <v>22.06322795341098</v>
      </c>
      <c r="C448" s="6">
        <f t="shared" si="23"/>
        <v>37.456187919888457</v>
      </c>
      <c r="D448" s="6">
        <f t="shared" si="24"/>
        <v>826.40441234229763</v>
      </c>
    </row>
    <row r="449" spans="1:4" x14ac:dyDescent="0.15">
      <c r="A449" s="11">
        <v>443</v>
      </c>
      <c r="B449" s="5">
        <f t="shared" si="22"/>
        <v>22.113144758735441</v>
      </c>
      <c r="C449" s="6">
        <f t="shared" si="23"/>
        <v>37.347324521949815</v>
      </c>
      <c r="D449" s="6">
        <f t="shared" si="24"/>
        <v>825.86679350534621</v>
      </c>
    </row>
    <row r="450" spans="1:4" x14ac:dyDescent="0.15">
      <c r="A450" s="11">
        <v>444</v>
      </c>
      <c r="B450" s="5">
        <f t="shared" si="22"/>
        <v>22.163061564059898</v>
      </c>
      <c r="C450" s="6">
        <f t="shared" si="23"/>
        <v>37.238713994103904</v>
      </c>
      <c r="D450" s="6">
        <f t="shared" si="24"/>
        <v>825.32391081774369</v>
      </c>
    </row>
    <row r="451" spans="1:4" x14ac:dyDescent="0.15">
      <c r="A451" s="11">
        <v>445</v>
      </c>
      <c r="B451" s="5">
        <f t="shared" si="22"/>
        <v>22.212978369384359</v>
      </c>
      <c r="C451" s="6">
        <f t="shared" si="23"/>
        <v>37.130356360202114</v>
      </c>
      <c r="D451" s="6">
        <f t="shared" si="24"/>
        <v>824.77580267670248</v>
      </c>
    </row>
    <row r="452" spans="1:4" x14ac:dyDescent="0.15">
      <c r="A452" s="11">
        <v>446</v>
      </c>
      <c r="B452" s="5">
        <f t="shared" si="22"/>
        <v>22.262895174708817</v>
      </c>
      <c r="C452" s="6">
        <f t="shared" si="23"/>
        <v>37.0222516361532</v>
      </c>
      <c r="D452" s="6">
        <f t="shared" si="24"/>
        <v>824.22250730737062</v>
      </c>
    </row>
    <row r="453" spans="1:4" x14ac:dyDescent="0.15">
      <c r="A453" s="11">
        <v>447</v>
      </c>
      <c r="B453" s="5">
        <f t="shared" si="22"/>
        <v>22.312811980033278</v>
      </c>
      <c r="C453" s="6">
        <f t="shared" si="23"/>
        <v>36.914399830031684</v>
      </c>
      <c r="D453" s="6">
        <f t="shared" si="24"/>
        <v>823.66406276326938</v>
      </c>
    </row>
    <row r="454" spans="1:4" x14ac:dyDescent="0.15">
      <c r="A454" s="11">
        <v>448</v>
      </c>
      <c r="B454" s="5">
        <f t="shared" si="22"/>
        <v>22.362728785357735</v>
      </c>
      <c r="C454" s="6">
        <f t="shared" si="23"/>
        <v>36.806800942185149</v>
      </c>
      <c r="D454" s="6">
        <f t="shared" si="24"/>
        <v>823.10050692673599</v>
      </c>
    </row>
    <row r="455" spans="1:4" x14ac:dyDescent="0.15">
      <c r="A455" s="11">
        <v>449</v>
      </c>
      <c r="B455" s="5">
        <f t="shared" si="22"/>
        <v>22.412645590682196</v>
      </c>
      <c r="C455" s="6">
        <f t="shared" si="23"/>
        <v>36.699454965339996</v>
      </c>
      <c r="D455" s="6">
        <f t="shared" si="24"/>
        <v>822.53187750936729</v>
      </c>
    </row>
    <row r="456" spans="1:4" x14ac:dyDescent="0.15">
      <c r="A456" s="11">
        <v>450</v>
      </c>
      <c r="B456" s="5">
        <f t="shared" si="22"/>
        <v>22.462562396006653</v>
      </c>
      <c r="C456" s="6">
        <f t="shared" si="23"/>
        <v>36.592361884706143</v>
      </c>
      <c r="D456" s="6">
        <f t="shared" si="24"/>
        <v>821.95821205246739</v>
      </c>
    </row>
    <row r="457" spans="1:4" x14ac:dyDescent="0.15">
      <c r="A457" s="11">
        <v>451</v>
      </c>
      <c r="B457" s="5">
        <f t="shared" si="22"/>
        <v>22.512479201331114</v>
      </c>
      <c r="C457" s="6">
        <f t="shared" si="23"/>
        <v>36.48552167808019</v>
      </c>
      <c r="D457" s="6">
        <f t="shared" si="24"/>
        <v>821.37954792749576</v>
      </c>
    </row>
    <row r="458" spans="1:4" x14ac:dyDescent="0.15">
      <c r="A458" s="11">
        <v>452</v>
      </c>
      <c r="B458" s="5">
        <f t="shared" si="22"/>
        <v>22.562396006655572</v>
      </c>
      <c r="C458" s="6">
        <f t="shared" si="23"/>
        <v>36.378934315947511</v>
      </c>
      <c r="D458" s="6">
        <f t="shared" si="24"/>
        <v>820.79592233651942</v>
      </c>
    </row>
    <row r="459" spans="1:4" x14ac:dyDescent="0.15">
      <c r="A459" s="11">
        <v>453</v>
      </c>
      <c r="B459" s="5">
        <f t="shared" si="22"/>
        <v>22.612312811980033</v>
      </c>
      <c r="C459" s="6">
        <f t="shared" si="23"/>
        <v>36.272599761582917</v>
      </c>
      <c r="D459" s="6">
        <f t="shared" si="24"/>
        <v>820.20737231266526</v>
      </c>
    </row>
    <row r="460" spans="1:4" x14ac:dyDescent="0.15">
      <c r="A460" s="11">
        <v>454</v>
      </c>
      <c r="B460" s="5">
        <f t="shared" si="22"/>
        <v>22.66222961730449</v>
      </c>
      <c r="C460" s="6">
        <f t="shared" si="23"/>
        <v>36.166517971150263</v>
      </c>
      <c r="D460" s="6">
        <f t="shared" si="24"/>
        <v>819.61393472057659</v>
      </c>
    </row>
    <row r="461" spans="1:4" x14ac:dyDescent="0.15">
      <c r="A461" s="11">
        <v>455</v>
      </c>
      <c r="B461" s="5">
        <f t="shared" si="22"/>
        <v>22.712146422628951</v>
      </c>
      <c r="C461" s="6">
        <f t="shared" si="23"/>
        <v>36.060688893800638</v>
      </c>
      <c r="D461" s="6">
        <f t="shared" si="24"/>
        <v>819.01564625686967</v>
      </c>
    </row>
    <row r="462" spans="1:4" x14ac:dyDescent="0.15">
      <c r="A462" s="11">
        <v>456</v>
      </c>
      <c r="B462" s="5">
        <f t="shared" si="22"/>
        <v>22.762063227953409</v>
      </c>
      <c r="C462" s="6">
        <f t="shared" si="23"/>
        <v>35.95511247176956</v>
      </c>
      <c r="D462" s="6">
        <f t="shared" si="24"/>
        <v>818.41254345059485</v>
      </c>
    </row>
    <row r="463" spans="1:4" x14ac:dyDescent="0.15">
      <c r="A463" s="11">
        <v>457</v>
      </c>
      <c r="B463" s="5">
        <f t="shared" si="22"/>
        <v>22.811980033277869</v>
      </c>
      <c r="C463" s="6">
        <f t="shared" si="23"/>
        <v>35.849788640472731</v>
      </c>
      <c r="D463" s="6">
        <f t="shared" si="24"/>
        <v>817.80466266369569</v>
      </c>
    </row>
    <row r="464" spans="1:4" x14ac:dyDescent="0.15">
      <c r="A464" s="11">
        <v>458</v>
      </c>
      <c r="B464" s="5">
        <f t="shared" ref="B464:B527" si="25">$B$1/$B$2*A464</f>
        <v>22.861896838602327</v>
      </c>
      <c r="C464" s="6">
        <f t="shared" ref="C464:C527" si="26">200*(B464/(5+B464))*EXP(-2*B464/$B$1)</f>
        <v>35.744717328600892</v>
      </c>
      <c r="D464" s="6">
        <f t="shared" ref="D464:D527" si="27">B464*C464</f>
        <v>817.1920400914745</v>
      </c>
    </row>
    <row r="465" spans="1:4" x14ac:dyDescent="0.15">
      <c r="A465" s="11">
        <v>459</v>
      </c>
      <c r="B465" s="5">
        <f t="shared" si="25"/>
        <v>22.911813643926788</v>
      </c>
      <c r="C465" s="6">
        <f t="shared" si="26"/>
        <v>35.639898458213295</v>
      </c>
      <c r="D465" s="6">
        <f t="shared" si="27"/>
        <v>816.57471176305671</v>
      </c>
    </row>
    <row r="466" spans="1:4" x14ac:dyDescent="0.15">
      <c r="A466" s="11">
        <v>460</v>
      </c>
      <c r="B466" s="5">
        <f t="shared" si="25"/>
        <v>22.961730449251245</v>
      </c>
      <c r="C466" s="6">
        <f t="shared" si="26"/>
        <v>35.535331944830162</v>
      </c>
      <c r="D466" s="6">
        <f t="shared" si="27"/>
        <v>815.95271354185718</v>
      </c>
    </row>
    <row r="467" spans="1:4" x14ac:dyDescent="0.15">
      <c r="A467" s="11">
        <v>461</v>
      </c>
      <c r="B467" s="5">
        <f t="shared" si="25"/>
        <v>23.011647254575706</v>
      </c>
      <c r="C467" s="6">
        <f t="shared" si="26"/>
        <v>35.431017697523885</v>
      </c>
      <c r="D467" s="6">
        <f t="shared" si="27"/>
        <v>815.32608112604873</v>
      </c>
    </row>
    <row r="468" spans="1:4" x14ac:dyDescent="0.15">
      <c r="A468" s="11">
        <v>462</v>
      </c>
      <c r="B468" s="5">
        <f t="shared" si="25"/>
        <v>23.061564059900164</v>
      </c>
      <c r="C468" s="6">
        <f t="shared" si="26"/>
        <v>35.32695561900934</v>
      </c>
      <c r="D468" s="6">
        <f t="shared" si="27"/>
        <v>814.6948500490339</v>
      </c>
    </row>
    <row r="469" spans="1:4" x14ac:dyDescent="0.15">
      <c r="A469" s="11">
        <v>463</v>
      </c>
      <c r="B469" s="5">
        <f t="shared" si="25"/>
        <v>23.111480865224625</v>
      </c>
      <c r="C469" s="6">
        <f t="shared" si="26"/>
        <v>35.223145605732789</v>
      </c>
      <c r="D469" s="6">
        <f t="shared" si="27"/>
        <v>814.0590556799142</v>
      </c>
    </row>
    <row r="470" spans="1:4" x14ac:dyDescent="0.15">
      <c r="A470" s="11">
        <v>464</v>
      </c>
      <c r="B470" s="5">
        <f t="shared" si="25"/>
        <v>23.161397670549082</v>
      </c>
      <c r="C470" s="6">
        <f t="shared" si="26"/>
        <v>35.119587547960009</v>
      </c>
      <c r="D470" s="6">
        <f t="shared" si="27"/>
        <v>813.41873322396555</v>
      </c>
    </row>
    <row r="471" spans="1:4" x14ac:dyDescent="0.15">
      <c r="A471" s="11">
        <v>465</v>
      </c>
      <c r="B471" s="5">
        <f t="shared" si="25"/>
        <v>23.211314475873543</v>
      </c>
      <c r="C471" s="6">
        <f t="shared" si="26"/>
        <v>35.016281329863062</v>
      </c>
      <c r="D471" s="6">
        <f t="shared" si="27"/>
        <v>812.77391772311103</v>
      </c>
    </row>
    <row r="472" spans="1:4" x14ac:dyDescent="0.15">
      <c r="A472" s="11">
        <v>466</v>
      </c>
      <c r="B472" s="5">
        <f t="shared" si="25"/>
        <v>23.261231281198</v>
      </c>
      <c r="C472" s="6">
        <f t="shared" si="26"/>
        <v>34.913226829606273</v>
      </c>
      <c r="D472" s="6">
        <f t="shared" si="27"/>
        <v>812.12464405639878</v>
      </c>
    </row>
    <row r="473" spans="1:4" x14ac:dyDescent="0.15">
      <c r="A473" s="11">
        <v>467</v>
      </c>
      <c r="B473" s="5">
        <f t="shared" si="25"/>
        <v>23.311148086522461</v>
      </c>
      <c r="C473" s="6">
        <f t="shared" si="26"/>
        <v>34.810423919430932</v>
      </c>
      <c r="D473" s="6">
        <f t="shared" si="27"/>
        <v>811.47094694047803</v>
      </c>
    </row>
    <row r="474" spans="1:4" x14ac:dyDescent="0.15">
      <c r="A474" s="11">
        <v>468</v>
      </c>
      <c r="B474" s="5">
        <f t="shared" si="25"/>
        <v>23.361064891846919</v>
      </c>
      <c r="C474" s="6">
        <f t="shared" si="26"/>
        <v>34.707872465739129</v>
      </c>
      <c r="D474" s="6">
        <f t="shared" si="27"/>
        <v>810.81286093007873</v>
      </c>
    </row>
    <row r="475" spans="1:4" x14ac:dyDescent="0.15">
      <c r="A475" s="11">
        <v>469</v>
      </c>
      <c r="B475" s="5">
        <f t="shared" si="25"/>
        <v>23.41098169717138</v>
      </c>
      <c r="C475" s="6">
        <f t="shared" si="26"/>
        <v>34.605572329176475</v>
      </c>
      <c r="D475" s="6">
        <f t="shared" si="27"/>
        <v>810.15042041849085</v>
      </c>
    </row>
    <row r="476" spans="1:4" x14ac:dyDescent="0.15">
      <c r="A476" s="11">
        <v>470</v>
      </c>
      <c r="B476" s="5">
        <f t="shared" si="25"/>
        <v>23.460898502495841</v>
      </c>
      <c r="C476" s="6">
        <f t="shared" si="26"/>
        <v>34.503523364713864</v>
      </c>
      <c r="D476" s="6">
        <f t="shared" si="27"/>
        <v>809.48365963804576</v>
      </c>
    </row>
    <row r="477" spans="1:4" x14ac:dyDescent="0.15">
      <c r="A477" s="11">
        <v>471</v>
      </c>
      <c r="B477" s="5">
        <f t="shared" si="25"/>
        <v>23.510815307820298</v>
      </c>
      <c r="C477" s="6">
        <f t="shared" si="26"/>
        <v>34.40172542172823</v>
      </c>
      <c r="D477" s="6">
        <f t="shared" si="27"/>
        <v>808.8126126605988</v>
      </c>
    </row>
    <row r="478" spans="1:4" x14ac:dyDescent="0.15">
      <c r="A478" s="11">
        <v>472</v>
      </c>
      <c r="B478" s="5">
        <f t="shared" si="25"/>
        <v>23.560732113144759</v>
      </c>
      <c r="C478" s="6">
        <f t="shared" si="26"/>
        <v>34.300178344082319</v>
      </c>
      <c r="D478" s="6">
        <f t="shared" si="27"/>
        <v>808.13731339801268</v>
      </c>
    </row>
    <row r="479" spans="1:4" x14ac:dyDescent="0.15">
      <c r="A479" s="11">
        <v>473</v>
      </c>
      <c r="B479" s="5">
        <f t="shared" si="25"/>
        <v>23.610648918469217</v>
      </c>
      <c r="C479" s="6">
        <f t="shared" si="26"/>
        <v>34.198881970203502</v>
      </c>
      <c r="D479" s="6">
        <f t="shared" si="27"/>
        <v>807.45779560264168</v>
      </c>
    </row>
    <row r="480" spans="1:4" x14ac:dyDescent="0.15">
      <c r="A480" s="11">
        <v>474</v>
      </c>
      <c r="B480" s="5">
        <f t="shared" si="25"/>
        <v>23.660565723793678</v>
      </c>
      <c r="C480" s="6">
        <f t="shared" si="26"/>
        <v>34.097836133161621</v>
      </c>
      <c r="D480" s="6">
        <f t="shared" si="27"/>
        <v>806.77409286781744</v>
      </c>
    </row>
    <row r="481" spans="1:4" x14ac:dyDescent="0.15">
      <c r="A481" s="11">
        <v>475</v>
      </c>
      <c r="B481" s="5">
        <f t="shared" si="25"/>
        <v>23.710482529118135</v>
      </c>
      <c r="C481" s="6">
        <f t="shared" si="26"/>
        <v>33.997040660745888</v>
      </c>
      <c r="D481" s="6">
        <f t="shared" si="27"/>
        <v>806.08623862833429</v>
      </c>
    </row>
    <row r="482" spans="1:4" x14ac:dyDescent="0.15">
      <c r="A482" s="11">
        <v>476</v>
      </c>
      <c r="B482" s="5">
        <f t="shared" si="25"/>
        <v>23.760399334442596</v>
      </c>
      <c r="C482" s="6">
        <f t="shared" si="26"/>
        <v>33.896495375540916</v>
      </c>
      <c r="D482" s="6">
        <f t="shared" si="27"/>
        <v>805.39426616093886</v>
      </c>
    </row>
    <row r="483" spans="1:4" x14ac:dyDescent="0.15">
      <c r="A483" s="11">
        <v>477</v>
      </c>
      <c r="B483" s="5">
        <f t="shared" si="25"/>
        <v>23.810316139767053</v>
      </c>
      <c r="C483" s="6">
        <f t="shared" si="26"/>
        <v>33.796200095001709</v>
      </c>
      <c r="D483" s="6">
        <f t="shared" si="27"/>
        <v>804.69820858481603</v>
      </c>
    </row>
    <row r="484" spans="1:4" x14ac:dyDescent="0.15">
      <c r="A484" s="11">
        <v>478</v>
      </c>
      <c r="B484" s="5">
        <f t="shared" si="25"/>
        <v>23.860232945091514</v>
      </c>
      <c r="C484" s="6">
        <f t="shared" si="26"/>
        <v>33.696154631527897</v>
      </c>
      <c r="D484" s="6">
        <f t="shared" si="27"/>
        <v>803.99809886207993</v>
      </c>
    </row>
    <row r="485" spans="1:4" x14ac:dyDescent="0.15">
      <c r="A485" s="11">
        <v>479</v>
      </c>
      <c r="B485" s="5">
        <f t="shared" si="25"/>
        <v>23.910149750415972</v>
      </c>
      <c r="C485" s="6">
        <f t="shared" si="26"/>
        <v>33.596358792536883</v>
      </c>
      <c r="D485" s="6">
        <f t="shared" si="27"/>
        <v>803.29396979826117</v>
      </c>
    </row>
    <row r="486" spans="1:4" x14ac:dyDescent="0.15">
      <c r="A486" s="11">
        <v>480</v>
      </c>
      <c r="B486" s="5">
        <f t="shared" si="25"/>
        <v>23.960066555740433</v>
      </c>
      <c r="C486" s="6">
        <f t="shared" si="26"/>
        <v>33.496812380536362</v>
      </c>
      <c r="D486" s="6">
        <f t="shared" si="27"/>
        <v>802.58585404280132</v>
      </c>
    </row>
    <row r="487" spans="1:4" x14ac:dyDescent="0.15">
      <c r="A487" s="11">
        <v>481</v>
      </c>
      <c r="B487" s="5">
        <f t="shared" si="25"/>
        <v>24.00998336106489</v>
      </c>
      <c r="C487" s="6">
        <f t="shared" si="26"/>
        <v>33.39751519319568</v>
      </c>
      <c r="D487" s="6">
        <f t="shared" si="27"/>
        <v>801.8737840895401</v>
      </c>
    </row>
    <row r="488" spans="1:4" x14ac:dyDescent="0.15">
      <c r="A488" s="11">
        <v>482</v>
      </c>
      <c r="B488" s="5">
        <f t="shared" si="25"/>
        <v>24.059900166389351</v>
      </c>
      <c r="C488" s="6">
        <f t="shared" si="26"/>
        <v>33.298467023416549</v>
      </c>
      <c r="D488" s="6">
        <f t="shared" si="27"/>
        <v>801.15779227721021</v>
      </c>
    </row>
    <row r="489" spans="1:4" x14ac:dyDescent="0.15">
      <c r="A489" s="11">
        <v>483</v>
      </c>
      <c r="B489" s="5">
        <f t="shared" si="25"/>
        <v>24.109816971713808</v>
      </c>
      <c r="C489" s="6">
        <f t="shared" si="26"/>
        <v>33.199667659402834</v>
      </c>
      <c r="D489" s="6">
        <f t="shared" si="27"/>
        <v>800.43791078992854</v>
      </c>
    </row>
    <row r="490" spans="1:4" x14ac:dyDescent="0.15">
      <c r="A490" s="11">
        <v>484</v>
      </c>
      <c r="B490" s="5">
        <f t="shared" si="25"/>
        <v>24.159733777038269</v>
      </c>
      <c r="C490" s="6">
        <f t="shared" si="26"/>
        <v>33.101116884729457</v>
      </c>
      <c r="D490" s="6">
        <f t="shared" si="27"/>
        <v>799.71417165769003</v>
      </c>
    </row>
    <row r="491" spans="1:4" x14ac:dyDescent="0.15">
      <c r="A491" s="11">
        <v>485</v>
      </c>
      <c r="B491" s="5">
        <f t="shared" si="25"/>
        <v>24.209650582362727</v>
      </c>
      <c r="C491" s="6">
        <f t="shared" si="26"/>
        <v>33.002814478410556</v>
      </c>
      <c r="D491" s="6">
        <f t="shared" si="27"/>
        <v>798.98660675686119</v>
      </c>
    </row>
    <row r="492" spans="1:4" x14ac:dyDescent="0.15">
      <c r="A492" s="11">
        <v>486</v>
      </c>
      <c r="B492" s="5">
        <f t="shared" si="25"/>
        <v>24.259567387687188</v>
      </c>
      <c r="C492" s="6">
        <f t="shared" si="26"/>
        <v>32.904760214966757</v>
      </c>
      <c r="D492" s="6">
        <f t="shared" si="27"/>
        <v>798.2552478106744</v>
      </c>
    </row>
    <row r="493" spans="1:4" x14ac:dyDescent="0.15">
      <c r="A493" s="11">
        <v>487</v>
      </c>
      <c r="B493" s="5">
        <f t="shared" si="25"/>
        <v>24.309484193011645</v>
      </c>
      <c r="C493" s="6">
        <f t="shared" si="26"/>
        <v>32.806953864491646</v>
      </c>
      <c r="D493" s="6">
        <f t="shared" si="27"/>
        <v>797.52012638972201</v>
      </c>
    </row>
    <row r="494" spans="1:4" x14ac:dyDescent="0.15">
      <c r="A494" s="11">
        <v>488</v>
      </c>
      <c r="B494" s="5">
        <f t="shared" si="25"/>
        <v>24.359400998336106</v>
      </c>
      <c r="C494" s="6">
        <f t="shared" si="26"/>
        <v>32.709395192717487</v>
      </c>
      <c r="D494" s="6">
        <f t="shared" si="27"/>
        <v>796.78127391245255</v>
      </c>
    </row>
    <row r="495" spans="1:4" x14ac:dyDescent="0.15">
      <c r="A495" s="11">
        <v>489</v>
      </c>
      <c r="B495" s="5">
        <f t="shared" si="25"/>
        <v>24.409317803660564</v>
      </c>
      <c r="C495" s="6">
        <f t="shared" si="26"/>
        <v>32.61208396108011</v>
      </c>
      <c r="D495" s="6">
        <f t="shared" si="27"/>
        <v>796.03872164566587</v>
      </c>
    </row>
    <row r="496" spans="1:4" x14ac:dyDescent="0.15">
      <c r="A496" s="11">
        <v>490</v>
      </c>
      <c r="B496" s="5">
        <f t="shared" si="25"/>
        <v>24.459234608985025</v>
      </c>
      <c r="C496" s="6">
        <f t="shared" si="26"/>
        <v>32.515019926783005</v>
      </c>
      <c r="D496" s="6">
        <f t="shared" si="27"/>
        <v>795.29250070500859</v>
      </c>
    </row>
    <row r="497" spans="1:4" x14ac:dyDescent="0.15">
      <c r="A497" s="11">
        <v>491</v>
      </c>
      <c r="B497" s="5">
        <f t="shared" si="25"/>
        <v>24.509151414309482</v>
      </c>
      <c r="C497" s="6">
        <f t="shared" si="26"/>
        <v>32.418202842860687</v>
      </c>
      <c r="D497" s="6">
        <f t="shared" si="27"/>
        <v>794.54264205547065</v>
      </c>
    </row>
    <row r="498" spans="1:4" x14ac:dyDescent="0.15">
      <c r="A498" s="11">
        <v>492</v>
      </c>
      <c r="B498" s="5">
        <f t="shared" si="25"/>
        <v>24.559068219633943</v>
      </c>
      <c r="C498" s="6">
        <f t="shared" si="26"/>
        <v>32.321632458241311</v>
      </c>
      <c r="D498" s="6">
        <f t="shared" si="27"/>
        <v>793.78917651188306</v>
      </c>
    </row>
    <row r="499" spans="1:4" x14ac:dyDescent="0.15">
      <c r="A499" s="11">
        <v>493</v>
      </c>
      <c r="B499" s="5">
        <f t="shared" si="25"/>
        <v>24.6089850249584</v>
      </c>
      <c r="C499" s="6">
        <f t="shared" si="26"/>
        <v>32.225308517808443</v>
      </c>
      <c r="D499" s="6">
        <f t="shared" si="27"/>
        <v>793.03213473941241</v>
      </c>
    </row>
    <row r="500" spans="1:4" x14ac:dyDescent="0.15">
      <c r="A500" s="11">
        <v>494</v>
      </c>
      <c r="B500" s="5">
        <f t="shared" si="25"/>
        <v>24.658901830282861</v>
      </c>
      <c r="C500" s="6">
        <f t="shared" si="26"/>
        <v>32.129230762462221</v>
      </c>
      <c r="D500" s="6">
        <f t="shared" si="27"/>
        <v>792.27154725406012</v>
      </c>
    </row>
    <row r="501" spans="1:4" x14ac:dyDescent="0.15">
      <c r="A501" s="11">
        <v>495</v>
      </c>
      <c r="B501" s="5">
        <f t="shared" si="25"/>
        <v>24.708818635607319</v>
      </c>
      <c r="C501" s="6">
        <f t="shared" si="26"/>
        <v>32.033398929179668</v>
      </c>
      <c r="D501" s="6">
        <f t="shared" si="27"/>
        <v>791.50744442315806</v>
      </c>
    </row>
    <row r="502" spans="1:4" x14ac:dyDescent="0.15">
      <c r="A502" s="11">
        <v>496</v>
      </c>
      <c r="B502" s="5">
        <f t="shared" si="25"/>
        <v>24.75873544093178</v>
      </c>
      <c r="C502" s="6">
        <f t="shared" si="26"/>
        <v>31.937812751074357</v>
      </c>
      <c r="D502" s="6">
        <f t="shared" si="27"/>
        <v>790.73985646586755</v>
      </c>
    </row>
    <row r="503" spans="1:4" x14ac:dyDescent="0.15">
      <c r="A503" s="11">
        <v>497</v>
      </c>
      <c r="B503" s="5">
        <f t="shared" si="25"/>
        <v>24.808652246256237</v>
      </c>
      <c r="C503" s="6">
        <f t="shared" si="26"/>
        <v>31.842471957455338</v>
      </c>
      <c r="D503" s="6">
        <f t="shared" si="27"/>
        <v>789.96881345367558</v>
      </c>
    </row>
    <row r="504" spans="1:4" x14ac:dyDescent="0.15">
      <c r="A504" s="11">
        <v>498</v>
      </c>
      <c r="B504" s="5">
        <f t="shared" si="25"/>
        <v>24.858569051580698</v>
      </c>
      <c r="C504" s="6">
        <f t="shared" si="26"/>
        <v>31.747376273885347</v>
      </c>
      <c r="D504" s="6">
        <f t="shared" si="27"/>
        <v>789.1943453108936</v>
      </c>
    </row>
    <row r="505" spans="1:4" x14ac:dyDescent="0.15">
      <c r="A505" s="11">
        <v>499</v>
      </c>
      <c r="B505" s="5">
        <f t="shared" si="25"/>
        <v>24.908485856905155</v>
      </c>
      <c r="C505" s="6">
        <f t="shared" si="26"/>
        <v>31.652525422238323</v>
      </c>
      <c r="D505" s="6">
        <f t="shared" si="27"/>
        <v>788.41648181515416</v>
      </c>
    </row>
    <row r="506" spans="1:4" x14ac:dyDescent="0.15">
      <c r="A506" s="11">
        <v>500</v>
      </c>
      <c r="B506" s="5">
        <f t="shared" si="25"/>
        <v>24.958402662229616</v>
      </c>
      <c r="C506" s="6">
        <f t="shared" si="26"/>
        <v>31.557919120756267</v>
      </c>
      <c r="D506" s="6">
        <f t="shared" si="27"/>
        <v>787.63525259791015</v>
      </c>
    </row>
    <row r="507" spans="1:4" x14ac:dyDescent="0.15">
      <c r="A507" s="11">
        <v>501</v>
      </c>
      <c r="B507" s="5">
        <f t="shared" si="25"/>
        <v>25.008319467554074</v>
      </c>
      <c r="C507" s="6">
        <f t="shared" si="26"/>
        <v>31.463557084105378</v>
      </c>
      <c r="D507" s="6">
        <f t="shared" si="27"/>
        <v>786.85068714493138</v>
      </c>
    </row>
    <row r="508" spans="1:4" x14ac:dyDescent="0.15">
      <c r="A508" s="11">
        <v>502</v>
      </c>
      <c r="B508" s="5">
        <f t="shared" si="25"/>
        <v>25.058236272878535</v>
      </c>
      <c r="C508" s="6">
        <f t="shared" si="26"/>
        <v>31.369439023431525</v>
      </c>
      <c r="D508" s="6">
        <f t="shared" si="27"/>
        <v>786.0628147968032</v>
      </c>
    </row>
    <row r="509" spans="1:4" x14ac:dyDescent="0.15">
      <c r="A509" s="11">
        <v>503</v>
      </c>
      <c r="B509" s="5">
        <f t="shared" si="25"/>
        <v>25.108153078202992</v>
      </c>
      <c r="C509" s="6">
        <f t="shared" si="26"/>
        <v>31.275564646415106</v>
      </c>
      <c r="D509" s="6">
        <f t="shared" si="27"/>
        <v>785.27166474942408</v>
      </c>
    </row>
    <row r="510" spans="1:4" x14ac:dyDescent="0.15">
      <c r="A510" s="11">
        <v>504</v>
      </c>
      <c r="B510" s="5">
        <f t="shared" si="25"/>
        <v>25.158069883527453</v>
      </c>
      <c r="C510" s="6">
        <f t="shared" si="26"/>
        <v>31.181933657325178</v>
      </c>
      <c r="D510" s="6">
        <f t="shared" si="27"/>
        <v>784.47726605450362</v>
      </c>
    </row>
    <row r="511" spans="1:4" x14ac:dyDescent="0.15">
      <c r="A511" s="11">
        <v>505</v>
      </c>
      <c r="B511" s="5">
        <f t="shared" si="25"/>
        <v>25.207986688851911</v>
      </c>
      <c r="C511" s="6">
        <f t="shared" si="26"/>
        <v>31.088545757072996</v>
      </c>
      <c r="D511" s="6">
        <f t="shared" si="27"/>
        <v>783.67964762005965</v>
      </c>
    </row>
    <row r="512" spans="1:4" x14ac:dyDescent="0.15">
      <c r="A512" s="11">
        <v>506</v>
      </c>
      <c r="B512" s="5">
        <f t="shared" si="25"/>
        <v>25.257903494176372</v>
      </c>
      <c r="C512" s="6">
        <f t="shared" si="26"/>
        <v>30.995400643264876</v>
      </c>
      <c r="D512" s="6">
        <f t="shared" si="27"/>
        <v>782.87883821091646</v>
      </c>
    </row>
    <row r="513" spans="1:4" x14ac:dyDescent="0.15">
      <c r="A513" s="11">
        <v>507</v>
      </c>
      <c r="B513" s="5">
        <f t="shared" si="25"/>
        <v>25.307820299500829</v>
      </c>
      <c r="C513" s="6">
        <f t="shared" si="26"/>
        <v>30.902498010254465</v>
      </c>
      <c r="D513" s="6">
        <f t="shared" si="27"/>
        <v>782.07486644920198</v>
      </c>
    </row>
    <row r="514" spans="1:4" x14ac:dyDescent="0.15">
      <c r="A514" s="11">
        <v>508</v>
      </c>
      <c r="B514" s="5">
        <f t="shared" si="25"/>
        <v>25.35773710482529</v>
      </c>
      <c r="C514" s="6">
        <f t="shared" si="26"/>
        <v>30.809837549194352</v>
      </c>
      <c r="D514" s="6">
        <f t="shared" si="27"/>
        <v>781.26776081484513</v>
      </c>
    </row>
    <row r="515" spans="1:4" x14ac:dyDescent="0.15">
      <c r="A515" s="11">
        <v>509</v>
      </c>
      <c r="B515" s="5">
        <f t="shared" si="25"/>
        <v>25.407653910149747</v>
      </c>
      <c r="C515" s="6">
        <f t="shared" si="26"/>
        <v>30.717418948087069</v>
      </c>
      <c r="D515" s="6">
        <f t="shared" si="27"/>
        <v>780.45754964607238</v>
      </c>
    </row>
    <row r="516" spans="1:4" x14ac:dyDescent="0.15">
      <c r="A516" s="11">
        <v>510</v>
      </c>
      <c r="B516" s="5">
        <f t="shared" si="25"/>
        <v>25.457570715474208</v>
      </c>
      <c r="C516" s="6">
        <f t="shared" si="26"/>
        <v>30.625241891835522</v>
      </c>
      <c r="D516" s="6">
        <f t="shared" si="27"/>
        <v>779.64426113990589</v>
      </c>
    </row>
    <row r="517" spans="1:4" x14ac:dyDescent="0.15">
      <c r="A517" s="11">
        <v>511</v>
      </c>
      <c r="B517" s="5">
        <f t="shared" si="25"/>
        <v>25.507487520798666</v>
      </c>
      <c r="C517" s="6">
        <f t="shared" si="26"/>
        <v>30.53330606229277</v>
      </c>
      <c r="D517" s="6">
        <f t="shared" si="27"/>
        <v>778.82792335265913</v>
      </c>
    </row>
    <row r="518" spans="1:4" x14ac:dyDescent="0.15">
      <c r="A518" s="11">
        <v>512</v>
      </c>
      <c r="B518" s="5">
        <f t="shared" si="25"/>
        <v>25.557404326123127</v>
      </c>
      <c r="C518" s="6">
        <f t="shared" si="26"/>
        <v>30.441611138311213</v>
      </c>
      <c r="D518" s="6">
        <f t="shared" si="27"/>
        <v>778.00856420043294</v>
      </c>
    </row>
    <row r="519" spans="1:4" x14ac:dyDescent="0.15">
      <c r="A519" s="11">
        <v>513</v>
      </c>
      <c r="B519" s="5">
        <f t="shared" si="25"/>
        <v>25.607321131447588</v>
      </c>
      <c r="C519" s="6">
        <f t="shared" si="26"/>
        <v>30.350156795791261</v>
      </c>
      <c r="D519" s="6">
        <f t="shared" si="27"/>
        <v>777.18621145961311</v>
      </c>
    </row>
    <row r="520" spans="1:4" x14ac:dyDescent="0.15">
      <c r="A520" s="11">
        <v>514</v>
      </c>
      <c r="B520" s="5">
        <f t="shared" si="25"/>
        <v>25.657237936772045</v>
      </c>
      <c r="C520" s="6">
        <f t="shared" si="26"/>
        <v>30.258942707729339</v>
      </c>
      <c r="D520" s="6">
        <f t="shared" si="27"/>
        <v>776.36089276736504</v>
      </c>
    </row>
    <row r="521" spans="1:4" x14ac:dyDescent="0.15">
      <c r="A521" s="11">
        <v>515</v>
      </c>
      <c r="B521" s="5">
        <f t="shared" si="25"/>
        <v>25.707154742096506</v>
      </c>
      <c r="C521" s="6">
        <f t="shared" si="26"/>
        <v>30.167968544265339</v>
      </c>
      <c r="D521" s="6">
        <f t="shared" si="27"/>
        <v>775.53263562212896</v>
      </c>
    </row>
    <row r="522" spans="1:4" x14ac:dyDescent="0.15">
      <c r="A522" s="11">
        <v>516</v>
      </c>
      <c r="B522" s="5">
        <f t="shared" si="25"/>
        <v>25.757071547420963</v>
      </c>
      <c r="C522" s="6">
        <f t="shared" si="26"/>
        <v>30.077233972729591</v>
      </c>
      <c r="D522" s="6">
        <f t="shared" si="27"/>
        <v>774.70146738411654</v>
      </c>
    </row>
    <row r="523" spans="1:4" x14ac:dyDescent="0.15">
      <c r="A523" s="11">
        <v>517</v>
      </c>
      <c r="B523" s="5">
        <f t="shared" si="25"/>
        <v>25.806988352745424</v>
      </c>
      <c r="C523" s="6">
        <f t="shared" si="26"/>
        <v>29.986738657689123</v>
      </c>
      <c r="D523" s="6">
        <f t="shared" si="27"/>
        <v>773.86741527580421</v>
      </c>
    </row>
    <row r="524" spans="1:4" x14ac:dyDescent="0.15">
      <c r="A524" s="11">
        <v>518</v>
      </c>
      <c r="B524" s="5">
        <f t="shared" si="25"/>
        <v>25.856905158069882</v>
      </c>
      <c r="C524" s="6">
        <f t="shared" si="26"/>
        <v>29.89648226099353</v>
      </c>
      <c r="D524" s="6">
        <f t="shared" si="27"/>
        <v>773.03050638242837</v>
      </c>
    </row>
    <row r="525" spans="1:4" x14ac:dyDescent="0.15">
      <c r="A525" s="11">
        <v>519</v>
      </c>
      <c r="B525" s="5">
        <f t="shared" si="25"/>
        <v>25.906821963394343</v>
      </c>
      <c r="C525" s="6">
        <f t="shared" si="26"/>
        <v>29.806464441820147</v>
      </c>
      <c r="D525" s="6">
        <f t="shared" si="27"/>
        <v>772.19076765247871</v>
      </c>
    </row>
    <row r="526" spans="1:4" x14ac:dyDescent="0.15">
      <c r="A526" s="11">
        <v>520</v>
      </c>
      <c r="B526" s="5">
        <f t="shared" si="25"/>
        <v>25.9567387687188</v>
      </c>
      <c r="C526" s="6">
        <f t="shared" si="26"/>
        <v>29.716684856718846</v>
      </c>
      <c r="D526" s="6">
        <f t="shared" si="27"/>
        <v>771.34822589819294</v>
      </c>
    </row>
    <row r="527" spans="1:4" x14ac:dyDescent="0.15">
      <c r="A527" s="11">
        <v>521</v>
      </c>
      <c r="B527" s="5">
        <f t="shared" si="25"/>
        <v>26.006655574043261</v>
      </c>
      <c r="C527" s="6">
        <f t="shared" si="26"/>
        <v>29.627143159656114</v>
      </c>
      <c r="D527" s="6">
        <f t="shared" si="27"/>
        <v>770.50290779604836</v>
      </c>
    </row>
    <row r="528" spans="1:4" x14ac:dyDescent="0.15">
      <c r="A528" s="11">
        <v>522</v>
      </c>
      <c r="B528" s="5">
        <f t="shared" ref="B528:B591" si="28">$B$1/$B$2*A528</f>
        <v>26.056572379367719</v>
      </c>
      <c r="C528" s="6">
        <f t="shared" ref="C528:C591" si="29">200*(B528/(5+B528))*EXP(-2*B528/$B$1)</f>
        <v>29.537839002058799</v>
      </c>
      <c r="D528" s="6">
        <f t="shared" ref="D528:D591" si="30">B528*C528</f>
        <v>769.65483988725589</v>
      </c>
    </row>
    <row r="529" spans="1:4" x14ac:dyDescent="0.15">
      <c r="A529" s="11">
        <v>523</v>
      </c>
      <c r="B529" s="5">
        <f t="shared" si="28"/>
        <v>26.10648918469218</v>
      </c>
      <c r="C529" s="6">
        <f t="shared" si="29"/>
        <v>29.448772032857164</v>
      </c>
      <c r="D529" s="6">
        <f t="shared" si="30"/>
        <v>768.80404857825113</v>
      </c>
    </row>
    <row r="530" spans="1:4" x14ac:dyDescent="0.15">
      <c r="A530" s="11">
        <v>524</v>
      </c>
      <c r="B530" s="5">
        <f t="shared" si="28"/>
        <v>26.156405990016637</v>
      </c>
      <c r="C530" s="6">
        <f t="shared" si="29"/>
        <v>29.359941898527559</v>
      </c>
      <c r="D530" s="6">
        <f t="shared" si="30"/>
        <v>767.95056014118666</v>
      </c>
    </row>
    <row r="531" spans="1:4" x14ac:dyDescent="0.15">
      <c r="A531" s="11">
        <v>525</v>
      </c>
      <c r="B531" s="5">
        <f t="shared" si="28"/>
        <v>26.206322795341098</v>
      </c>
      <c r="C531" s="6">
        <f t="shared" si="29"/>
        <v>29.271348243134486</v>
      </c>
      <c r="D531" s="6">
        <f t="shared" si="30"/>
        <v>767.09440071442293</v>
      </c>
    </row>
    <row r="532" spans="1:4" x14ac:dyDescent="0.15">
      <c r="A532" s="11">
        <v>526</v>
      </c>
      <c r="B532" s="5">
        <f t="shared" si="28"/>
        <v>26.256239600665555</v>
      </c>
      <c r="C532" s="6">
        <f t="shared" si="29"/>
        <v>29.182990708372298</v>
      </c>
      <c r="D532" s="6">
        <f t="shared" si="30"/>
        <v>766.23559630301963</v>
      </c>
    </row>
    <row r="533" spans="1:4" x14ac:dyDescent="0.15">
      <c r="A533" s="11">
        <v>527</v>
      </c>
      <c r="B533" s="5">
        <f t="shared" si="28"/>
        <v>26.306156405990016</v>
      </c>
      <c r="C533" s="6">
        <f t="shared" si="29"/>
        <v>29.094868933606158</v>
      </c>
      <c r="D533" s="6">
        <f t="shared" si="30"/>
        <v>765.3741727792235</v>
      </c>
    </row>
    <row r="534" spans="1:4" x14ac:dyDescent="0.15">
      <c r="A534" s="11">
        <v>528</v>
      </c>
      <c r="B534" s="5">
        <f t="shared" si="28"/>
        <v>26.356073211314474</v>
      </c>
      <c r="C534" s="6">
        <f t="shared" si="29"/>
        <v>29.006982555912867</v>
      </c>
      <c r="D534" s="6">
        <f t="shared" si="30"/>
        <v>764.51015588296139</v>
      </c>
    </row>
    <row r="535" spans="1:4" x14ac:dyDescent="0.15">
      <c r="A535" s="11">
        <v>529</v>
      </c>
      <c r="B535" s="5">
        <f t="shared" si="28"/>
        <v>26.405990016638935</v>
      </c>
      <c r="C535" s="6">
        <f t="shared" si="29"/>
        <v>28.919331210120809</v>
      </c>
      <c r="D535" s="6">
        <f t="shared" si="30"/>
        <v>763.64357122232491</v>
      </c>
    </row>
    <row r="536" spans="1:4" x14ac:dyDescent="0.15">
      <c r="A536" s="11">
        <v>530</v>
      </c>
      <c r="B536" s="5">
        <f t="shared" si="28"/>
        <v>26.455906821963392</v>
      </c>
      <c r="C536" s="6">
        <f t="shared" si="29"/>
        <v>28.83191452884979</v>
      </c>
      <c r="D536" s="6">
        <f t="shared" si="30"/>
        <v>762.7744442740626</v>
      </c>
    </row>
    <row r="537" spans="1:4" x14ac:dyDescent="0.15">
      <c r="A537" s="11">
        <v>531</v>
      </c>
      <c r="B537" s="5">
        <f t="shared" si="28"/>
        <v>26.505823627287853</v>
      </c>
      <c r="C537" s="6">
        <f t="shared" si="29"/>
        <v>28.744732142550067</v>
      </c>
      <c r="D537" s="6">
        <f t="shared" si="30"/>
        <v>761.90280038406411</v>
      </c>
    </row>
    <row r="538" spans="1:4" x14ac:dyDescent="0.15">
      <c r="A538" s="11">
        <v>532</v>
      </c>
      <c r="B538" s="5">
        <f t="shared" si="28"/>
        <v>26.555740432612311</v>
      </c>
      <c r="C538" s="6">
        <f t="shared" si="29"/>
        <v>28.657783679541247</v>
      </c>
      <c r="D538" s="6">
        <f t="shared" si="30"/>
        <v>761.02866476785073</v>
      </c>
    </row>
    <row r="539" spans="1:4" x14ac:dyDescent="0.15">
      <c r="A539" s="11">
        <v>533</v>
      </c>
      <c r="B539" s="5">
        <f t="shared" si="28"/>
        <v>26.605657237936772</v>
      </c>
      <c r="C539" s="6">
        <f t="shared" si="29"/>
        <v>28.571068766050399</v>
      </c>
      <c r="D539" s="6">
        <f t="shared" si="30"/>
        <v>760.15206251105803</v>
      </c>
    </row>
    <row r="540" spans="1:4" x14ac:dyDescent="0.15">
      <c r="A540" s="11">
        <v>534</v>
      </c>
      <c r="B540" s="5">
        <f t="shared" si="28"/>
        <v>26.655574043261229</v>
      </c>
      <c r="C540" s="6">
        <f t="shared" si="29"/>
        <v>28.484587026250001</v>
      </c>
      <c r="D540" s="6">
        <f t="shared" si="30"/>
        <v>759.27301856992506</v>
      </c>
    </row>
    <row r="541" spans="1:4" x14ac:dyDescent="0.15">
      <c r="A541" s="11">
        <v>535</v>
      </c>
      <c r="B541" s="5">
        <f t="shared" si="28"/>
        <v>26.70549084858569</v>
      </c>
      <c r="C541" s="6">
        <f t="shared" si="29"/>
        <v>28.398338082295165</v>
      </c>
      <c r="D541" s="6">
        <f t="shared" si="30"/>
        <v>758.39155777177598</v>
      </c>
    </row>
    <row r="542" spans="1:4" x14ac:dyDescent="0.15">
      <c r="A542" s="11">
        <v>536</v>
      </c>
      <c r="B542" s="5">
        <f t="shared" si="28"/>
        <v>26.755407653910147</v>
      </c>
      <c r="C542" s="6">
        <f t="shared" si="29"/>
        <v>28.312321554360711</v>
      </c>
      <c r="D542" s="6">
        <f t="shared" si="30"/>
        <v>757.50770481550785</v>
      </c>
    </row>
    <row r="543" spans="1:4" x14ac:dyDescent="0.15">
      <c r="A543" s="11">
        <v>537</v>
      </c>
      <c r="B543" s="5">
        <f t="shared" si="28"/>
        <v>26.805324459234608</v>
      </c>
      <c r="C543" s="6">
        <f t="shared" si="29"/>
        <v>28.226537060677487</v>
      </c>
      <c r="D543" s="6">
        <f t="shared" si="30"/>
        <v>756.62148427207035</v>
      </c>
    </row>
    <row r="544" spans="1:4" x14ac:dyDescent="0.15">
      <c r="A544" s="11">
        <v>538</v>
      </c>
      <c r="B544" s="5">
        <f t="shared" si="28"/>
        <v>26.855241264559066</v>
      </c>
      <c r="C544" s="6">
        <f t="shared" si="29"/>
        <v>28.140984217568551</v>
      </c>
      <c r="D544" s="6">
        <f t="shared" si="30"/>
        <v>755.73292058495235</v>
      </c>
    </row>
    <row r="545" spans="1:4" x14ac:dyDescent="0.15">
      <c r="A545" s="11">
        <v>539</v>
      </c>
      <c r="B545" s="5">
        <f t="shared" si="28"/>
        <v>26.905158069883527</v>
      </c>
      <c r="C545" s="6">
        <f t="shared" si="29"/>
        <v>28.055662639484684</v>
      </c>
      <c r="D545" s="6">
        <f t="shared" si="30"/>
        <v>754.84203807066115</v>
      </c>
    </row>
    <row r="546" spans="1:4" x14ac:dyDescent="0.15">
      <c r="A546" s="11">
        <v>540</v>
      </c>
      <c r="B546" s="5">
        <f t="shared" si="28"/>
        <v>26.955074875207984</v>
      </c>
      <c r="C546" s="6">
        <f t="shared" si="29"/>
        <v>27.970571939039672</v>
      </c>
      <c r="D546" s="6">
        <f t="shared" si="30"/>
        <v>753.94886091920569</v>
      </c>
    </row>
    <row r="547" spans="1:4" x14ac:dyDescent="0.15">
      <c r="A547" s="11">
        <v>541</v>
      </c>
      <c r="B547" s="5">
        <f t="shared" si="28"/>
        <v>27.004991680532445</v>
      </c>
      <c r="C547" s="6">
        <f t="shared" si="29"/>
        <v>27.885711727044971</v>
      </c>
      <c r="D547" s="6">
        <f t="shared" si="30"/>
        <v>753.05341319457546</v>
      </c>
    </row>
    <row r="548" spans="1:4" x14ac:dyDescent="0.15">
      <c r="A548" s="11">
        <v>542</v>
      </c>
      <c r="B548" s="5">
        <f t="shared" si="28"/>
        <v>27.054908485856902</v>
      </c>
      <c r="C548" s="6">
        <f t="shared" si="29"/>
        <v>27.801081612544206</v>
      </c>
      <c r="D548" s="6">
        <f t="shared" si="30"/>
        <v>752.1557188352225</v>
      </c>
    </row>
    <row r="549" spans="1:4" x14ac:dyDescent="0.15">
      <c r="A549" s="11">
        <v>543</v>
      </c>
      <c r="B549" s="5">
        <f t="shared" si="28"/>
        <v>27.104825291181363</v>
      </c>
      <c r="C549" s="6">
        <f t="shared" si="29"/>
        <v>27.716681202846967</v>
      </c>
      <c r="D549" s="6">
        <f t="shared" si="30"/>
        <v>751.25580165453755</v>
      </c>
    </row>
    <row r="550" spans="1:4" x14ac:dyDescent="0.15">
      <c r="A550" s="11">
        <v>544</v>
      </c>
      <c r="B550" s="5">
        <f t="shared" si="28"/>
        <v>27.154742096505821</v>
      </c>
      <c r="C550" s="6">
        <f t="shared" si="29"/>
        <v>27.63251010356252</v>
      </c>
      <c r="D550" s="6">
        <f t="shared" si="30"/>
        <v>750.35368534133158</v>
      </c>
    </row>
    <row r="551" spans="1:4" x14ac:dyDescent="0.15">
      <c r="A551" s="11">
        <v>545</v>
      </c>
      <c r="B551" s="5">
        <f t="shared" si="28"/>
        <v>27.204658901830282</v>
      </c>
      <c r="C551" s="6">
        <f t="shared" si="29"/>
        <v>27.548567918632791</v>
      </c>
      <c r="D551" s="6">
        <f t="shared" si="30"/>
        <v>749.44939346030969</v>
      </c>
    </row>
    <row r="552" spans="1:4" x14ac:dyDescent="0.15">
      <c r="A552" s="11">
        <v>546</v>
      </c>
      <c r="B552" s="5">
        <f t="shared" si="28"/>
        <v>27.254575707154739</v>
      </c>
      <c r="C552" s="6">
        <f t="shared" si="29"/>
        <v>27.464854250365267</v>
      </c>
      <c r="D552" s="6">
        <f t="shared" si="30"/>
        <v>748.54294945255083</v>
      </c>
    </row>
    <row r="553" spans="1:4" x14ac:dyDescent="0.15">
      <c r="A553" s="11">
        <v>547</v>
      </c>
      <c r="B553" s="5">
        <f t="shared" si="28"/>
        <v>27.3044925124792</v>
      </c>
      <c r="C553" s="6">
        <f t="shared" si="29"/>
        <v>27.381368699465224</v>
      </c>
      <c r="D553" s="6">
        <f t="shared" si="30"/>
        <v>747.63437663598052</v>
      </c>
    </row>
    <row r="554" spans="1:4" x14ac:dyDescent="0.15">
      <c r="A554" s="11">
        <v>548</v>
      </c>
      <c r="B554" s="5">
        <f t="shared" si="28"/>
        <v>27.354409317803658</v>
      </c>
      <c r="C554" s="6">
        <f t="shared" si="29"/>
        <v>27.298110865067837</v>
      </c>
      <c r="D554" s="6">
        <f t="shared" si="30"/>
        <v>746.7236982058489</v>
      </c>
    </row>
    <row r="555" spans="1:4" x14ac:dyDescent="0.15">
      <c r="A555" s="11">
        <v>549</v>
      </c>
      <c r="B555" s="5">
        <f t="shared" si="28"/>
        <v>27.404326123128119</v>
      </c>
      <c r="C555" s="6">
        <f t="shared" si="29"/>
        <v>27.215080344769635</v>
      </c>
      <c r="D555" s="6">
        <f t="shared" si="30"/>
        <v>745.8109372352011</v>
      </c>
    </row>
    <row r="556" spans="1:4" x14ac:dyDescent="0.15">
      <c r="A556" s="11">
        <v>550</v>
      </c>
      <c r="B556" s="5">
        <f t="shared" si="28"/>
        <v>27.454242928452576</v>
      </c>
      <c r="C556" s="6">
        <f t="shared" si="29"/>
        <v>27.132276734659868</v>
      </c>
      <c r="D556" s="6">
        <f t="shared" si="30"/>
        <v>744.89611667535405</v>
      </c>
    </row>
    <row r="557" spans="1:4" x14ac:dyDescent="0.15">
      <c r="A557" s="11">
        <v>551</v>
      </c>
      <c r="B557" s="5">
        <f t="shared" si="28"/>
        <v>27.504159733777037</v>
      </c>
      <c r="C557" s="6">
        <f t="shared" si="29"/>
        <v>27.04969962935121</v>
      </c>
      <c r="D557" s="6">
        <f t="shared" si="30"/>
        <v>743.97925935636522</v>
      </c>
    </row>
    <row r="558" spans="1:4" x14ac:dyDescent="0.15">
      <c r="A558" s="11">
        <v>552</v>
      </c>
      <c r="B558" s="5">
        <f t="shared" si="28"/>
        <v>27.554076539101494</v>
      </c>
      <c r="C558" s="6">
        <f t="shared" si="29"/>
        <v>26.967348622010377</v>
      </c>
      <c r="D558" s="6">
        <f t="shared" si="30"/>
        <v>743.06038798750717</v>
      </c>
    </row>
    <row r="559" spans="1:4" x14ac:dyDescent="0.15">
      <c r="A559" s="11">
        <v>553</v>
      </c>
      <c r="B559" s="5">
        <f t="shared" si="28"/>
        <v>27.603993344425955</v>
      </c>
      <c r="C559" s="6">
        <f t="shared" si="29"/>
        <v>26.88522330438812</v>
      </c>
      <c r="D559" s="6">
        <f t="shared" si="30"/>
        <v>742.13952515773531</v>
      </c>
    </row>
    <row r="560" spans="1:4" x14ac:dyDescent="0.15">
      <c r="A560" s="11">
        <v>554</v>
      </c>
      <c r="B560" s="5">
        <f t="shared" si="28"/>
        <v>27.653910149750413</v>
      </c>
      <c r="C560" s="6">
        <f t="shared" si="29"/>
        <v>26.80332326684908</v>
      </c>
      <c r="D560" s="6">
        <f t="shared" si="30"/>
        <v>741.21669333615921</v>
      </c>
    </row>
    <row r="561" spans="1:4" x14ac:dyDescent="0.15">
      <c r="A561" s="11">
        <v>555</v>
      </c>
      <c r="B561" s="5">
        <f t="shared" si="28"/>
        <v>27.703826955074874</v>
      </c>
      <c r="C561" s="6">
        <f t="shared" si="29"/>
        <v>26.721648098401101</v>
      </c>
      <c r="D561" s="6">
        <f t="shared" si="30"/>
        <v>740.29191487250966</v>
      </c>
    </row>
    <row r="562" spans="1:4" x14ac:dyDescent="0.15">
      <c r="A562" s="11">
        <v>556</v>
      </c>
      <c r="B562" s="5">
        <f t="shared" si="28"/>
        <v>27.753743760399335</v>
      </c>
      <c r="C562" s="6">
        <f t="shared" si="29"/>
        <v>26.640197386724374</v>
      </c>
      <c r="D562" s="6">
        <f t="shared" si="30"/>
        <v>739.3652119976083</v>
      </c>
    </row>
    <row r="563" spans="1:4" x14ac:dyDescent="0.15">
      <c r="A563" s="11">
        <v>557</v>
      </c>
      <c r="B563" s="5">
        <f t="shared" si="28"/>
        <v>27.803660565723792</v>
      </c>
      <c r="C563" s="6">
        <f t="shared" si="29"/>
        <v>26.558970718200058</v>
      </c>
      <c r="D563" s="6">
        <f t="shared" si="30"/>
        <v>738.43660682383188</v>
      </c>
    </row>
    <row r="564" spans="1:4" x14ac:dyDescent="0.15">
      <c r="A564" s="11">
        <v>558</v>
      </c>
      <c r="B564" s="5">
        <f t="shared" si="28"/>
        <v>27.853577371048253</v>
      </c>
      <c r="C564" s="6">
        <f t="shared" si="29"/>
        <v>26.477967677938672</v>
      </c>
      <c r="D564" s="6">
        <f t="shared" si="30"/>
        <v>737.50612134557969</v>
      </c>
    </row>
    <row r="565" spans="1:4" x14ac:dyDescent="0.15">
      <c r="A565" s="11">
        <v>559</v>
      </c>
      <c r="B565" s="5">
        <f t="shared" si="28"/>
        <v>27.90349417637271</v>
      </c>
      <c r="C565" s="6">
        <f t="shared" si="29"/>
        <v>26.397187849808155</v>
      </c>
      <c r="D565" s="6">
        <f t="shared" si="30"/>
        <v>736.57377743973836</v>
      </c>
    </row>
    <row r="566" spans="1:4" x14ac:dyDescent="0.15">
      <c r="A566" s="11">
        <v>560</v>
      </c>
      <c r="B566" s="5">
        <f t="shared" si="28"/>
        <v>27.953410981697171</v>
      </c>
      <c r="C566" s="6">
        <f t="shared" si="29"/>
        <v>26.316630816461483</v>
      </c>
      <c r="D566" s="6">
        <f t="shared" si="30"/>
        <v>735.63959686614464</v>
      </c>
    </row>
    <row r="567" spans="1:4" x14ac:dyDescent="0.15">
      <c r="A567" s="11">
        <v>561</v>
      </c>
      <c r="B567" s="5">
        <f t="shared" si="28"/>
        <v>28.003327787021629</v>
      </c>
      <c r="C567" s="6">
        <f t="shared" si="29"/>
        <v>26.236296159364073</v>
      </c>
      <c r="D567" s="6">
        <f t="shared" si="30"/>
        <v>734.70360126804883</v>
      </c>
    </row>
    <row r="568" spans="1:4" x14ac:dyDescent="0.15">
      <c r="A568" s="11">
        <v>562</v>
      </c>
      <c r="B568" s="5">
        <f t="shared" si="28"/>
        <v>28.05324459234609</v>
      </c>
      <c r="C568" s="6">
        <f t="shared" si="29"/>
        <v>26.156183458820806</v>
      </c>
      <c r="D568" s="6">
        <f t="shared" si="30"/>
        <v>733.76581217257706</v>
      </c>
    </row>
    <row r="569" spans="1:4" x14ac:dyDescent="0.15">
      <c r="A569" s="11">
        <v>563</v>
      </c>
      <c r="B569" s="5">
        <f t="shared" si="28"/>
        <v>28.103161397670547</v>
      </c>
      <c r="C569" s="6">
        <f t="shared" si="29"/>
        <v>26.076292294002705</v>
      </c>
      <c r="D569" s="6">
        <f t="shared" si="30"/>
        <v>732.82625099119082</v>
      </c>
    </row>
    <row r="570" spans="1:4" x14ac:dyDescent="0.15">
      <c r="A570" s="11">
        <v>564</v>
      </c>
      <c r="B570" s="5">
        <f t="shared" si="28"/>
        <v>28.153078202995008</v>
      </c>
      <c r="C570" s="6">
        <f t="shared" si="29"/>
        <v>25.996622242973352</v>
      </c>
      <c r="D570" s="6">
        <f t="shared" si="30"/>
        <v>731.88493902014829</v>
      </c>
    </row>
    <row r="571" spans="1:4" x14ac:dyDescent="0.15">
      <c r="A571" s="11">
        <v>565</v>
      </c>
      <c r="B571" s="5">
        <f t="shared" si="28"/>
        <v>28.202995008319466</v>
      </c>
      <c r="C571" s="6">
        <f t="shared" si="29"/>
        <v>25.917172882714933</v>
      </c>
      <c r="D571" s="6">
        <f t="shared" si="30"/>
        <v>730.94189744096184</v>
      </c>
    </row>
    <row r="572" spans="1:4" x14ac:dyDescent="0.15">
      <c r="A572" s="11">
        <v>566</v>
      </c>
      <c r="B572" s="5">
        <f t="shared" si="28"/>
        <v>28.252911813643927</v>
      </c>
      <c r="C572" s="6">
        <f t="shared" si="29"/>
        <v>25.837943789154007</v>
      </c>
      <c r="D572" s="6">
        <f t="shared" si="30"/>
        <v>729.99714732085693</v>
      </c>
    </row>
    <row r="573" spans="1:4" x14ac:dyDescent="0.15">
      <c r="A573" s="11">
        <v>567</v>
      </c>
      <c r="B573" s="5">
        <f t="shared" si="28"/>
        <v>28.302828618968384</v>
      </c>
      <c r="C573" s="6">
        <f t="shared" si="29"/>
        <v>25.758934537186967</v>
      </c>
      <c r="D573" s="6">
        <f t="shared" si="30"/>
        <v>729.05070961322838</v>
      </c>
    </row>
    <row r="574" spans="1:4" x14ac:dyDescent="0.15">
      <c r="A574" s="11">
        <v>568</v>
      </c>
      <c r="B574" s="5">
        <f t="shared" si="28"/>
        <v>28.352745424292845</v>
      </c>
      <c r="C574" s="6">
        <f t="shared" si="29"/>
        <v>25.680144700705142</v>
      </c>
      <c r="D574" s="6">
        <f t="shared" si="30"/>
        <v>728.10260515809591</v>
      </c>
    </row>
    <row r="575" spans="1:4" x14ac:dyDescent="0.15">
      <c r="A575" s="11">
        <v>569</v>
      </c>
      <c r="B575" s="5">
        <f t="shared" si="28"/>
        <v>28.402662229617302</v>
      </c>
      <c r="C575" s="6">
        <f t="shared" si="29"/>
        <v>25.601573852619676</v>
      </c>
      <c r="D575" s="6">
        <f t="shared" si="30"/>
        <v>727.15285468255877</v>
      </c>
    </row>
    <row r="576" spans="1:4" x14ac:dyDescent="0.15">
      <c r="A576" s="11">
        <v>570</v>
      </c>
      <c r="B576" s="5">
        <f t="shared" si="28"/>
        <v>28.452579034941763</v>
      </c>
      <c r="C576" s="6">
        <f t="shared" si="29"/>
        <v>25.523221564886075</v>
      </c>
      <c r="D576" s="6">
        <f t="shared" si="30"/>
        <v>726.20147880125103</v>
      </c>
    </row>
    <row r="577" spans="1:4" x14ac:dyDescent="0.15">
      <c r="A577" s="11">
        <v>571</v>
      </c>
      <c r="B577" s="5">
        <f t="shared" si="28"/>
        <v>28.502495840266221</v>
      </c>
      <c r="C577" s="6">
        <f t="shared" si="29"/>
        <v>25.445087408528394</v>
      </c>
      <c r="D577" s="6">
        <f t="shared" si="30"/>
        <v>725.2484980167909</v>
      </c>
    </row>
    <row r="578" spans="1:4" x14ac:dyDescent="0.15">
      <c r="A578" s="11">
        <v>572</v>
      </c>
      <c r="B578" s="5">
        <f t="shared" si="28"/>
        <v>28.552412645590682</v>
      </c>
      <c r="C578" s="6">
        <f t="shared" si="29"/>
        <v>25.367170953663269</v>
      </c>
      <c r="D578" s="6">
        <f t="shared" si="30"/>
        <v>724.29393272023572</v>
      </c>
    </row>
    <row r="579" spans="1:4" x14ac:dyDescent="0.15">
      <c r="A579" s="11">
        <v>573</v>
      </c>
      <c r="B579" s="5">
        <f t="shared" si="28"/>
        <v>28.602329450915139</v>
      </c>
      <c r="C579" s="6">
        <f t="shared" si="29"/>
        <v>25.289471769523534</v>
      </c>
      <c r="D579" s="6">
        <f t="shared" si="30"/>
        <v>723.33780319152993</v>
      </c>
    </row>
    <row r="580" spans="1:4" x14ac:dyDescent="0.15">
      <c r="A580" s="11">
        <v>574</v>
      </c>
      <c r="B580" s="5">
        <f t="shared" si="28"/>
        <v>28.6522462562396</v>
      </c>
      <c r="C580" s="6">
        <f t="shared" si="29"/>
        <v>25.211989424481626</v>
      </c>
      <c r="D580" s="6">
        <f t="shared" si="30"/>
        <v>722.38012959995604</v>
      </c>
    </row>
    <row r="581" spans="1:4" x14ac:dyDescent="0.15">
      <c r="A581" s="11">
        <v>575</v>
      </c>
      <c r="B581" s="5">
        <f t="shared" si="28"/>
        <v>28.702163061564058</v>
      </c>
      <c r="C581" s="6">
        <f t="shared" si="29"/>
        <v>25.134723486072691</v>
      </c>
      <c r="D581" s="6">
        <f t="shared" si="30"/>
        <v>721.42093200458214</v>
      </c>
    </row>
    <row r="582" spans="1:4" x14ac:dyDescent="0.15">
      <c r="A582" s="11">
        <v>576</v>
      </c>
      <c r="B582" s="5">
        <f t="shared" si="28"/>
        <v>28.752079866888518</v>
      </c>
      <c r="C582" s="6">
        <f t="shared" si="29"/>
        <v>25.057673521017371</v>
      </c>
      <c r="D582" s="6">
        <f t="shared" si="30"/>
        <v>720.4602303547091</v>
      </c>
    </row>
    <row r="583" spans="1:4" x14ac:dyDescent="0.15">
      <c r="A583" s="11">
        <v>577</v>
      </c>
      <c r="B583" s="5">
        <f t="shared" si="28"/>
        <v>28.801996672212976</v>
      </c>
      <c r="C583" s="6">
        <f t="shared" si="29"/>
        <v>24.980839095244399</v>
      </c>
      <c r="D583" s="6">
        <f t="shared" si="30"/>
        <v>719.49804449031694</v>
      </c>
    </row>
    <row r="584" spans="1:4" x14ac:dyDescent="0.15">
      <c r="A584" s="11">
        <v>578</v>
      </c>
      <c r="B584" s="5">
        <f t="shared" si="28"/>
        <v>28.851913477537437</v>
      </c>
      <c r="C584" s="6">
        <f t="shared" si="29"/>
        <v>24.904219773912864</v>
      </c>
      <c r="D584" s="6">
        <f t="shared" si="30"/>
        <v>718.53439414251091</v>
      </c>
    </row>
    <row r="585" spans="1:4" x14ac:dyDescent="0.15">
      <c r="A585" s="11">
        <v>579</v>
      </c>
      <c r="B585" s="5">
        <f t="shared" si="28"/>
        <v>28.901830282861894</v>
      </c>
      <c r="C585" s="6">
        <f t="shared" si="29"/>
        <v>24.827815121434167</v>
      </c>
      <c r="D585" s="6">
        <f t="shared" si="30"/>
        <v>717.5692989339625</v>
      </c>
    </row>
    <row r="586" spans="1:4" x14ac:dyDescent="0.15">
      <c r="A586" s="11">
        <v>580</v>
      </c>
      <c r="B586" s="5">
        <f t="shared" si="28"/>
        <v>28.951747088186355</v>
      </c>
      <c r="C586" s="6">
        <f t="shared" si="29"/>
        <v>24.751624701493828</v>
      </c>
      <c r="D586" s="6">
        <f t="shared" si="30"/>
        <v>716.60277837935541</v>
      </c>
    </row>
    <row r="587" spans="1:4" x14ac:dyDescent="0.15">
      <c r="A587" s="11">
        <v>581</v>
      </c>
      <c r="B587" s="5">
        <f t="shared" si="28"/>
        <v>29.001663893510813</v>
      </c>
      <c r="C587" s="6">
        <f t="shared" si="29"/>
        <v>24.675648077072932</v>
      </c>
      <c r="D587" s="6">
        <f t="shared" si="30"/>
        <v>715.63485188582558</v>
      </c>
    </row>
    <row r="588" spans="1:4" x14ac:dyDescent="0.15">
      <c r="A588" s="11">
        <v>582</v>
      </c>
      <c r="B588" s="5">
        <f t="shared" si="28"/>
        <v>29.051580698835274</v>
      </c>
      <c r="C588" s="6">
        <f t="shared" si="29"/>
        <v>24.599884810469351</v>
      </c>
      <c r="D588" s="6">
        <f t="shared" si="30"/>
        <v>714.66553875340242</v>
      </c>
    </row>
    <row r="589" spans="1:4" x14ac:dyDescent="0.15">
      <c r="A589" s="11">
        <v>583</v>
      </c>
      <c r="B589" s="5">
        <f t="shared" si="28"/>
        <v>29.101497504159731</v>
      </c>
      <c r="C589" s="6">
        <f t="shared" si="29"/>
        <v>24.524334463318716</v>
      </c>
      <c r="D589" s="6">
        <f t="shared" si="30"/>
        <v>713.69485817544808</v>
      </c>
    </row>
    <row r="590" spans="1:4" x14ac:dyDescent="0.15">
      <c r="A590" s="11">
        <v>584</v>
      </c>
      <c r="B590" s="5">
        <f t="shared" si="28"/>
        <v>29.151414309484192</v>
      </c>
      <c r="C590" s="6">
        <f t="shared" si="29"/>
        <v>24.448996596615089</v>
      </c>
      <c r="D590" s="6">
        <f t="shared" si="30"/>
        <v>712.7228292390954</v>
      </c>
    </row>
    <row r="591" spans="1:4" x14ac:dyDescent="0.15">
      <c r="A591" s="11">
        <v>585</v>
      </c>
      <c r="B591" s="5">
        <f t="shared" si="28"/>
        <v>29.201331114808649</v>
      </c>
      <c r="C591" s="6">
        <f t="shared" si="29"/>
        <v>24.373870770731472</v>
      </c>
      <c r="D591" s="6">
        <f t="shared" si="30"/>
        <v>711.74947092568596</v>
      </c>
    </row>
    <row r="592" spans="1:4" x14ac:dyDescent="0.15">
      <c r="A592" s="11">
        <v>586</v>
      </c>
      <c r="B592" s="5">
        <f t="shared" ref="B592:B607" si="31">$B$1/$B$2*A592</f>
        <v>29.25124792013311</v>
      </c>
      <c r="C592" s="6">
        <f t="shared" ref="C592:C607" si="32">200*(B592/(5+B592))*EXP(-2*B592/$B$1)</f>
        <v>24.298956545439975</v>
      </c>
      <c r="D592" s="6">
        <f t="shared" ref="D592:D607" si="33">B592*C592</f>
        <v>710.77480211120587</v>
      </c>
    </row>
    <row r="593" spans="1:4" x14ac:dyDescent="0.15">
      <c r="A593" s="11">
        <v>587</v>
      </c>
      <c r="B593" s="5">
        <f t="shared" si="31"/>
        <v>29.301164725457568</v>
      </c>
      <c r="C593" s="6">
        <f t="shared" si="32"/>
        <v>24.224253479931782</v>
      </c>
      <c r="D593" s="6">
        <f t="shared" si="33"/>
        <v>709.79884156671983</v>
      </c>
    </row>
    <row r="594" spans="1:4" x14ac:dyDescent="0.15">
      <c r="A594" s="11">
        <v>588</v>
      </c>
      <c r="B594" s="5">
        <f t="shared" si="31"/>
        <v>29.351081530782029</v>
      </c>
      <c r="C594" s="6">
        <f t="shared" si="32"/>
        <v>24.149761132836886</v>
      </c>
      <c r="D594" s="6">
        <f t="shared" si="33"/>
        <v>708.82160795880645</v>
      </c>
    </row>
    <row r="595" spans="1:4" x14ac:dyDescent="0.15">
      <c r="A595" s="11">
        <v>589</v>
      </c>
      <c r="B595" s="5">
        <f t="shared" si="31"/>
        <v>29.400998336106486</v>
      </c>
      <c r="C595" s="6">
        <f t="shared" si="32"/>
        <v>24.075479062243563</v>
      </c>
      <c r="D595" s="6">
        <f t="shared" si="33"/>
        <v>707.84311984998953</v>
      </c>
    </row>
    <row r="596" spans="1:4" x14ac:dyDescent="0.15">
      <c r="A596" s="11">
        <v>590</v>
      </c>
      <c r="B596" s="5">
        <f t="shared" si="31"/>
        <v>29.450915141430947</v>
      </c>
      <c r="C596" s="6">
        <f t="shared" si="32"/>
        <v>24.001406825717602</v>
      </c>
      <c r="D596" s="6">
        <f t="shared" si="33"/>
        <v>706.86339569917061</v>
      </c>
    </row>
    <row r="597" spans="1:4" x14ac:dyDescent="0.15">
      <c r="A597" s="11">
        <v>591</v>
      </c>
      <c r="B597" s="5">
        <f t="shared" si="31"/>
        <v>29.500831946755405</v>
      </c>
      <c r="C597" s="6">
        <f t="shared" si="32"/>
        <v>23.927543980321339</v>
      </c>
      <c r="D597" s="6">
        <f t="shared" si="33"/>
        <v>705.8824538620587</v>
      </c>
    </row>
    <row r="598" spans="1:4" x14ac:dyDescent="0.15">
      <c r="A598" s="11">
        <v>592</v>
      </c>
      <c r="B598" s="5">
        <f t="shared" si="31"/>
        <v>29.550748752079866</v>
      </c>
      <c r="C598" s="6">
        <f t="shared" si="32"/>
        <v>23.853890082632397</v>
      </c>
      <c r="D598" s="6">
        <f t="shared" si="33"/>
        <v>704.90031259159957</v>
      </c>
    </row>
    <row r="599" spans="1:4" x14ac:dyDescent="0.15">
      <c r="A599" s="11">
        <v>593</v>
      </c>
      <c r="B599" s="5">
        <f t="shared" si="31"/>
        <v>29.600665557404323</v>
      </c>
      <c r="C599" s="6">
        <f t="shared" si="32"/>
        <v>23.78044468876228</v>
      </c>
      <c r="D599" s="6">
        <f t="shared" si="33"/>
        <v>703.91699003840415</v>
      </c>
    </row>
    <row r="600" spans="1:4" x14ac:dyDescent="0.15">
      <c r="A600" s="11">
        <v>594</v>
      </c>
      <c r="B600" s="5">
        <f t="shared" si="31"/>
        <v>29.650582362728784</v>
      </c>
      <c r="C600" s="6">
        <f t="shared" si="32"/>
        <v>23.707207354374635</v>
      </c>
      <c r="D600" s="6">
        <f t="shared" si="33"/>
        <v>702.93250425117469</v>
      </c>
    </row>
    <row r="601" spans="1:4" x14ac:dyDescent="0.15">
      <c r="A601" s="11">
        <v>595</v>
      </c>
      <c r="B601" s="5">
        <f t="shared" si="31"/>
        <v>29.700499168053241</v>
      </c>
      <c r="C601" s="6">
        <f t="shared" si="32"/>
        <v>23.634177634703413</v>
      </c>
      <c r="D601" s="6">
        <f t="shared" si="33"/>
        <v>701.94687317713124</v>
      </c>
    </row>
    <row r="602" spans="1:4" x14ac:dyDescent="0.15">
      <c r="A602" s="11">
        <v>596</v>
      </c>
      <c r="B602" s="5">
        <f t="shared" si="31"/>
        <v>29.750415973377702</v>
      </c>
      <c r="C602" s="6">
        <f t="shared" si="32"/>
        <v>23.561355084570675</v>
      </c>
      <c r="D602" s="6">
        <f t="shared" si="33"/>
        <v>700.96011466243533</v>
      </c>
    </row>
    <row r="603" spans="1:4" x14ac:dyDescent="0.15">
      <c r="A603" s="11">
        <v>597</v>
      </c>
      <c r="B603" s="5">
        <f t="shared" si="31"/>
        <v>29.80033277870216</v>
      </c>
      <c r="C603" s="6">
        <f t="shared" si="32"/>
        <v>23.488739258404301</v>
      </c>
      <c r="D603" s="6">
        <f t="shared" si="33"/>
        <v>699.97224645261394</v>
      </c>
    </row>
    <row r="604" spans="1:4" x14ac:dyDescent="0.15">
      <c r="A604" s="11">
        <v>598</v>
      </c>
      <c r="B604" s="5">
        <f t="shared" si="31"/>
        <v>29.850249584026621</v>
      </c>
      <c r="C604" s="6">
        <f t="shared" si="32"/>
        <v>23.416329710255415</v>
      </c>
      <c r="D604" s="6">
        <f t="shared" si="33"/>
        <v>698.98328619298184</v>
      </c>
    </row>
    <row r="605" spans="1:4" x14ac:dyDescent="0.15">
      <c r="A605" s="11">
        <v>599</v>
      </c>
      <c r="B605" s="5">
        <f t="shared" si="31"/>
        <v>29.900166389351082</v>
      </c>
      <c r="C605" s="6">
        <f t="shared" si="32"/>
        <v>23.344125993815574</v>
      </c>
      <c r="D605" s="6">
        <f t="shared" si="33"/>
        <v>697.99325142906139</v>
      </c>
    </row>
    <row r="606" spans="1:4" x14ac:dyDescent="0.15">
      <c r="A606" s="11">
        <v>600</v>
      </c>
      <c r="B606" s="5">
        <f t="shared" si="31"/>
        <v>29.950083194675539</v>
      </c>
      <c r="C606" s="6">
        <f t="shared" si="32"/>
        <v>23.272127662433871</v>
      </c>
      <c r="D606" s="6">
        <f t="shared" si="33"/>
        <v>697.00215960700439</v>
      </c>
    </row>
    <row r="607" spans="1:4" x14ac:dyDescent="0.15">
      <c r="A607" s="11">
        <v>601</v>
      </c>
      <c r="B607" s="5">
        <f t="shared" si="31"/>
        <v>30</v>
      </c>
      <c r="C607" s="6">
        <f t="shared" si="32"/>
        <v>23.200334269133606</v>
      </c>
      <c r="D607" s="6">
        <f t="shared" si="33"/>
        <v>696.01002807400823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E75E7-B203-4C24-8024-C601796BC45A}">
  <dimension ref="A1:K607"/>
  <sheetViews>
    <sheetView showGridLines="0" zoomScaleNormal="100" workbookViewId="0">
      <selection activeCell="F16" sqref="F16"/>
    </sheetView>
  </sheetViews>
  <sheetFormatPr defaultRowHeight="16.5" x14ac:dyDescent="0.15"/>
  <cols>
    <col min="1" max="1" width="15.5" style="1" bestFit="1" customWidth="1"/>
    <col min="2" max="2" width="9" style="1" bestFit="1"/>
    <col min="3" max="3" width="6" style="1" bestFit="1" customWidth="1"/>
    <col min="4" max="4" width="7" style="1" bestFit="1" customWidth="1"/>
    <col min="5" max="7" width="9" style="1"/>
    <col min="8" max="8" width="7.5" style="1" customWidth="1"/>
    <col min="9" max="9" width="11.5" style="1" bestFit="1" customWidth="1"/>
    <col min="10" max="10" width="12.375" style="1" bestFit="1" customWidth="1"/>
    <col min="11" max="11" width="7.875" style="1" bestFit="1" customWidth="1"/>
    <col min="12" max="16384" width="9" style="1"/>
  </cols>
  <sheetData>
    <row r="1" spans="1:11" x14ac:dyDescent="0.15">
      <c r="A1" s="7" t="s">
        <v>1</v>
      </c>
      <c r="B1" s="31">
        <v>30</v>
      </c>
    </row>
    <row r="2" spans="1:11" x14ac:dyDescent="0.15">
      <c r="A2" s="15" t="s">
        <v>7</v>
      </c>
      <c r="B2" s="32">
        <v>601</v>
      </c>
    </row>
    <row r="3" spans="1:11" x14ac:dyDescent="0.15">
      <c r="A3" s="15" t="s">
        <v>2</v>
      </c>
      <c r="B3" s="40" cm="1">
        <f t="array" ref="B3">(3*($B$607-$B$7)/(8*$B$2))*
($C$7+$C$607
+3*SUM(IF(MOD(ROW($A$8:$A$606)-ROW($A$7),3)&lt;&gt;0,$C$8:$C$606,0))
+2*SUM(IF(MOD(ROW($A$8:$A$606)-ROW($A$7),3)=0,$C$8:$C$606,0)))</f>
        <v>1478.0556580538776</v>
      </c>
    </row>
    <row r="4" spans="1:11" ht="17.25" thickBot="1" x14ac:dyDescent="0.2">
      <c r="A4" s="9" t="s">
        <v>3</v>
      </c>
      <c r="B4" s="10" cm="1">
        <f t="array" ref="B4">(3*($B$67-$B$7)/(8*$B$2))*
($D$7+$D$67
+3*SUM(IF(MOD(ROW($A$8:$A$66)-ROW($A$7),3)&lt;&gt;0,$D$8:$D$66,0))
+2*SUM(IF(MOD(ROW($A$8:$A$66)-ROW($A$7),3)=0,$D$8:$D$66,0)))/B3</f>
        <v>1.5160738417673306E-2</v>
      </c>
    </row>
    <row r="6" spans="1:11" x14ac:dyDescent="0.15">
      <c r="A6" s="11" t="s">
        <v>6</v>
      </c>
      <c r="B6" s="11" t="s">
        <v>0</v>
      </c>
      <c r="C6" s="11" t="s">
        <v>4</v>
      </c>
      <c r="D6" s="11" t="s">
        <v>5</v>
      </c>
      <c r="H6" s="4"/>
    </row>
    <row r="7" spans="1:11" ht="17.25" thickBot="1" x14ac:dyDescent="0.2">
      <c r="A7" s="11">
        <v>1</v>
      </c>
      <c r="B7" s="5">
        <f>$B$1/$B$2*A7</f>
        <v>4.9916805324459232E-2</v>
      </c>
      <c r="C7" s="6">
        <f>200*(B7/(5+B7))*EXP(-2*B7/$B$1)</f>
        <v>1.9703678627834502</v>
      </c>
      <c r="D7" s="6">
        <f>B7*C7</f>
        <v>9.8354469024132279E-2</v>
      </c>
    </row>
    <row r="8" spans="1:11" x14ac:dyDescent="0.15">
      <c r="A8" s="11">
        <v>2</v>
      </c>
      <c r="B8" s="5">
        <f>$B$1/$B$2*A8</f>
        <v>9.9833610648918464E-2</v>
      </c>
      <c r="C8" s="6">
        <f t="shared" ref="C8:C67" si="0">200*(B8/(5+B8))*EXP(-2*B8/$B$1)</f>
        <v>3.8892000987981241</v>
      </c>
      <c r="D8" s="6">
        <f t="shared" ref="D8:D36" si="1">B8*C8</f>
        <v>0.38827288839914714</v>
      </c>
      <c r="I8" s="12" t="s">
        <v>14</v>
      </c>
      <c r="J8" s="13" t="s">
        <v>15</v>
      </c>
      <c r="K8" s="14" t="s">
        <v>16</v>
      </c>
    </row>
    <row r="9" spans="1:11" x14ac:dyDescent="0.15">
      <c r="A9" s="11">
        <v>3</v>
      </c>
      <c r="B9" s="5">
        <f t="shared" ref="B9:B67" si="2">$B$1/$B$2*A9</f>
        <v>0.14975041597337768</v>
      </c>
      <c r="C9" s="6">
        <f t="shared" si="0"/>
        <v>5.7580592990955761</v>
      </c>
      <c r="D9" s="6">
        <f t="shared" si="1"/>
        <v>0.86227177523893805</v>
      </c>
      <c r="I9" s="15">
        <v>61</v>
      </c>
      <c r="J9" s="5">
        <v>1451.92</v>
      </c>
      <c r="K9" s="16">
        <f>(ABS(J9-'Hand Calculation'!$B$1)/'Hand Calculation'!$B$1)</f>
        <v>1.9349648780974487E-2</v>
      </c>
    </row>
    <row r="10" spans="1:11" x14ac:dyDescent="0.15">
      <c r="A10" s="11">
        <v>4</v>
      </c>
      <c r="B10" s="5">
        <f t="shared" si="2"/>
        <v>0.19966722129783693</v>
      </c>
      <c r="C10" s="6">
        <f t="shared" si="0"/>
        <v>7.5784477705485092</v>
      </c>
      <c r="D10" s="6">
        <f t="shared" si="1"/>
        <v>1.513167608096208</v>
      </c>
      <c r="I10" s="15">
        <v>101</v>
      </c>
      <c r="J10" s="5">
        <v>1462.53</v>
      </c>
      <c r="K10" s="16">
        <f>(ABS(J10-'Hand Calculation'!$B$1)/'Hand Calculation'!$B$1)</f>
        <v>1.2183482445064958E-2</v>
      </c>
    </row>
    <row r="11" spans="1:11" x14ac:dyDescent="0.15">
      <c r="A11" s="11">
        <v>5</v>
      </c>
      <c r="B11" s="5">
        <f t="shared" si="2"/>
        <v>0.24958402662229617</v>
      </c>
      <c r="C11" s="6">
        <f t="shared" si="0"/>
        <v>9.3518104031310916</v>
      </c>
      <c r="D11" s="6">
        <f t="shared" si="1"/>
        <v>2.3340624966217365</v>
      </c>
      <c r="I11" s="15">
        <v>201</v>
      </c>
      <c r="J11" s="5">
        <v>1472.34</v>
      </c>
      <c r="K11" s="16">
        <f>(ABS(J11-'Hand Calculation'!$B$1)/'Hand Calculation'!$B$1)</f>
        <v>5.5576491033804383E-3</v>
      </c>
    </row>
    <row r="12" spans="1:11" ht="17.25" thickBot="1" x14ac:dyDescent="0.2">
      <c r="A12" s="11">
        <v>6</v>
      </c>
      <c r="B12" s="5">
        <f t="shared" si="2"/>
        <v>0.29950083194675536</v>
      </c>
      <c r="C12" s="6">
        <f t="shared" si="0"/>
        <v>11.079537375150615</v>
      </c>
      <c r="D12" s="6">
        <f t="shared" si="1"/>
        <v>3.3183306614427792</v>
      </c>
      <c r="I12" s="9">
        <v>601</v>
      </c>
      <c r="J12" s="17">
        <v>1478.06</v>
      </c>
      <c r="K12" s="18">
        <f>(ABS(J12-'Hand Calculation'!$B$1)/'Hand Calculation'!$B$1)</f>
        <v>1.6942681946713828E-3</v>
      </c>
    </row>
    <row r="13" spans="1:11" x14ac:dyDescent="0.15">
      <c r="A13" s="11">
        <v>7</v>
      </c>
      <c r="B13" s="5">
        <f t="shared" si="2"/>
        <v>0.34941763727121461</v>
      </c>
      <c r="C13" s="6">
        <f t="shared" si="0"/>
        <v>12.762966707015341</v>
      </c>
      <c r="D13" s="6">
        <f t="shared" si="1"/>
        <v>4.4596056713364751</v>
      </c>
    </row>
    <row r="14" spans="1:11" x14ac:dyDescent="0.15">
      <c r="A14" s="11">
        <v>8</v>
      </c>
      <c r="B14" s="5">
        <f t="shared" si="2"/>
        <v>0.39933444259567386</v>
      </c>
      <c r="C14" s="6">
        <f t="shared" si="0"/>
        <v>14.403386673340517</v>
      </c>
      <c r="D14" s="6">
        <f t="shared" si="1"/>
        <v>5.7517683886883928</v>
      </c>
    </row>
    <row r="15" spans="1:11" x14ac:dyDescent="0.15">
      <c r="A15" s="11">
        <v>9</v>
      </c>
      <c r="B15" s="5">
        <f t="shared" si="2"/>
        <v>0.4492512479201331</v>
      </c>
      <c r="C15" s="6">
        <f t="shared" si="0"/>
        <v>16.002038082476247</v>
      </c>
      <c r="D15" s="6">
        <f t="shared" si="1"/>
        <v>7.188935577817948</v>
      </c>
    </row>
    <row r="16" spans="1:11" x14ac:dyDescent="0.15">
      <c r="A16" s="11">
        <v>10</v>
      </c>
      <c r="B16" s="5">
        <f t="shared" si="2"/>
        <v>0.49916805324459235</v>
      </c>
      <c r="C16" s="6">
        <f t="shared" si="0"/>
        <v>17.560116431881262</v>
      </c>
      <c r="D16" s="6">
        <f t="shared" si="1"/>
        <v>8.7654491340505469</v>
      </c>
    </row>
    <row r="17" spans="1:4" x14ac:dyDescent="0.15">
      <c r="A17" s="11">
        <v>11</v>
      </c>
      <c r="B17" s="5">
        <f t="shared" si="2"/>
        <v>0.54908485856905154</v>
      </c>
      <c r="C17" s="6">
        <f t="shared" si="0"/>
        <v>19.078773947160393</v>
      </c>
      <c r="D17" s="6">
        <f t="shared" si="1"/>
        <v>10.47586589444747</v>
      </c>
    </row>
    <row r="18" spans="1:4" x14ac:dyDescent="0.15">
      <c r="A18" s="11">
        <v>12</v>
      </c>
      <c r="B18" s="5">
        <f t="shared" si="2"/>
        <v>0.59900166389351073</v>
      </c>
      <c r="C18" s="6">
        <f t="shared" si="0"/>
        <v>20.559121512025992</v>
      </c>
      <c r="D18" s="6">
        <f t="shared" si="1"/>
        <v>12.31494799389244</v>
      </c>
    </row>
    <row r="19" spans="1:4" x14ac:dyDescent="0.15">
      <c r="A19" s="11">
        <v>13</v>
      </c>
      <c r="B19" s="5">
        <f t="shared" si="2"/>
        <v>0.64891846921797003</v>
      </c>
      <c r="C19" s="6">
        <f t="shared" si="0"/>
        <v>22.002230495930295</v>
      </c>
      <c r="D19" s="6">
        <f t="shared" si="1"/>
        <v>14.277653732800024</v>
      </c>
    </row>
    <row r="20" spans="1:4" x14ac:dyDescent="0.15">
      <c r="A20" s="11">
        <v>14</v>
      </c>
      <c r="B20" s="5">
        <f t="shared" si="2"/>
        <v>0.69883527454242922</v>
      </c>
      <c r="C20" s="6">
        <f t="shared" si="0"/>
        <v>23.409134485642884</v>
      </c>
      <c r="D20" s="6">
        <f t="shared" si="1"/>
        <v>16.359128925074891</v>
      </c>
    </row>
    <row r="21" spans="1:4" x14ac:dyDescent="0.15">
      <c r="A21" s="11">
        <v>15</v>
      </c>
      <c r="B21" s="5">
        <f t="shared" si="2"/>
        <v>0.74875207986688852</v>
      </c>
      <c r="C21" s="6">
        <f t="shared" si="0"/>
        <v>24.780830926611731</v>
      </c>
      <c r="D21" s="6">
        <f t="shared" si="1"/>
        <v>18.554698697130249</v>
      </c>
    </row>
    <row r="22" spans="1:4" x14ac:dyDescent="0.15">
      <c r="A22" s="11">
        <v>16</v>
      </c>
      <c r="B22" s="5">
        <f t="shared" si="2"/>
        <v>0.79866888519134771</v>
      </c>
      <c r="C22" s="6">
        <f t="shared" si="0"/>
        <v>26.118282679543974</v>
      </c>
      <c r="D22" s="6">
        <f t="shared" si="1"/>
        <v>20.859859710783873</v>
      </c>
    </row>
    <row r="23" spans="1:4" x14ac:dyDescent="0.15">
      <c r="A23" s="11">
        <v>17</v>
      </c>
      <c r="B23" s="5">
        <f t="shared" si="2"/>
        <v>0.8485856905158069</v>
      </c>
      <c r="C23" s="6">
        <f t="shared" si="0"/>
        <v>27.422419497271672</v>
      </c>
      <c r="D23" s="6">
        <f t="shared" si="1"/>
        <v>23.270272784706407</v>
      </c>
    </row>
    <row r="24" spans="1:4" x14ac:dyDescent="0.15">
      <c r="A24" s="11">
        <v>18</v>
      </c>
      <c r="B24" s="5">
        <f t="shared" si="2"/>
        <v>0.8985024958402662</v>
      </c>
      <c r="C24" s="6">
        <f t="shared" si="0"/>
        <v>28.694139426624723</v>
      </c>
      <c r="D24" s="6">
        <f t="shared" si="1"/>
        <v>25.781755890810899</v>
      </c>
    </row>
    <row r="25" spans="1:4" x14ac:dyDescent="0.15">
      <c r="A25" s="11">
        <v>19</v>
      </c>
      <c r="B25" s="5">
        <f t="shared" si="2"/>
        <v>0.94841930116472539</v>
      </c>
      <c r="C25" s="6">
        <f t="shared" si="0"/>
        <v>29.93431013971604</v>
      </c>
      <c r="D25" s="6">
        <f t="shared" si="1"/>
        <v>28.390277503557641</v>
      </c>
    </row>
    <row r="26" spans="1:4" x14ac:dyDescent="0.15">
      <c r="A26" s="11">
        <v>20</v>
      </c>
      <c r="B26" s="5">
        <f t="shared" si="2"/>
        <v>0.99833610648918469</v>
      </c>
      <c r="C26" s="6">
        <f t="shared" si="0"/>
        <v>31.143770198751014</v>
      </c>
      <c r="D26" s="6">
        <f t="shared" si="1"/>
        <v>31.091950281614988</v>
      </c>
    </row>
    <row r="27" spans="1:4" x14ac:dyDescent="0.15">
      <c r="A27" s="11">
        <v>21</v>
      </c>
      <c r="B27" s="5">
        <f t="shared" si="2"/>
        <v>1.0482529118136439</v>
      </c>
      <c r="C27" s="6">
        <f t="shared" si="0"/>
        <v>32.323330258201679</v>
      </c>
      <c r="D27" s="6">
        <f t="shared" si="1"/>
        <v>33.883025062673973</v>
      </c>
    </row>
    <row r="28" spans="1:4" x14ac:dyDescent="0.15">
      <c r="A28" s="11">
        <v>22</v>
      </c>
      <c r="B28" s="5">
        <f t="shared" si="2"/>
        <v>1.0981697171381031</v>
      </c>
      <c r="C28" s="6">
        <f t="shared" si="0"/>
        <v>33.47377420793444</v>
      </c>
      <c r="D28" s="6">
        <f t="shared" si="1"/>
        <v>36.759885153472091</v>
      </c>
    </row>
    <row r="29" spans="1:4" x14ac:dyDescent="0.15">
      <c r="A29" s="11">
        <v>23</v>
      </c>
      <c r="B29" s="5">
        <f t="shared" si="2"/>
        <v>1.1480865224625623</v>
      </c>
      <c r="C29" s="6">
        <f t="shared" si="0"/>
        <v>34.595860260647292</v>
      </c>
      <c r="D29" s="6">
        <f t="shared" si="1"/>
        <v>39.7190408982473</v>
      </c>
    </row>
    <row r="30" spans="1:4" x14ac:dyDescent="0.15">
      <c r="A30" s="11">
        <v>24</v>
      </c>
      <c r="B30" s="5">
        <f t="shared" si="2"/>
        <v>1.1980033277870215</v>
      </c>
      <c r="C30" s="6">
        <f t="shared" si="0"/>
        <v>35.690321986756075</v>
      </c>
      <c r="D30" s="6">
        <f t="shared" si="1"/>
        <v>42.757124509924076</v>
      </c>
    </row>
    <row r="31" spans="1:4" x14ac:dyDescent="0.15">
      <c r="A31" s="11">
        <v>25</v>
      </c>
      <c r="B31" s="5">
        <f t="shared" si="2"/>
        <v>1.2479201331114809</v>
      </c>
      <c r="C31" s="6">
        <f t="shared" si="0"/>
        <v>36.757869299668776</v>
      </c>
      <c r="D31" s="6">
        <f t="shared" si="1"/>
        <v>45.870885149337077</v>
      </c>
    </row>
    <row r="32" spans="1:4" x14ac:dyDescent="0.15">
      <c r="A32" s="11">
        <v>26</v>
      </c>
      <c r="B32" s="5">
        <f t="shared" si="2"/>
        <v>1.2978369384359401</v>
      </c>
      <c r="C32" s="6">
        <f t="shared" si="0"/>
        <v>37.79918939420034</v>
      </c>
      <c r="D32" s="6">
        <f t="shared" si="1"/>
        <v>49.057184238729228</v>
      </c>
    </row>
    <row r="33" spans="1:4" x14ac:dyDescent="0.15">
      <c r="A33" s="11">
        <v>27</v>
      </c>
      <c r="B33" s="5">
        <f t="shared" si="2"/>
        <v>1.3477537437603992</v>
      </c>
      <c r="C33" s="6">
        <f t="shared" si="0"/>
        <v>38.814947640707715</v>
      </c>
      <c r="D33" s="6">
        <f t="shared" si="1"/>
        <v>52.312990996627697</v>
      </c>
    </row>
    <row r="34" spans="1:4" x14ac:dyDescent="0.15">
      <c r="A34" s="11">
        <v>28</v>
      </c>
      <c r="B34" s="5">
        <f t="shared" si="2"/>
        <v>1.3976705490848584</v>
      </c>
      <c r="C34" s="6">
        <f t="shared" si="0"/>
        <v>39.805788437363098</v>
      </c>
      <c r="D34" s="6">
        <f t="shared" si="1"/>
        <v>55.635378182004992</v>
      </c>
    </row>
    <row r="35" spans="1:4" x14ac:dyDescent="0.15">
      <c r="A35" s="11">
        <v>29</v>
      </c>
      <c r="B35" s="5">
        <f t="shared" si="2"/>
        <v>1.4475873544093176</v>
      </c>
      <c r="C35" s="6">
        <f t="shared" si="0"/>
        <v>40.77233602283453</v>
      </c>
      <c r="D35" s="6">
        <f t="shared" si="1"/>
        <v>59.021518036382759</v>
      </c>
    </row>
    <row r="36" spans="1:4" x14ac:dyDescent="0.15">
      <c r="A36" s="11">
        <v>30</v>
      </c>
      <c r="B36" s="5">
        <f t="shared" si="2"/>
        <v>1.497504159733777</v>
      </c>
      <c r="C36" s="6">
        <f t="shared" si="0"/>
        <v>41.7151952515026</v>
      </c>
      <c r="D36" s="6">
        <f t="shared" si="1"/>
        <v>62.468678413231849</v>
      </c>
    </row>
    <row r="37" spans="1:4" x14ac:dyDescent="0.15">
      <c r="A37" s="11">
        <v>31</v>
      </c>
      <c r="B37" s="5">
        <f t="shared" si="2"/>
        <v>1.5474209650582362</v>
      </c>
      <c r="C37" s="6">
        <f t="shared" si="0"/>
        <v>42.634952333212929</v>
      </c>
      <c r="D37" s="6">
        <f t="shared" ref="D37:D38" si="3">B37*C37</f>
        <v>65.974219084672256</v>
      </c>
    </row>
    <row r="38" spans="1:4" x14ac:dyDescent="0.15">
      <c r="A38" s="11">
        <v>32</v>
      </c>
      <c r="B38" s="5">
        <f t="shared" si="2"/>
        <v>1.5973377703826954</v>
      </c>
      <c r="C38" s="6">
        <f t="shared" si="0"/>
        <v>43.532175539442626</v>
      </c>
      <c r="D38" s="6">
        <f t="shared" si="3"/>
        <v>69.535588216081393</v>
      </c>
    </row>
    <row r="39" spans="1:4" x14ac:dyDescent="0.15">
      <c r="A39" s="11">
        <v>33</v>
      </c>
      <c r="B39" s="5">
        <f t="shared" si="2"/>
        <v>1.6472545757071546</v>
      </c>
      <c r="C39" s="6">
        <f t="shared" si="0"/>
        <v>44.407415877646095</v>
      </c>
      <c r="D39" s="6">
        <f t="shared" ref="D39:D63" si="4">B39*C39</f>
        <v>73.150318999783082</v>
      </c>
    </row>
    <row r="40" spans="1:4" x14ac:dyDescent="0.15">
      <c r="A40" s="11">
        <v>34</v>
      </c>
      <c r="B40" s="5">
        <f t="shared" si="2"/>
        <v>1.6971713810316138</v>
      </c>
      <c r="C40" s="6">
        <f t="shared" si="0"/>
        <v>45.261207735440678</v>
      </c>
      <c r="D40" s="6">
        <f t="shared" si="4"/>
        <v>76.816026439516619</v>
      </c>
    </row>
    <row r="41" spans="1:4" x14ac:dyDescent="0.15">
      <c r="A41" s="11">
        <v>35</v>
      </c>
      <c r="B41" s="5">
        <f t="shared" si="2"/>
        <v>1.7470881863560732</v>
      </c>
      <c r="C41" s="6">
        <f t="shared" si="0"/>
        <v>46.094069496193846</v>
      </c>
      <c r="D41" s="6">
        <f t="shared" si="4"/>
        <v>80.530404277876102</v>
      </c>
    </row>
    <row r="42" spans="1:4" x14ac:dyDescent="0.15">
      <c r="A42" s="11">
        <v>36</v>
      </c>
      <c r="B42" s="5">
        <f t="shared" si="2"/>
        <v>1.7970049916805324</v>
      </c>
      <c r="C42" s="6">
        <f t="shared" si="0"/>
        <v>46.906504127482201</v>
      </c>
      <c r="D42" s="6">
        <f t="shared" si="4"/>
        <v>84.291222059369005</v>
      </c>
    </row>
    <row r="43" spans="1:4" x14ac:dyDescent="0.15">
      <c r="A43" s="11">
        <v>37</v>
      </c>
      <c r="B43" s="5">
        <f t="shared" si="2"/>
        <v>1.8469217970049916</v>
      </c>
      <c r="C43" s="6">
        <f t="shared" si="0"/>
        <v>47.698999743806773</v>
      </c>
      <c r="D43" s="6">
        <f t="shared" si="4"/>
        <v>88.096322322172242</v>
      </c>
    </row>
    <row r="44" spans="1:4" x14ac:dyDescent="0.15">
      <c r="A44" s="11">
        <v>38</v>
      </c>
      <c r="B44" s="5">
        <f t="shared" si="2"/>
        <v>1.8968386023294508</v>
      </c>
      <c r="C44" s="6">
        <f t="shared" si="0"/>
        <v>48.472030144868853</v>
      </c>
      <c r="D44" s="6">
        <f t="shared" si="4"/>
        <v>91.943617912064042</v>
      </c>
    </row>
    <row r="45" spans="1:4" x14ac:dyDescent="0.15">
      <c r="A45" s="11">
        <v>39</v>
      </c>
      <c r="B45" s="5">
        <f t="shared" si="2"/>
        <v>1.94675540765391</v>
      </c>
      <c r="C45" s="6">
        <f t="shared" si="0"/>
        <v>49.226055330635646</v>
      </c>
      <c r="D45" s="6">
        <f t="shared" si="4"/>
        <v>95.831089412385523</v>
      </c>
    </row>
    <row r="46" spans="1:4" x14ac:dyDescent="0.15">
      <c r="A46" s="11">
        <v>40</v>
      </c>
      <c r="B46" s="5">
        <f t="shared" si="2"/>
        <v>1.9966722129783694</v>
      </c>
      <c r="C46" s="6">
        <f t="shared" si="0"/>
        <v>49.961521994354882</v>
      </c>
      <c r="D46" s="6">
        <f t="shared" si="4"/>
        <v>99.756782684236043</v>
      </c>
    </row>
    <row r="47" spans="1:4" x14ac:dyDescent="0.15">
      <c r="A47" s="11">
        <v>41</v>
      </c>
      <c r="B47" s="5">
        <f t="shared" si="2"/>
        <v>2.0465890183028286</v>
      </c>
      <c r="C47" s="6">
        <f t="shared" si="0"/>
        <v>50.678863994611916</v>
      </c>
      <c r="D47" s="6">
        <f t="shared" si="4"/>
        <v>103.71880651143536</v>
      </c>
    </row>
    <row r="48" spans="1:4" x14ac:dyDescent="0.15">
      <c r="A48" s="11">
        <v>42</v>
      </c>
      <c r="B48" s="5">
        <f t="shared" si="2"/>
        <v>2.0965058236272878</v>
      </c>
      <c r="C48" s="6">
        <f t="shared" si="0"/>
        <v>51.378502807461118</v>
      </c>
      <c r="D48" s="6">
        <f t="shared" si="4"/>
        <v>107.71533034509319</v>
      </c>
    </row>
    <row r="49" spans="1:4" x14ac:dyDescent="0.15">
      <c r="A49" s="11">
        <v>43</v>
      </c>
      <c r="B49" s="5">
        <f t="shared" si="2"/>
        <v>2.146422628951747</v>
      </c>
      <c r="C49" s="6">
        <f t="shared" si="0"/>
        <v>52.060847959605958</v>
      </c>
      <c r="D49" s="6">
        <f t="shared" si="4"/>
        <v>111.74458214291461</v>
      </c>
    </row>
    <row r="50" spans="1:4" x14ac:dyDescent="0.15">
      <c r="A50" s="11">
        <v>44</v>
      </c>
      <c r="B50" s="5">
        <f t="shared" si="2"/>
        <v>2.1963394342762061</v>
      </c>
      <c r="C50" s="6">
        <f t="shared" si="0"/>
        <v>52.726297443547764</v>
      </c>
      <c r="D50" s="6">
        <f t="shared" si="4"/>
        <v>115.80484629864067</v>
      </c>
    </row>
    <row r="51" spans="1:4" x14ac:dyDescent="0.15">
      <c r="A51" s="11">
        <v>45</v>
      </c>
      <c r="B51" s="5">
        <f t="shared" si="2"/>
        <v>2.2462562396006653</v>
      </c>
      <c r="C51" s="6">
        <f t="shared" si="0"/>
        <v>53.375238115572884</v>
      </c>
      <c r="D51" s="6">
        <f t="shared" si="4"/>
        <v>119.89446165727685</v>
      </c>
    </row>
    <row r="52" spans="1:4" x14ac:dyDescent="0.15">
      <c r="A52" s="11">
        <v>46</v>
      </c>
      <c r="B52" s="5">
        <f t="shared" si="2"/>
        <v>2.2961730449251245</v>
      </c>
      <c r="C52" s="6">
        <f t="shared" si="0"/>
        <v>54.008046077399925</v>
      </c>
      <c r="D52" s="6">
        <f t="shared" si="4"/>
        <v>124.01181961199981</v>
      </c>
    </row>
    <row r="53" spans="1:4" x14ac:dyDescent="0.15">
      <c r="A53" s="11">
        <v>47</v>
      </c>
      <c r="B53" s="5">
        <f t="shared" si="2"/>
        <v>2.3460898502495837</v>
      </c>
      <c r="C53" s="6">
        <f t="shared" si="0"/>
        <v>54.625087042264511</v>
      </c>
      <c r="D53" s="6">
        <f t="shared" si="4"/>
        <v>128.15536227885681</v>
      </c>
    </row>
    <row r="54" spans="1:4" x14ac:dyDescent="0.15">
      <c r="A54" s="11">
        <v>48</v>
      </c>
      <c r="B54" s="5">
        <f t="shared" si="2"/>
        <v>2.3960066555740429</v>
      </c>
      <c r="C54" s="6">
        <f t="shared" si="0"/>
        <v>55.226716686176587</v>
      </c>
      <c r="D54" s="6">
        <f t="shared" si="4"/>
        <v>132.32358074558115</v>
      </c>
    </row>
    <row r="55" spans="1:4" x14ac:dyDescent="0.15">
      <c r="A55" s="11">
        <v>49</v>
      </c>
      <c r="B55" s="5">
        <f t="shared" si="2"/>
        <v>2.4459234608985025</v>
      </c>
      <c r="C55" s="6">
        <f t="shared" si="0"/>
        <v>55.813280985046241</v>
      </c>
      <c r="D55" s="6">
        <f t="shared" si="4"/>
        <v>136.51501339104487</v>
      </c>
    </row>
    <row r="56" spans="1:4" x14ac:dyDescent="0.15">
      <c r="A56" s="11">
        <v>50</v>
      </c>
      <c r="B56" s="5">
        <f t="shared" si="2"/>
        <v>2.4958402662229617</v>
      </c>
      <c r="C56" s="6">
        <f t="shared" si="0"/>
        <v>56.385116538336639</v>
      </c>
      <c r="D56" s="6">
        <f t="shared" si="4"/>
        <v>140.72824427205484</v>
      </c>
    </row>
    <row r="57" spans="1:4" x14ac:dyDescent="0.15">
      <c r="A57" s="11">
        <v>51</v>
      </c>
      <c r="B57" s="5">
        <f t="shared" si="2"/>
        <v>2.5457570715474209</v>
      </c>
      <c r="C57" s="6">
        <f t="shared" si="0"/>
        <v>56.94255087986835</v>
      </c>
      <c r="D57" s="6">
        <f t="shared" si="4"/>
        <v>144.96190157437366</v>
      </c>
    </row>
    <row r="58" spans="1:4" x14ac:dyDescent="0.15">
      <c r="A58" s="11">
        <v>52</v>
      </c>
      <c r="B58" s="5">
        <f t="shared" si="2"/>
        <v>2.5956738768718801</v>
      </c>
      <c r="C58" s="6">
        <f t="shared" si="0"/>
        <v>57.485902776365464</v>
      </c>
      <c r="D58" s="6">
        <f t="shared" si="4"/>
        <v>149.21465612500853</v>
      </c>
    </row>
    <row r="59" spans="1:4" x14ac:dyDescent="0.15">
      <c r="A59" s="11">
        <v>53</v>
      </c>
      <c r="B59" s="5">
        <f t="shared" si="2"/>
        <v>2.6455906821963393</v>
      </c>
      <c r="C59" s="6">
        <f t="shared" si="0"/>
        <v>58.015482514304452</v>
      </c>
      <c r="D59" s="6">
        <f t="shared" si="4"/>
        <v>153.4852199629685</v>
      </c>
    </row>
    <row r="60" spans="1:4" x14ac:dyDescent="0.15">
      <c r="A60" s="11">
        <v>54</v>
      </c>
      <c r="B60" s="5">
        <f t="shared" si="2"/>
        <v>2.6955074875207985</v>
      </c>
      <c r="C60" s="6">
        <f t="shared" si="0"/>
        <v>58.531592175596423</v>
      </c>
      <c r="D60" s="6">
        <f t="shared" si="4"/>
        <v>157.77234496583395</v>
      </c>
    </row>
    <row r="61" spans="1:4" x14ac:dyDescent="0.15">
      <c r="A61" s="11">
        <v>55</v>
      </c>
      <c r="B61" s="5">
        <f t="shared" si="2"/>
        <v>2.7454242928452577</v>
      </c>
      <c r="C61" s="6">
        <f t="shared" si="0"/>
        <v>59.034525902606667</v>
      </c>
      <c r="D61" s="6">
        <f t="shared" si="4"/>
        <v>162.07482152961896</v>
      </c>
    </row>
    <row r="62" spans="1:4" x14ac:dyDescent="0.15">
      <c r="A62" s="11">
        <v>56</v>
      </c>
      <c r="B62" s="5">
        <f t="shared" si="2"/>
        <v>2.7953410981697169</v>
      </c>
      <c r="C62" s="6">
        <f t="shared" si="0"/>
        <v>59.524570152989618</v>
      </c>
      <c r="D62" s="6">
        <f t="shared" si="4"/>
        <v>166.39147729953834</v>
      </c>
    </row>
    <row r="63" spans="1:4" x14ac:dyDescent="0.15">
      <c r="A63" s="11">
        <v>57</v>
      </c>
      <c r="B63" s="5">
        <f t="shared" si="2"/>
        <v>2.8452579034941761</v>
      </c>
      <c r="C63" s="6">
        <f t="shared" si="0"/>
        <v>60.002003944792527</v>
      </c>
      <c r="D63" s="6">
        <f t="shared" si="4"/>
        <v>170.72117594940966</v>
      </c>
    </row>
    <row r="64" spans="1:4" x14ac:dyDescent="0.15">
      <c r="A64" s="11">
        <v>58</v>
      </c>
      <c r="B64" s="5">
        <f t="shared" si="2"/>
        <v>2.8951747088186353</v>
      </c>
      <c r="C64" s="6">
        <f t="shared" si="0"/>
        <v>60.467099092258792</v>
      </c>
      <c r="D64" s="6">
        <f t="shared" ref="D64:D67" si="5">B64*C64</f>
        <v>175.06281600753792</v>
      </c>
    </row>
    <row r="65" spans="1:4" x14ac:dyDescent="0.15">
      <c r="A65" s="11">
        <v>59</v>
      </c>
      <c r="B65" s="5">
        <f t="shared" si="2"/>
        <v>2.9450915141430949</v>
      </c>
      <c r="C65" s="6">
        <f t="shared" si="0"/>
        <v>60.920120432739928</v>
      </c>
      <c r="D65" s="6">
        <f t="shared" si="5"/>
        <v>179.41532972703772</v>
      </c>
    </row>
    <row r="66" spans="1:4" x14ac:dyDescent="0.15">
      <c r="A66" s="11">
        <v>60</v>
      </c>
      <c r="B66" s="5">
        <f t="shared" si="2"/>
        <v>2.9950083194675541</v>
      </c>
      <c r="C66" s="6">
        <f t="shared" si="0"/>
        <v>61.361326045104683</v>
      </c>
      <c r="D66" s="6">
        <f t="shared" si="5"/>
        <v>183.77768199864963</v>
      </c>
    </row>
    <row r="67" spans="1:4" x14ac:dyDescent="0.15">
      <c r="A67" s="11">
        <v>61</v>
      </c>
      <c r="B67" s="5">
        <f t="shared" si="2"/>
        <v>3.0449251247920133</v>
      </c>
      <c r="C67" s="6">
        <f t="shared" si="0"/>
        <v>61.790967460014691</v>
      </c>
      <c r="D67" s="6">
        <f t="shared" si="5"/>
        <v>188.14886930420445</v>
      </c>
    </row>
    <row r="68" spans="1:4" x14ac:dyDescent="0.15">
      <c r="A68" s="11">
        <v>62</v>
      </c>
      <c r="B68" s="5">
        <f t="shared" ref="B68:B107" si="6">$B$1/$B$2*A68</f>
        <v>3.0948419301164725</v>
      </c>
      <c r="C68" s="6">
        <f t="shared" ref="C68:C107" si="7">200*(B68/(5+B68))*EXP(-2*B68/$B$1)</f>
        <v>62.209289862417698</v>
      </c>
      <c r="D68" s="6">
        <f t="shared" ref="D68:D107" si="8">B68*C68</f>
        <v>192.52791870897988</v>
      </c>
    </row>
    <row r="69" spans="1:4" x14ac:dyDescent="0.15">
      <c r="A69" s="11">
        <v>63</v>
      </c>
      <c r="B69" s="5">
        <f t="shared" si="6"/>
        <v>3.1447587354409317</v>
      </c>
      <c r="C69" s="6">
        <f t="shared" si="7"/>
        <v>62.616532286592481</v>
      </c>
      <c r="D69" s="6">
        <f t="shared" si="8"/>
        <v>196.91388689128084</v>
      </c>
    </row>
    <row r="70" spans="1:4" x14ac:dyDescent="0.15">
      <c r="A70" s="11">
        <v>64</v>
      </c>
      <c r="B70" s="5">
        <f t="shared" si="6"/>
        <v>3.1946755407653908</v>
      </c>
      <c r="C70" s="6">
        <f t="shared" si="7"/>
        <v>63.0129278040625</v>
      </c>
      <c r="D70" s="6">
        <f t="shared" si="8"/>
        <v>201.3058592076539</v>
      </c>
    </row>
    <row r="71" spans="1:4" x14ac:dyDescent="0.15">
      <c r="A71" s="11">
        <v>65</v>
      </c>
      <c r="B71" s="5">
        <f t="shared" si="6"/>
        <v>3.24459234608985</v>
      </c>
      <c r="C71" s="6">
        <f t="shared" si="7"/>
        <v>63.398703704681381</v>
      </c>
      <c r="D71" s="6">
        <f t="shared" si="8"/>
        <v>205.70294879222743</v>
      </c>
    </row>
    <row r="72" spans="1:4" x14ac:dyDescent="0.15">
      <c r="A72" s="11">
        <v>66</v>
      </c>
      <c r="B72" s="5">
        <f t="shared" si="6"/>
        <v>3.2945091514143092</v>
      </c>
      <c r="C72" s="6">
        <f t="shared" si="7"/>
        <v>63.774081671176852</v>
      </c>
      <c r="D72" s="6">
        <f t="shared" si="8"/>
        <v>210.1042956887357</v>
      </c>
    </row>
    <row r="73" spans="1:4" x14ac:dyDescent="0.15">
      <c r="A73" s="11">
        <v>67</v>
      </c>
      <c r="B73" s="5">
        <f t="shared" si="6"/>
        <v>3.3444259567387684</v>
      </c>
      <c r="C73" s="6">
        <f t="shared" si="7"/>
        <v>64.13927794742817</v>
      </c>
      <c r="D73" s="6">
        <f t="shared" si="8"/>
        <v>214.50906601386126</v>
      </c>
    </row>
    <row r="74" spans="1:4" x14ac:dyDescent="0.15">
      <c r="A74" s="11">
        <v>68</v>
      </c>
      <c r="B74" s="5">
        <f t="shared" si="6"/>
        <v>3.3943427620632276</v>
      </c>
      <c r="C74" s="6">
        <f t="shared" si="7"/>
        <v>64.494503500736755</v>
      </c>
      <c r="D74" s="6">
        <f t="shared" si="8"/>
        <v>218.91645115058731</v>
      </c>
    </row>
    <row r="75" spans="1:4" x14ac:dyDescent="0.15">
      <c r="A75" s="11">
        <v>69</v>
      </c>
      <c r="B75" s="5">
        <f t="shared" si="6"/>
        <v>3.4442595673876868</v>
      </c>
      <c r="C75" s="6">
        <f t="shared" si="7"/>
        <v>64.839964178339812</v>
      </c>
      <c r="D75" s="6">
        <f t="shared" si="8"/>
        <v>223.32566697032178</v>
      </c>
    </row>
    <row r="76" spans="1:4" x14ac:dyDescent="0.15">
      <c r="A76" s="11">
        <v>70</v>
      </c>
      <c r="B76" s="5">
        <f t="shared" si="6"/>
        <v>3.4941763727121464</v>
      </c>
      <c r="C76" s="6">
        <f t="shared" si="7"/>
        <v>65.175860858402444</v>
      </c>
      <c r="D76" s="6">
        <f t="shared" si="8"/>
        <v>227.73595308260423</v>
      </c>
    </row>
    <row r="77" spans="1:4" x14ac:dyDescent="0.15">
      <c r="A77" s="11">
        <v>71</v>
      </c>
      <c r="B77" s="5">
        <f t="shared" si="6"/>
        <v>3.5440931780366056</v>
      </c>
      <c r="C77" s="6">
        <f t="shared" si="7"/>
        <v>65.502389595715414</v>
      </c>
      <c r="D77" s="6">
        <f t="shared" si="8"/>
        <v>232.14657211127093</v>
      </c>
    </row>
    <row r="78" spans="1:4" x14ac:dyDescent="0.15">
      <c r="A78" s="11">
        <v>72</v>
      </c>
      <c r="B78" s="5">
        <f t="shared" si="6"/>
        <v>3.5940099833610648</v>
      </c>
      <c r="C78" s="6">
        <f t="shared" si="7"/>
        <v>65.81974176231266</v>
      </c>
      <c r="D78" s="6">
        <f t="shared" si="8"/>
        <v>236.55680899599889</v>
      </c>
    </row>
    <row r="79" spans="1:4" x14ac:dyDescent="0.15">
      <c r="A79" s="11">
        <v>73</v>
      </c>
      <c r="B79" s="5">
        <f t="shared" si="6"/>
        <v>3.643926788685524</v>
      </c>
      <c r="C79" s="6">
        <f t="shared" si="7"/>
        <v>66.128104183214788</v>
      </c>
      <c r="D79" s="6">
        <f t="shared" si="8"/>
        <v>240.96597031820363</v>
      </c>
    </row>
    <row r="80" spans="1:4" x14ac:dyDescent="0.15">
      <c r="A80" s="11">
        <v>74</v>
      </c>
      <c r="B80" s="5">
        <f t="shared" si="6"/>
        <v>3.6938435940099832</v>
      </c>
      <c r="C80" s="6">
        <f t="shared" si="7"/>
        <v>66.427659267493894</v>
      </c>
      <c r="D80" s="6">
        <f t="shared" si="8"/>
        <v>245.37338365031022</v>
      </c>
    </row>
    <row r="81" spans="1:4" x14ac:dyDescent="0.15">
      <c r="A81" s="11">
        <v>75</v>
      </c>
      <c r="B81" s="5">
        <f t="shared" si="6"/>
        <v>3.7437603993344424</v>
      </c>
      <c r="C81" s="6">
        <f t="shared" si="7"/>
        <v>66.718585134846933</v>
      </c>
      <c r="D81" s="6">
        <f t="shared" si="8"/>
        <v>249.77839692746355</v>
      </c>
    </row>
    <row r="82" spans="1:4" x14ac:dyDescent="0.15">
      <c r="A82" s="11">
        <v>76</v>
      </c>
      <c r="B82" s="5">
        <f t="shared" si="6"/>
        <v>3.7936772046589016</v>
      </c>
      <c r="C82" s="6">
        <f t="shared" si="7"/>
        <v>67.001055737856277</v>
      </c>
      <c r="D82" s="6">
        <f t="shared" si="8"/>
        <v>254.18037784078587</v>
      </c>
    </row>
    <row r="83" spans="1:4" x14ac:dyDescent="0.15">
      <c r="A83" s="11">
        <v>77</v>
      </c>
      <c r="B83" s="5">
        <f t="shared" si="6"/>
        <v>3.8435940099833608</v>
      </c>
      <c r="C83" s="6">
        <f t="shared" si="7"/>
        <v>67.275240980107299</v>
      </c>
      <c r="D83" s="6">
        <f t="shared" si="8"/>
        <v>258.57871325132754</v>
      </c>
    </row>
    <row r="84" spans="1:4" x14ac:dyDescent="0.15">
      <c r="A84" s="11">
        <v>78</v>
      </c>
      <c r="B84" s="5">
        <f t="shared" si="6"/>
        <v>3.8935108153078199</v>
      </c>
      <c r="C84" s="6">
        <f t="shared" si="7"/>
        <v>67.541306830326519</v>
      </c>
      <c r="D84" s="6">
        <f t="shared" si="8"/>
        <v>262.97280862390022</v>
      </c>
    </row>
    <row r="85" spans="1:4" x14ac:dyDescent="0.15">
      <c r="A85" s="11">
        <v>79</v>
      </c>
      <c r="B85" s="5">
        <f t="shared" si="6"/>
        <v>3.9434276206322791</v>
      </c>
      <c r="C85" s="6">
        <f t="shared" si="7"/>
        <v>67.79941543269517</v>
      </c>
      <c r="D85" s="6">
        <f t="shared" si="8"/>
        <v>267.36208748001252</v>
      </c>
    </row>
    <row r="86" spans="1:4" x14ac:dyDescent="0.15">
      <c r="A86" s="11">
        <v>80</v>
      </c>
      <c r="B86" s="5">
        <f t="shared" si="6"/>
        <v>3.9933444259567388</v>
      </c>
      <c r="C86" s="6">
        <f t="shared" si="7"/>
        <v>68.049725213487108</v>
      </c>
      <c r="D86" s="6">
        <f t="shared" si="8"/>
        <v>271.74599086916646</v>
      </c>
    </row>
    <row r="87" spans="1:4" x14ac:dyDescent="0.15">
      <c r="A87" s="11">
        <v>81</v>
      </c>
      <c r="B87" s="5">
        <f t="shared" si="6"/>
        <v>4.043261231281198</v>
      </c>
      <c r="C87" s="6">
        <f t="shared" si="7"/>
        <v>68.292390984173039</v>
      </c>
      <c r="D87" s="6">
        <f t="shared" si="8"/>
        <v>276.12397685780445</v>
      </c>
    </row>
    <row r="88" spans="1:4" x14ac:dyDescent="0.15">
      <c r="A88" s="11">
        <v>82</v>
      </c>
      <c r="B88" s="5">
        <f t="shared" si="6"/>
        <v>4.0931780366056572</v>
      </c>
      <c r="C88" s="6">
        <f t="shared" si="7"/>
        <v>68.527564041126837</v>
      </c>
      <c r="D88" s="6">
        <f t="shared" si="8"/>
        <v>280.49552003522797</v>
      </c>
    </row>
    <row r="89" spans="1:4" x14ac:dyDescent="0.15">
      <c r="A89" s="11">
        <v>83</v>
      </c>
      <c r="B89" s="5">
        <f t="shared" si="6"/>
        <v>4.1430948419301163</v>
      </c>
      <c r="C89" s="6">
        <f t="shared" si="7"/>
        <v>68.755392262063779</v>
      </c>
      <c r="D89" s="6">
        <f t="shared" si="8"/>
        <v>284.86011103583826</v>
      </c>
    </row>
    <row r="90" spans="1:4" x14ac:dyDescent="0.15">
      <c r="A90" s="11">
        <v>84</v>
      </c>
      <c r="B90" s="5">
        <f t="shared" si="6"/>
        <v>4.1930116472545755</v>
      </c>
      <c r="C90" s="6">
        <f t="shared" si="7"/>
        <v>68.976020199334968</v>
      </c>
      <c r="D90" s="6">
        <f t="shared" si="8"/>
        <v>289.21725607707839</v>
      </c>
    </row>
    <row r="91" spans="1:4" x14ac:dyDescent="0.15">
      <c r="A91" s="11">
        <v>85</v>
      </c>
      <c r="B91" s="5">
        <f t="shared" si="6"/>
        <v>4.2429284525790347</v>
      </c>
      <c r="C91" s="6">
        <f t="shared" si="7"/>
        <v>69.189589170196882</v>
      </c>
      <c r="D91" s="6">
        <f t="shared" si="8"/>
        <v>293.56647651248261</v>
      </c>
    </row>
    <row r="92" spans="1:4" x14ac:dyDescent="0.15">
      <c r="A92" s="11">
        <v>86</v>
      </c>
      <c r="B92" s="5">
        <f t="shared" si="6"/>
        <v>4.2928452579034939</v>
      </c>
      <c r="C92" s="6">
        <f t="shared" si="7"/>
        <v>69.396237344169577</v>
      </c>
      <c r="D92" s="6">
        <f t="shared" si="8"/>
        <v>297.90730839926374</v>
      </c>
    </row>
    <row r="93" spans="1:4" x14ac:dyDescent="0.15">
      <c r="A93" s="11">
        <v>87</v>
      </c>
      <c r="B93" s="5">
        <f t="shared" si="6"/>
        <v>4.3427620632279531</v>
      </c>
      <c r="C93" s="6">
        <f t="shared" si="7"/>
        <v>69.59609982759261</v>
      </c>
      <c r="D93" s="6">
        <f t="shared" si="8"/>
        <v>302.23930207989468</v>
      </c>
    </row>
    <row r="94" spans="1:4" x14ac:dyDescent="0.15">
      <c r="A94" s="11">
        <v>88</v>
      </c>
      <c r="B94" s="5">
        <f t="shared" si="6"/>
        <v>4.3926788685524123</v>
      </c>
      <c r="C94" s="6">
        <f t="shared" si="7"/>
        <v>69.78930874548297</v>
      </c>
      <c r="D94" s="6">
        <f t="shared" si="8"/>
        <v>306.56202177716312</v>
      </c>
    </row>
    <row r="95" spans="1:4" x14ac:dyDescent="0.15">
      <c r="A95" s="11">
        <v>89</v>
      </c>
      <c r="B95" s="5">
        <f t="shared" si="6"/>
        <v>4.4425956738768715</v>
      </c>
      <c r="C95" s="6">
        <f t="shared" si="7"/>
        <v>69.975993320794601</v>
      </c>
      <c r="D95" s="6">
        <f t="shared" si="8"/>
        <v>310.87504520219892</v>
      </c>
    </row>
    <row r="96" spans="1:4" x14ac:dyDescent="0.15">
      <c r="A96" s="11">
        <v>90</v>
      </c>
      <c r="B96" s="5">
        <f t="shared" si="6"/>
        <v>4.4925124792013307</v>
      </c>
      <c r="C96" s="6">
        <f t="shared" si="7"/>
        <v>70.15627995117562</v>
      </c>
      <c r="D96" s="6">
        <f t="shared" si="8"/>
        <v>315.17796317499858</v>
      </c>
    </row>
    <row r="97" spans="1:4" x14ac:dyDescent="0.15">
      <c r="A97" s="11">
        <v>91</v>
      </c>
      <c r="B97" s="5">
        <f t="shared" si="6"/>
        <v>4.5424292845257899</v>
      </c>
      <c r="C97" s="6">
        <f t="shared" si="7"/>
        <v>70.33029228331425</v>
      </c>
      <c r="D97" s="6">
        <f t="shared" si="8"/>
        <v>319.47037925698481</v>
      </c>
    </row>
    <row r="98" spans="1:4" x14ac:dyDescent="0.15">
      <c r="A98" s="11">
        <v>92</v>
      </c>
      <c r="B98" s="5">
        <f t="shared" si="6"/>
        <v>4.5923460898502491</v>
      </c>
      <c r="C98" s="6">
        <f t="shared" si="7"/>
        <v>70.49815128496202</v>
      </c>
      <c r="D98" s="6">
        <f t="shared" si="8"/>
        <v>323.75190939516665</v>
      </c>
    </row>
    <row r="99" spans="1:4" x14ac:dyDescent="0.15">
      <c r="A99" s="11">
        <v>93</v>
      </c>
      <c r="B99" s="5">
        <f t="shared" si="6"/>
        <v>4.6422628951747082</v>
      </c>
      <c r="C99" s="6">
        <f t="shared" si="7"/>
        <v>70.659975314717769</v>
      </c>
      <c r="D99" s="6">
        <f t="shared" si="8"/>
        <v>328.02218157747512</v>
      </c>
    </row>
    <row r="100" spans="1:4" x14ac:dyDescent="0.15">
      <c r="A100" s="11">
        <v>94</v>
      </c>
      <c r="B100" s="5">
        <f t="shared" si="6"/>
        <v>4.6921797004991674</v>
      </c>
      <c r="C100" s="6">
        <f t="shared" si="7"/>
        <v>70.815880189653598</v>
      </c>
      <c r="D100" s="6">
        <f t="shared" si="8"/>
        <v>332.28083549887373</v>
      </c>
    </row>
    <row r="101" spans="1:4" x14ac:dyDescent="0.15">
      <c r="A101" s="11">
        <v>95</v>
      </c>
      <c r="B101" s="5">
        <f t="shared" si="6"/>
        <v>4.7420965058236266</v>
      </c>
      <c r="C101" s="6">
        <f t="shared" si="7"/>
        <v>70.96597925086003</v>
      </c>
      <c r="D101" s="6">
        <f t="shared" si="8"/>
        <v>336.52752223785535</v>
      </c>
    </row>
    <row r="102" spans="1:4" x14ac:dyDescent="0.15">
      <c r="A102" s="11">
        <v>96</v>
      </c>
      <c r="B102" s="5">
        <f t="shared" si="6"/>
        <v>4.7920133111480858</v>
      </c>
      <c r="C102" s="6">
        <f t="shared" si="7"/>
        <v>71.110383426984669</v>
      </c>
      <c r="D102" s="6">
        <f t="shared" si="8"/>
        <v>340.76190394295475</v>
      </c>
    </row>
    <row r="103" spans="1:4" x14ac:dyDescent="0.15">
      <c r="A103" s="11">
        <v>97</v>
      </c>
      <c r="B103" s="5">
        <f t="shared" si="6"/>
        <v>4.8419301164725459</v>
      </c>
      <c r="C103" s="6">
        <f t="shared" si="7"/>
        <v>71.249201295835476</v>
      </c>
      <c r="D103" s="6">
        <f t="shared" si="8"/>
        <v>344.98365352892051</v>
      </c>
    </row>
    <row r="104" spans="1:4" x14ac:dyDescent="0.15">
      <c r="A104" s="11">
        <v>98</v>
      </c>
      <c r="B104" s="5">
        <f t="shared" si="6"/>
        <v>4.8918469217970051</v>
      </c>
      <c r="C104" s="6">
        <f t="shared" si="7"/>
        <v>71.382539144117331</v>
      </c>
      <c r="D104" s="6">
        <f t="shared" si="8"/>
        <v>349.19245438220457</v>
      </c>
    </row>
    <row r="105" spans="1:4" x14ac:dyDescent="0.15">
      <c r="A105" s="11">
        <v>99</v>
      </c>
      <c r="B105" s="5">
        <f t="shared" si="6"/>
        <v>4.9417637271214643</v>
      </c>
      <c r="C105" s="6">
        <f t="shared" si="7"/>
        <v>71.510501025367063</v>
      </c>
      <c r="D105" s="6">
        <f t="shared" si="8"/>
        <v>353.38800007544125</v>
      </c>
    </row>
    <row r="106" spans="1:4" x14ac:dyDescent="0.15">
      <c r="A106" s="11">
        <v>100</v>
      </c>
      <c r="B106" s="5">
        <f t="shared" si="6"/>
        <v>4.9916805324459235</v>
      </c>
      <c r="C106" s="6">
        <f t="shared" si="7"/>
        <v>71.633188816150536</v>
      </c>
      <c r="D106" s="6">
        <f t="shared" si="8"/>
        <v>357.56999409060165</v>
      </c>
    </row>
    <row r="107" spans="1:4" x14ac:dyDescent="0.15">
      <c r="A107" s="11">
        <v>101</v>
      </c>
      <c r="B107" s="5">
        <f t="shared" si="6"/>
        <v>5.0415973377703827</v>
      </c>
      <c r="C107" s="6">
        <f t="shared" si="7"/>
        <v>71.750702270581527</v>
      </c>
      <c r="D107" s="6">
        <f t="shared" si="8"/>
        <v>361.73814955051915</v>
      </c>
    </row>
    <row r="108" spans="1:4" x14ac:dyDescent="0.15">
      <c r="A108" s="11">
        <v>102</v>
      </c>
      <c r="B108" s="5">
        <f t="shared" ref="B108:B171" si="9">$B$1/$B$2*A108</f>
        <v>5.0915141430948418</v>
      </c>
      <c r="C108" s="6">
        <f t="shared" ref="C108:C171" si="10">200*(B108/(5+B108))*EXP(-2*B108/$B$1)</f>
        <v>71.863139073221348</v>
      </c>
      <c r="D108" s="6">
        <f t="shared" ref="D108:D171" si="11">B108*C108</f>
        <v>365.89218895849802</v>
      </c>
    </row>
    <row r="109" spans="1:4" x14ac:dyDescent="0.15">
      <c r="A109" s="11">
        <v>103</v>
      </c>
      <c r="B109" s="5">
        <f t="shared" si="9"/>
        <v>5.141430948419301</v>
      </c>
      <c r="C109" s="6">
        <f t="shared" si="10"/>
        <v>71.970594890414148</v>
      </c>
      <c r="D109" s="6">
        <f t="shared" si="11"/>
        <v>370.03184394572332</v>
      </c>
    </row>
    <row r="110" spans="1:4" x14ac:dyDescent="0.15">
      <c r="A110" s="11">
        <v>104</v>
      </c>
      <c r="B110" s="5">
        <f t="shared" si="9"/>
        <v>5.1913477537437602</v>
      </c>
      <c r="C110" s="6">
        <f t="shared" si="10"/>
        <v>72.073163420112422</v>
      </c>
      <c r="D110" s="6">
        <f t="shared" si="11"/>
        <v>374.15685502620755</v>
      </c>
    </row>
    <row r="111" spans="1:4" x14ac:dyDescent="0.15">
      <c r="A111" s="11">
        <v>105</v>
      </c>
      <c r="B111" s="5">
        <f t="shared" si="9"/>
        <v>5.2412645590682194</v>
      </c>
      <c r="C111" s="6">
        <f t="shared" si="10"/>
        <v>72.170936440243338</v>
      </c>
      <c r="D111" s="6">
        <f t="shared" si="11"/>
        <v>378.26697135901247</v>
      </c>
    </row>
    <row r="112" spans="1:4" x14ac:dyDescent="0.15">
      <c r="A112" s="11">
        <v>106</v>
      </c>
      <c r="B112" s="5">
        <f t="shared" si="9"/>
        <v>5.2911813643926786</v>
      </c>
      <c r="C112" s="6">
        <f t="shared" si="10"/>
        <v>72.264003855666303</v>
      </c>
      <c r="D112" s="6">
        <f t="shared" si="11"/>
        <v>382.36195051750224</v>
      </c>
    </row>
    <row r="113" spans="1:4" x14ac:dyDescent="0.15">
      <c r="A113" s="11">
        <v>107</v>
      </c>
      <c r="B113" s="5">
        <f t="shared" si="9"/>
        <v>5.3410981697171378</v>
      </c>
      <c r="C113" s="6">
        <f t="shared" si="10"/>
        <v>72.352453743768564</v>
      </c>
      <c r="D113" s="6">
        <f t="shared" si="11"/>
        <v>386.44155826538616</v>
      </c>
    </row>
    <row r="114" spans="1:4" x14ac:dyDescent="0.15">
      <c r="A114" s="11">
        <v>108</v>
      </c>
      <c r="B114" s="5">
        <f t="shared" si="9"/>
        <v>5.391014975041597</v>
      </c>
      <c r="C114" s="6">
        <f t="shared" si="10"/>
        <v>72.436372398745476</v>
      </c>
      <c r="D114" s="6">
        <f t="shared" si="11"/>
        <v>390.50556833932666</v>
      </c>
    </row>
    <row r="115" spans="1:4" x14ac:dyDescent="0.15">
      <c r="A115" s="11">
        <v>109</v>
      </c>
      <c r="B115" s="5">
        <f t="shared" si="9"/>
        <v>5.4409317803660562</v>
      </c>
      <c r="C115" s="6">
        <f t="shared" si="10"/>
        <v>72.515844374608548</v>
      </c>
      <c r="D115" s="6">
        <f t="shared" si="11"/>
        <v>394.55376223788676</v>
      </c>
    </row>
    <row r="116" spans="1:4" x14ac:dyDescent="0.15">
      <c r="A116" s="11">
        <v>110</v>
      </c>
      <c r="B116" s="5">
        <f t="shared" si="9"/>
        <v>5.4908485856905154</v>
      </c>
      <c r="C116" s="6">
        <f t="shared" si="10"/>
        <v>72.590952526964628</v>
      </c>
      <c r="D116" s="6">
        <f t="shared" si="11"/>
        <v>398.58592901661109</v>
      </c>
    </row>
    <row r="117" spans="1:4" x14ac:dyDescent="0.15">
      <c r="A117" s="11">
        <v>111</v>
      </c>
      <c r="B117" s="5">
        <f t="shared" si="9"/>
        <v>5.5407653910149746</v>
      </c>
      <c r="C117" s="6">
        <f t="shared" si="10"/>
        <v>72.661778053605971</v>
      </c>
      <c r="D117" s="6">
        <f t="shared" si="11"/>
        <v>402.60186508903138</v>
      </c>
    </row>
    <row r="118" spans="1:4" x14ac:dyDescent="0.15">
      <c r="A118" s="11">
        <v>112</v>
      </c>
      <c r="B118" s="5">
        <f t="shared" si="9"/>
        <v>5.5906821963394338</v>
      </c>
      <c r="C118" s="6">
        <f t="shared" si="10"/>
        <v>72.728400533951401</v>
      </c>
      <c r="D118" s="6">
        <f t="shared" si="11"/>
        <v>406.60137403340548</v>
      </c>
    </row>
    <row r="119" spans="1:4" x14ac:dyDescent="0.15">
      <c r="A119" s="11">
        <v>113</v>
      </c>
      <c r="B119" s="5">
        <f t="shared" si="9"/>
        <v>5.6405990016638929</v>
      </c>
      <c r="C119" s="6">
        <f t="shared" si="10"/>
        <v>72.790897967375344</v>
      </c>
      <c r="D119" s="6">
        <f t="shared" si="11"/>
        <v>410.58426640499567</v>
      </c>
    </row>
    <row r="120" spans="1:4" x14ac:dyDescent="0.15">
      <c r="A120" s="11">
        <v>114</v>
      </c>
      <c r="B120" s="5">
        <f t="shared" si="9"/>
        <v>5.6905158069883521</v>
      </c>
      <c r="C120" s="6">
        <f t="shared" si="10"/>
        <v>72.849346810462123</v>
      </c>
      <c r="D120" s="6">
        <f t="shared" si="11"/>
        <v>414.55035955371119</v>
      </c>
    </row>
    <row r="121" spans="1:4" x14ac:dyDescent="0.15">
      <c r="A121" s="11">
        <v>115</v>
      </c>
      <c r="B121" s="5">
        <f t="shared" si="9"/>
        <v>5.7404326123128113</v>
      </c>
      <c r="C121" s="6">
        <f t="shared" si="10"/>
        <v>72.90382201321934</v>
      </c>
      <c r="D121" s="6">
        <f t="shared" si="11"/>
        <v>418.49947744693293</v>
      </c>
    </row>
    <row r="122" spans="1:4" x14ac:dyDescent="0.15">
      <c r="A122" s="11">
        <v>116</v>
      </c>
      <c r="B122" s="5">
        <f t="shared" si="9"/>
        <v>5.7903494176372705</v>
      </c>
      <c r="C122" s="6">
        <f t="shared" si="10"/>
        <v>72.954397054285138</v>
      </c>
      <c r="D122" s="6">
        <f t="shared" si="11"/>
        <v>422.43145049735813</v>
      </c>
    </row>
    <row r="123" spans="1:4" x14ac:dyDescent="0.15">
      <c r="A123" s="11">
        <v>117</v>
      </c>
      <c r="B123" s="5">
        <f t="shared" si="9"/>
        <v>5.8402662229617297</v>
      </c>
      <c r="C123" s="6">
        <f t="shared" si="10"/>
        <v>73.001143975161014</v>
      </c>
      <c r="D123" s="6">
        <f t="shared" si="11"/>
        <v>426.34611539569903</v>
      </c>
    </row>
    <row r="124" spans="1:4" x14ac:dyDescent="0.15">
      <c r="A124" s="11">
        <v>118</v>
      </c>
      <c r="B124" s="5">
        <f t="shared" si="9"/>
        <v>5.8901830282861898</v>
      </c>
      <c r="C124" s="6">
        <f t="shared" si="10"/>
        <v>73.044133413501854</v>
      </c>
      <c r="D124" s="6">
        <f t="shared" si="11"/>
        <v>430.24331494808081</v>
      </c>
    </row>
    <row r="125" spans="1:4" x14ac:dyDescent="0.15">
      <c r="A125" s="11">
        <v>119</v>
      </c>
      <c r="B125" s="5">
        <f t="shared" si="9"/>
        <v>5.940099833610649</v>
      </c>
      <c r="C125" s="6">
        <f t="shared" si="10"/>
        <v>73.083434635493049</v>
      </c>
      <c r="D125" s="6">
        <f t="shared" si="11"/>
        <v>434.12289791798702</v>
      </c>
    </row>
    <row r="126" spans="1:4" x14ac:dyDescent="0.15">
      <c r="A126" s="11">
        <v>120</v>
      </c>
      <c r="B126" s="5">
        <f t="shared" si="9"/>
        <v>5.9900166389351082</v>
      </c>
      <c r="C126" s="6">
        <f t="shared" si="10"/>
        <v>73.119115567344039</v>
      </c>
      <c r="D126" s="6">
        <f t="shared" si="11"/>
        <v>437.9847188726099</v>
      </c>
    </row>
    <row r="127" spans="1:4" x14ac:dyDescent="0.15">
      <c r="A127" s="11">
        <v>121</v>
      </c>
      <c r="B127" s="5">
        <f t="shared" si="9"/>
        <v>6.0399334442595674</v>
      </c>
      <c r="C127" s="6">
        <f t="shared" si="10"/>
        <v>73.151242825926019</v>
      </c>
      <c r="D127" s="6">
        <f t="shared" si="11"/>
        <v>441.82863803346333</v>
      </c>
    </row>
    <row r="128" spans="1:4" x14ac:dyDescent="0.15">
      <c r="A128" s="11">
        <v>122</v>
      </c>
      <c r="B128" s="5">
        <f t="shared" si="9"/>
        <v>6.0898502495840265</v>
      </c>
      <c r="C128" s="6">
        <f t="shared" si="10"/>
        <v>73.179881748580655</v>
      </c>
      <c r="D128" s="6">
        <f t="shared" si="11"/>
        <v>445.65452113112343</v>
      </c>
    </row>
    <row r="129" spans="1:4" x14ac:dyDescent="0.15">
      <c r="A129" s="11">
        <v>123</v>
      </c>
      <c r="B129" s="5">
        <f t="shared" si="9"/>
        <v>6.1397670549084857</v>
      </c>
      <c r="C129" s="6">
        <f t="shared" si="10"/>
        <v>73.205096422126275</v>
      </c>
      <c r="D129" s="6">
        <f t="shared" si="11"/>
        <v>449.46223926396999</v>
      </c>
    </row>
    <row r="130" spans="1:4" x14ac:dyDescent="0.15">
      <c r="A130" s="11">
        <v>124</v>
      </c>
      <c r="B130" s="5">
        <f t="shared" si="9"/>
        <v>6.1896838602329449</v>
      </c>
      <c r="C130" s="6">
        <f t="shared" si="10"/>
        <v>73.226949711086178</v>
      </c>
      <c r="D130" s="6">
        <f t="shared" si="11"/>
        <v>453.25166876079965</v>
      </c>
    </row>
    <row r="131" spans="1:4" x14ac:dyDescent="0.15">
      <c r="A131" s="11">
        <v>125</v>
      </c>
      <c r="B131" s="5">
        <f t="shared" si="9"/>
        <v>6.2396006655574041</v>
      </c>
      <c r="C131" s="6">
        <f t="shared" si="10"/>
        <v>73.245503285163338</v>
      </c>
      <c r="D131" s="6">
        <f t="shared" si="11"/>
        <v>457.02269104719221</v>
      </c>
    </row>
    <row r="132" spans="1:4" x14ac:dyDescent="0.15">
      <c r="A132" s="11">
        <v>126</v>
      </c>
      <c r="B132" s="5">
        <f t="shared" si="9"/>
        <v>6.2895174708818633</v>
      </c>
      <c r="C132" s="6">
        <f t="shared" si="10"/>
        <v>73.260817645985057</v>
      </c>
      <c r="D132" s="6">
        <f t="shared" si="11"/>
        <v>460.77519251551331</v>
      </c>
    </row>
    <row r="133" spans="1:4" x14ac:dyDescent="0.15">
      <c r="A133" s="11">
        <v>127</v>
      </c>
      <c r="B133" s="5">
        <f t="shared" si="9"/>
        <v>6.3394342762063225</v>
      </c>
      <c r="C133" s="6">
        <f t="shared" si="10"/>
        <v>73.272952153139684</v>
      </c>
      <c r="D133" s="6">
        <f t="shared" si="11"/>
        <v>464.50906439843959</v>
      </c>
    </row>
    <row r="134" spans="1:4" x14ac:dyDescent="0.15">
      <c r="A134" s="11">
        <v>128</v>
      </c>
      <c r="B134" s="5">
        <f t="shared" si="9"/>
        <v>6.3893510815307817</v>
      </c>
      <c r="C134" s="6">
        <f t="shared" si="10"/>
        <v>73.281965049527543</v>
      </c>
      <c r="D134" s="6">
        <f t="shared" si="11"/>
        <v>468.22420264589977</v>
      </c>
    </row>
    <row r="135" spans="1:4" x14ac:dyDescent="0.15">
      <c r="A135" s="11">
        <v>129</v>
      </c>
      <c r="B135" s="5">
        <f t="shared" si="9"/>
        <v>6.4392678868552409</v>
      </c>
      <c r="C135" s="6">
        <f t="shared" si="10"/>
        <v>73.287913486046776</v>
      </c>
      <c r="D135" s="6">
        <f t="shared" si="11"/>
        <v>471.92050780532611</v>
      </c>
    </row>
    <row r="136" spans="1:4" x14ac:dyDescent="0.15">
      <c r="A136" s="11">
        <v>130</v>
      </c>
      <c r="B136" s="5">
        <f t="shared" si="9"/>
        <v>6.4891846921797001</v>
      </c>
      <c r="C136" s="6">
        <f t="shared" si="10"/>
        <v>73.290853545634235</v>
      </c>
      <c r="D136" s="6">
        <f t="shared" si="11"/>
        <v>475.59788490511397</v>
      </c>
    </row>
    <row r="137" spans="1:4" x14ac:dyDescent="0.15">
      <c r="A137" s="11">
        <v>131</v>
      </c>
      <c r="B137" s="5">
        <f t="shared" si="9"/>
        <v>6.5391014975041593</v>
      </c>
      <c r="C137" s="6">
        <f t="shared" si="10"/>
        <v>73.290840266681258</v>
      </c>
      <c r="D137" s="6">
        <f t="shared" si="11"/>
        <v>479.25624334119357</v>
      </c>
    </row>
    <row r="138" spans="1:4" x14ac:dyDescent="0.15">
      <c r="A138" s="11">
        <v>132</v>
      </c>
      <c r="B138" s="5">
        <f t="shared" si="9"/>
        <v>6.5890183028286184</v>
      </c>
      <c r="C138" s="6">
        <f t="shared" si="10"/>
        <v>73.287927665842943</v>
      </c>
      <c r="D138" s="6">
        <f t="shared" si="11"/>
        <v>482.89549676661903</v>
      </c>
    </row>
    <row r="139" spans="1:4" x14ac:dyDescent="0.15">
      <c r="A139" s="11">
        <v>133</v>
      </c>
      <c r="B139" s="5">
        <f t="shared" si="9"/>
        <v>6.6389351081530776</v>
      </c>
      <c r="C139" s="6">
        <f t="shared" si="10"/>
        <v>73.282168760259367</v>
      </c>
      <c r="D139" s="6">
        <f t="shared" si="11"/>
        <v>486.51556298408462</v>
      </c>
    </row>
    <row r="140" spans="1:4" x14ac:dyDescent="0.15">
      <c r="A140" s="11">
        <v>134</v>
      </c>
      <c r="B140" s="5">
        <f t="shared" si="9"/>
        <v>6.6888519134775368</v>
      </c>
      <c r="C140" s="6">
        <f t="shared" si="10"/>
        <v>73.273615589205747</v>
      </c>
      <c r="D140" s="6">
        <f t="shared" si="11"/>
        <v>490.11636384127632</v>
      </c>
    </row>
    <row r="141" spans="1:4" x14ac:dyDescent="0.15">
      <c r="A141" s="11">
        <v>135</v>
      </c>
      <c r="B141" s="5">
        <f t="shared" si="9"/>
        <v>6.738768718801996</v>
      </c>
      <c r="C141" s="6">
        <f t="shared" si="10"/>
        <v>73.262319235189679</v>
      </c>
      <c r="D141" s="6">
        <f t="shared" si="11"/>
        <v>493.697825128982</v>
      </c>
    </row>
    <row r="142" spans="1:4" x14ac:dyDescent="0.15">
      <c r="A142" s="11">
        <v>136</v>
      </c>
      <c r="B142" s="5">
        <f t="shared" si="9"/>
        <v>6.7886855241264552</v>
      </c>
      <c r="C142" s="6">
        <f t="shared" si="10"/>
        <v>73.248329844510494</v>
      </c>
      <c r="D142" s="6">
        <f t="shared" si="11"/>
        <v>497.25987648186822</v>
      </c>
    </row>
    <row r="143" spans="1:4" x14ac:dyDescent="0.15">
      <c r="A143" s="11">
        <v>137</v>
      </c>
      <c r="B143" s="5">
        <f t="shared" si="9"/>
        <v>6.8386023294509144</v>
      </c>
      <c r="C143" s="6">
        <f t="shared" si="10"/>
        <v>73.231696647297625</v>
      </c>
      <c r="D143" s="6">
        <f t="shared" si="11"/>
        <v>500.80245128185226</v>
      </c>
    </row>
    <row r="144" spans="1:4" x14ac:dyDescent="0.15">
      <c r="A144" s="11">
        <v>138</v>
      </c>
      <c r="B144" s="5">
        <f t="shared" si="9"/>
        <v>6.8885191347753736</v>
      </c>
      <c r="C144" s="6">
        <f t="shared" si="10"/>
        <v>73.212467977042778</v>
      </c>
      <c r="D144" s="6">
        <f t="shared" si="11"/>
        <v>504.32548656398848</v>
      </c>
    </row>
    <row r="145" spans="1:4" x14ac:dyDescent="0.15">
      <c r="A145" s="11">
        <v>139</v>
      </c>
      <c r="B145" s="5">
        <f t="shared" si="9"/>
        <v>6.9384359400998337</v>
      </c>
      <c r="C145" s="6">
        <f t="shared" si="10"/>
        <v>73.190691289641137</v>
      </c>
      <c r="D145" s="6">
        <f t="shared" si="11"/>
        <v>507.82892292479789</v>
      </c>
    </row>
    <row r="146" spans="1:4" x14ac:dyDescent="0.15">
      <c r="A146" s="11">
        <v>140</v>
      </c>
      <c r="B146" s="5">
        <f t="shared" si="9"/>
        <v>6.9883527454242929</v>
      </c>
      <c r="C146" s="6">
        <f t="shared" si="10"/>
        <v>73.166413181955249</v>
      </c>
      <c r="D146" s="6">
        <f t="shared" si="11"/>
        <v>511.31270443296512</v>
      </c>
    </row>
    <row r="147" spans="1:4" x14ac:dyDescent="0.15">
      <c r="A147" s="11">
        <v>141</v>
      </c>
      <c r="B147" s="5">
        <f t="shared" si="9"/>
        <v>7.038269550748752</v>
      </c>
      <c r="C147" s="6">
        <f t="shared" si="10"/>
        <v>73.139679409916411</v>
      </c>
      <c r="D147" s="6">
        <f t="shared" si="11"/>
        <v>514.77677854234014</v>
      </c>
    </row>
    <row r="148" spans="1:4" x14ac:dyDescent="0.15">
      <c r="A148" s="11">
        <v>142</v>
      </c>
      <c r="B148" s="5">
        <f t="shared" si="9"/>
        <v>7.0881863560732112</v>
      </c>
      <c r="C148" s="6">
        <f t="shared" si="10"/>
        <v>73.110534906175843</v>
      </c>
      <c r="D148" s="6">
        <f t="shared" si="11"/>
        <v>518.22109600716988</v>
      </c>
    </row>
    <row r="149" spans="1:4" x14ac:dyDescent="0.15">
      <c r="A149" s="11">
        <v>143</v>
      </c>
      <c r="B149" s="5">
        <f t="shared" si="9"/>
        <v>7.1381031613976704</v>
      </c>
      <c r="C149" s="6">
        <f t="shared" si="10"/>
        <v>73.079023797319692</v>
      </c>
      <c r="D149" s="6">
        <f t="shared" si="11"/>
        <v>521.64561079950329</v>
      </c>
    </row>
    <row r="150" spans="1:4" x14ac:dyDescent="0.15">
      <c r="A150" s="11">
        <v>144</v>
      </c>
      <c r="B150" s="5">
        <f t="shared" si="9"/>
        <v>7.1880199667221296</v>
      </c>
      <c r="C150" s="6">
        <f t="shared" si="10"/>
        <v>73.045189420659284</v>
      </c>
      <c r="D150" s="6">
        <f t="shared" si="11"/>
        <v>525.05028002869904</v>
      </c>
    </row>
    <row r="151" spans="1:4" x14ac:dyDescent="0.15">
      <c r="A151" s="11">
        <v>145</v>
      </c>
      <c r="B151" s="5">
        <f t="shared" si="9"/>
        <v>7.2379367720465888</v>
      </c>
      <c r="C151" s="6">
        <f t="shared" si="10"/>
        <v>73.009074340609999</v>
      </c>
      <c r="D151" s="6">
        <f t="shared" si="11"/>
        <v>528.43506386298418</v>
      </c>
    </row>
    <row r="152" spans="1:4" x14ac:dyDescent="0.15">
      <c r="A152" s="11">
        <v>146</v>
      </c>
      <c r="B152" s="5">
        <f t="shared" si="9"/>
        <v>7.287853577371048</v>
      </c>
      <c r="C152" s="6">
        <f t="shared" si="10"/>
        <v>72.97072036466902</v>
      </c>
      <c r="D152" s="6">
        <f t="shared" si="11"/>
        <v>531.79992545299547</v>
      </c>
    </row>
    <row r="153" spans="1:4" x14ac:dyDescent="0.15">
      <c r="A153" s="11">
        <v>147</v>
      </c>
      <c r="B153" s="5">
        <f t="shared" si="9"/>
        <v>7.3377703826955072</v>
      </c>
      <c r="C153" s="6">
        <f t="shared" si="10"/>
        <v>72.930168559004841</v>
      </c>
      <c r="D153" s="6">
        <f t="shared" si="11"/>
        <v>535.14483085725681</v>
      </c>
    </row>
    <row r="154" spans="1:4" x14ac:dyDescent="0.15">
      <c r="A154" s="11">
        <v>148</v>
      </c>
      <c r="B154" s="5">
        <f t="shared" si="9"/>
        <v>7.3876871880199664</v>
      </c>
      <c r="C154" s="6">
        <f t="shared" si="10"/>
        <v>72.88745926366812</v>
      </c>
      <c r="D154" s="6">
        <f t="shared" si="11"/>
        <v>538.46974896952815</v>
      </c>
    </row>
    <row r="155" spans="1:4" x14ac:dyDescent="0.15">
      <c r="A155" s="11">
        <v>149</v>
      </c>
      <c r="B155" s="5">
        <f t="shared" si="9"/>
        <v>7.4376039933444256</v>
      </c>
      <c r="C155" s="6">
        <f t="shared" si="10"/>
        <v>72.84263210743562</v>
      </c>
      <c r="D155" s="6">
        <f t="shared" si="11"/>
        <v>541.77465144798202</v>
      </c>
    </row>
    <row r="156" spans="1:4" x14ac:dyDescent="0.15">
      <c r="A156" s="11">
        <v>150</v>
      </c>
      <c r="B156" s="5">
        <f t="shared" si="9"/>
        <v>7.4875207986688848</v>
      </c>
      <c r="C156" s="6">
        <f t="shared" si="10"/>
        <v>72.795726022296606</v>
      </c>
      <c r="D156" s="6">
        <f t="shared" si="11"/>
        <v>545.0595126461476</v>
      </c>
    </row>
    <row r="157" spans="1:4" x14ac:dyDescent="0.15">
      <c r="A157" s="11">
        <v>151</v>
      </c>
      <c r="B157" s="5">
        <f t="shared" si="9"/>
        <v>7.5374376039933439</v>
      </c>
      <c r="C157" s="6">
        <f t="shared" si="10"/>
        <v>72.746779257592564</v>
      </c>
      <c r="D157" s="6">
        <f t="shared" si="11"/>
        <v>548.32430954558117</v>
      </c>
    </row>
    <row r="158" spans="1:4" x14ac:dyDescent="0.15">
      <c r="A158" s="11">
        <v>152</v>
      </c>
      <c r="B158" s="5">
        <f t="shared" si="9"/>
        <v>7.5873544093178031</v>
      </c>
      <c r="C158" s="6">
        <f t="shared" si="10"/>
        <v>72.695829393818869</v>
      </c>
      <c r="D158" s="6">
        <f t="shared" si="11"/>
        <v>551.56902169020634</v>
      </c>
    </row>
    <row r="159" spans="1:4" x14ac:dyDescent="0.15">
      <c r="A159" s="11">
        <v>153</v>
      </c>
      <c r="B159" s="5">
        <f t="shared" si="9"/>
        <v>7.6372712146422623</v>
      </c>
      <c r="C159" s="6">
        <f t="shared" si="10"/>
        <v>72.642913356098774</v>
      </c>
      <c r="D159" s="6">
        <f t="shared" si="11"/>
        <v>554.79363112228509</v>
      </c>
    </row>
    <row r="160" spans="1:4" x14ac:dyDescent="0.15">
      <c r="A160" s="11">
        <v>154</v>
      </c>
      <c r="B160" s="5">
        <f t="shared" si="9"/>
        <v>7.6871880199667215</v>
      </c>
      <c r="C160" s="6">
        <f t="shared" si="10"/>
        <v>72.588067427337833</v>
      </c>
      <c r="D160" s="6">
        <f t="shared" si="11"/>
        <v>557.99812231996805</v>
      </c>
    </row>
    <row r="161" spans="1:4" x14ac:dyDescent="0.15">
      <c r="A161" s="11">
        <v>155</v>
      </c>
      <c r="B161" s="5">
        <f t="shared" si="9"/>
        <v>7.7371048252911807</v>
      </c>
      <c r="C161" s="6">
        <f t="shared" si="10"/>
        <v>72.531327261068384</v>
      </c>
      <c r="D161" s="6">
        <f t="shared" si="11"/>
        <v>561.18248213638594</v>
      </c>
    </row>
    <row r="162" spans="1:4" x14ac:dyDescent="0.15">
      <c r="A162" s="11">
        <v>156</v>
      </c>
      <c r="B162" s="5">
        <f t="shared" si="9"/>
        <v>7.7870216306156399</v>
      </c>
      <c r="C162" s="6">
        <f t="shared" si="10"/>
        <v>72.472727893991589</v>
      </c>
      <c r="D162" s="6">
        <f t="shared" si="11"/>
        <v>564.34669974023393</v>
      </c>
    </row>
    <row r="163" spans="1:4" x14ac:dyDescent="0.15">
      <c r="A163" s="11">
        <v>157</v>
      </c>
      <c r="B163" s="5">
        <f t="shared" si="9"/>
        <v>7.8369384359400991</v>
      </c>
      <c r="C163" s="6">
        <f t="shared" si="10"/>
        <v>72.412303758226457</v>
      </c>
      <c r="D163" s="6">
        <f t="shared" si="11"/>
        <v>567.4907665578146</v>
      </c>
    </row>
    <row r="164" spans="1:4" x14ac:dyDescent="0.15">
      <c r="A164" s="11">
        <v>158</v>
      </c>
      <c r="B164" s="5">
        <f t="shared" si="9"/>
        <v>7.8868552412645583</v>
      </c>
      <c r="C164" s="6">
        <f t="shared" si="10"/>
        <v>72.350088693272539</v>
      </c>
      <c r="D164" s="6">
        <f t="shared" si="11"/>
        <v>570.61467621649217</v>
      </c>
    </row>
    <row r="165" spans="1:4" x14ac:dyDescent="0.15">
      <c r="A165" s="11">
        <v>159</v>
      </c>
      <c r="B165" s="5">
        <f t="shared" si="9"/>
        <v>7.9367720465890175</v>
      </c>
      <c r="C165" s="6">
        <f t="shared" si="10"/>
        <v>72.286115957695088</v>
      </c>
      <c r="D165" s="6">
        <f t="shared" si="11"/>
        <v>573.71842448952668</v>
      </c>
    </row>
    <row r="166" spans="1:4" x14ac:dyDescent="0.15">
      <c r="A166" s="11">
        <v>160</v>
      </c>
      <c r="B166" s="5">
        <f t="shared" si="9"/>
        <v>7.9866888519134775</v>
      </c>
      <c r="C166" s="6">
        <f t="shared" si="10"/>
        <v>72.220418240539502</v>
      </c>
      <c r="D166" s="6">
        <f t="shared" si="11"/>
        <v>576.80200924224562</v>
      </c>
    </row>
    <row r="167" spans="1:4" x14ac:dyDescent="0.15">
      <c r="A167" s="11">
        <v>161</v>
      </c>
      <c r="B167" s="5">
        <f t="shared" si="9"/>
        <v>8.0366056572379367</v>
      </c>
      <c r="C167" s="6">
        <f t="shared" si="10"/>
        <v>72.153027672482523</v>
      </c>
      <c r="D167" s="6">
        <f t="shared" si="11"/>
        <v>579.86543037951844</v>
      </c>
    </row>
    <row r="168" spans="1:4" x14ac:dyDescent="0.15">
      <c r="A168" s="11">
        <v>162</v>
      </c>
      <c r="B168" s="5">
        <f t="shared" si="9"/>
        <v>8.0865224625623959</v>
      </c>
      <c r="C168" s="6">
        <f t="shared" si="10"/>
        <v>72.08397583672739</v>
      </c>
      <c r="D168" s="6">
        <f t="shared" si="11"/>
        <v>582.90868979450102</v>
      </c>
    </row>
    <row r="169" spans="1:4" x14ac:dyDescent="0.15">
      <c r="A169" s="11">
        <v>163</v>
      </c>
      <c r="B169" s="5">
        <f t="shared" si="9"/>
        <v>8.1364392678868551</v>
      </c>
      <c r="C169" s="6">
        <f t="shared" si="10"/>
        <v>72.013293779649345</v>
      </c>
      <c r="D169" s="6">
        <f t="shared" si="11"/>
        <v>585.93179131861109</v>
      </c>
    </row>
    <row r="170" spans="1:4" x14ac:dyDescent="0.15">
      <c r="A170" s="11">
        <v>164</v>
      </c>
      <c r="B170" s="5">
        <f t="shared" si="9"/>
        <v>8.1863560732113143</v>
      </c>
      <c r="C170" s="6">
        <f t="shared" si="10"/>
        <v>71.941012021198574</v>
      </c>
      <c r="D170" s="6">
        <f t="shared" si="11"/>
        <v>588.93474067270711</v>
      </c>
    </row>
    <row r="171" spans="1:4" x14ac:dyDescent="0.15">
      <c r="A171" s="11">
        <v>165</v>
      </c>
      <c r="B171" s="5">
        <f t="shared" si="9"/>
        <v>8.2362728785357735</v>
      </c>
      <c r="C171" s="6">
        <f t="shared" si="10"/>
        <v>71.867160565066698</v>
      </c>
      <c r="D171" s="6">
        <f t="shared" si="11"/>
        <v>591.91754541943453</v>
      </c>
    </row>
    <row r="172" spans="1:4" x14ac:dyDescent="0.15">
      <c r="A172" s="11">
        <v>166</v>
      </c>
      <c r="B172" s="5">
        <f t="shared" ref="B172:B207" si="12">$B$1/$B$2*A172</f>
        <v>8.2861896838602327</v>
      </c>
      <c r="C172" s="6">
        <f t="shared" ref="C172:C207" si="13">200*(B172/(5+B172))*EXP(-2*B172/$B$1)</f>
        <v>71.791768908623041</v>
      </c>
      <c r="D172" s="6">
        <f t="shared" ref="D172:D207" si="14">B172*C172</f>
        <v>594.88021491671009</v>
      </c>
    </row>
    <row r="173" spans="1:4" x14ac:dyDescent="0.15">
      <c r="A173" s="11">
        <v>167</v>
      </c>
      <c r="B173" s="5">
        <f t="shared" si="12"/>
        <v>8.3361064891846919</v>
      </c>
      <c r="C173" s="6">
        <f t="shared" si="13"/>
        <v>71.714866052626959</v>
      </c>
      <c r="D173" s="6">
        <f t="shared" si="14"/>
        <v>597.82276027231455</v>
      </c>
    </row>
    <row r="174" spans="1:4" x14ac:dyDescent="0.15">
      <c r="A174" s="11">
        <v>168</v>
      </c>
      <c r="B174" s="5">
        <f t="shared" si="12"/>
        <v>8.3860232945091511</v>
      </c>
      <c r="C174" s="6">
        <f t="shared" si="13"/>
        <v>71.636480510721725</v>
      </c>
      <c r="D174" s="6">
        <f t="shared" si="14"/>
        <v>600.7451942995632</v>
      </c>
    </row>
    <row r="175" spans="1:4" x14ac:dyDescent="0.15">
      <c r="A175" s="11">
        <v>169</v>
      </c>
      <c r="B175" s="5">
        <f t="shared" si="12"/>
        <v>8.4359400998336103</v>
      </c>
      <c r="C175" s="6">
        <f t="shared" si="13"/>
        <v>71.556640318715907</v>
      </c>
      <c r="D175" s="6">
        <f t="shared" si="14"/>
        <v>603.64753147402598</v>
      </c>
    </row>
    <row r="176" spans="1:4" x14ac:dyDescent="0.15">
      <c r="A176" s="11">
        <v>170</v>
      </c>
      <c r="B176" s="5">
        <f t="shared" si="12"/>
        <v>8.4858569051580695</v>
      </c>
      <c r="C176" s="6">
        <f t="shared" si="13"/>
        <v>71.475373043657825</v>
      </c>
      <c r="D176" s="6">
        <f t="shared" si="14"/>
        <v>606.52978789127269</v>
      </c>
    </row>
    <row r="177" spans="1:4" x14ac:dyDescent="0.15">
      <c r="A177" s="11">
        <v>171</v>
      </c>
      <c r="B177" s="5">
        <f t="shared" si="12"/>
        <v>8.5357737104825286</v>
      </c>
      <c r="C177" s="6">
        <f t="shared" si="13"/>
        <v>71.392705792707886</v>
      </c>
      <c r="D177" s="6">
        <f t="shared" si="14"/>
        <v>609.3919812256097</v>
      </c>
    </row>
    <row r="178" spans="1:4" x14ac:dyDescent="0.15">
      <c r="A178" s="11">
        <v>172</v>
      </c>
      <c r="B178" s="5">
        <f t="shared" si="12"/>
        <v>8.5856905158069878</v>
      </c>
      <c r="C178" s="6">
        <f t="shared" si="13"/>
        <v>71.308665221814934</v>
      </c>
      <c r="D178" s="6">
        <f t="shared" si="14"/>
        <v>612.2341306897921</v>
      </c>
    </row>
    <row r="179" spans="1:4" x14ac:dyDescent="0.15">
      <c r="A179" s="11">
        <v>173</v>
      </c>
      <c r="B179" s="5">
        <f t="shared" si="12"/>
        <v>8.635607321131447</v>
      </c>
      <c r="C179" s="6">
        <f t="shared" si="13"/>
        <v>71.223277544200599</v>
      </c>
      <c r="D179" s="6">
        <f t="shared" si="14"/>
        <v>615.05625699567565</v>
      </c>
    </row>
    <row r="180" spans="1:4" x14ac:dyDescent="0.15">
      <c r="A180" s="11">
        <v>174</v>
      </c>
      <c r="B180" s="5">
        <f t="shared" si="12"/>
        <v>8.6855241264559062</v>
      </c>
      <c r="C180" s="6">
        <f t="shared" si="13"/>
        <v>71.136568538657457</v>
      </c>
      <c r="D180" s="6">
        <f t="shared" si="14"/>
        <v>617.85838231579351</v>
      </c>
    </row>
    <row r="181" spans="1:4" x14ac:dyDescent="0.15">
      <c r="A181" s="11">
        <v>175</v>
      </c>
      <c r="B181" s="5">
        <f t="shared" si="12"/>
        <v>8.7354409317803654</v>
      </c>
      <c r="C181" s="6">
        <f t="shared" si="13"/>
        <v>71.048563557665005</v>
      </c>
      <c r="D181" s="6">
        <f t="shared" si="14"/>
        <v>620.64053024582574</v>
      </c>
    </row>
    <row r="182" spans="1:4" x14ac:dyDescent="0.15">
      <c r="A182" s="11">
        <v>176</v>
      </c>
      <c r="B182" s="5">
        <f t="shared" si="12"/>
        <v>8.7853577371048246</v>
      </c>
      <c r="C182" s="6">
        <f t="shared" si="13"/>
        <v>70.959287535328698</v>
      </c>
      <c r="D182" s="6">
        <f t="shared" si="14"/>
        <v>623.40272576794587</v>
      </c>
    </row>
    <row r="183" spans="1:4" x14ac:dyDescent="0.15">
      <c r="A183" s="11">
        <v>177</v>
      </c>
      <c r="B183" s="5">
        <f t="shared" si="12"/>
        <v>8.8352745424292838</v>
      </c>
      <c r="C183" s="6">
        <f t="shared" si="13"/>
        <v>70.868764995146009</v>
      </c>
      <c r="D183" s="6">
        <f t="shared" si="14"/>
        <v>626.14499521501705</v>
      </c>
    </row>
    <row r="184" spans="1:4" x14ac:dyDescent="0.15">
      <c r="A184" s="11">
        <v>178</v>
      </c>
      <c r="B184" s="5">
        <f t="shared" si="12"/>
        <v>8.885191347753743</v>
      </c>
      <c r="C184" s="6">
        <f t="shared" si="13"/>
        <v>70.777020057604219</v>
      </c>
      <c r="D184" s="6">
        <f t="shared" si="14"/>
        <v>628.86736623561808</v>
      </c>
    </row>
    <row r="185" spans="1:4" x14ac:dyDescent="0.15">
      <c r="A185" s="11">
        <v>179</v>
      </c>
      <c r="B185" s="5">
        <f t="shared" si="12"/>
        <v>8.9351081530782022</v>
      </c>
      <c r="C185" s="6">
        <f t="shared" si="13"/>
        <v>70.684076447614046</v>
      </c>
      <c r="D185" s="6">
        <f t="shared" si="14"/>
        <v>631.56986775987923</v>
      </c>
    </row>
    <row r="186" spans="1:4" x14ac:dyDescent="0.15">
      <c r="A186" s="11">
        <v>180</v>
      </c>
      <c r="B186" s="5">
        <f t="shared" si="12"/>
        <v>8.9850249584026614</v>
      </c>
      <c r="C186" s="6">
        <f t="shared" si="13"/>
        <v>70.589957501782948</v>
      </c>
      <c r="D186" s="6">
        <f t="shared" si="14"/>
        <v>634.252529966103</v>
      </c>
    </row>
    <row r="187" spans="1:4" x14ac:dyDescent="0.15">
      <c r="A187" s="11">
        <v>181</v>
      </c>
      <c r="B187" s="5">
        <f t="shared" si="12"/>
        <v>9.0349417637271205</v>
      </c>
      <c r="C187" s="6">
        <f t="shared" si="13"/>
        <v>70.494686175532792</v>
      </c>
      <c r="D187" s="6">
        <f t="shared" si="14"/>
        <v>636.91538424815815</v>
      </c>
    </row>
    <row r="188" spans="1:4" x14ac:dyDescent="0.15">
      <c r="A188" s="11">
        <v>182</v>
      </c>
      <c r="B188" s="5">
        <f t="shared" si="12"/>
        <v>9.0848585690515797</v>
      </c>
      <c r="C188" s="6">
        <f t="shared" si="13"/>
        <v>70.398285050064899</v>
      </c>
      <c r="D188" s="6">
        <f t="shared" si="14"/>
        <v>639.55846318361785</v>
      </c>
    </row>
    <row r="189" spans="1:4" x14ac:dyDescent="0.15">
      <c r="A189" s="11">
        <v>183</v>
      </c>
      <c r="B189" s="5">
        <f t="shared" si="12"/>
        <v>9.1347753743760389</v>
      </c>
      <c r="C189" s="6">
        <f t="shared" si="13"/>
        <v>70.300776339176906</v>
      </c>
      <c r="D189" s="6">
        <f t="shared" si="14"/>
        <v>642.18180050263095</v>
      </c>
    </row>
    <row r="190" spans="1:4" x14ac:dyDescent="0.15">
      <c r="A190" s="11">
        <v>184</v>
      </c>
      <c r="B190" s="5">
        <f t="shared" si="12"/>
        <v>9.1846921797004981</v>
      </c>
      <c r="C190" s="6">
        <f t="shared" si="13"/>
        <v>70.202181895934643</v>
      </c>
      <c r="D190" s="6">
        <f t="shared" si="14"/>
        <v>644.78543105750282</v>
      </c>
    </row>
    <row r="191" spans="1:4" x14ac:dyDescent="0.15">
      <c r="A191" s="11">
        <v>185</v>
      </c>
      <c r="B191" s="5">
        <f t="shared" si="12"/>
        <v>9.2346089850249573</v>
      </c>
      <c r="C191" s="6">
        <f t="shared" si="13"/>
        <v>70.102523219203036</v>
      </c>
      <c r="D191" s="6">
        <f t="shared" si="14"/>
        <v>647.36939079297304</v>
      </c>
    </row>
    <row r="192" spans="1:4" x14ac:dyDescent="0.15">
      <c r="A192" s="11">
        <v>186</v>
      </c>
      <c r="B192" s="5">
        <f t="shared" si="12"/>
        <v>9.2845257903494165</v>
      </c>
      <c r="C192" s="6">
        <f t="shared" si="13"/>
        <v>70.001821460039054</v>
      </c>
      <c r="D192" s="6">
        <f t="shared" si="14"/>
        <v>649.93371671716784</v>
      </c>
    </row>
    <row r="193" spans="1:4" x14ac:dyDescent="0.15">
      <c r="A193" s="11">
        <v>187</v>
      </c>
      <c r="B193" s="5">
        <f t="shared" si="12"/>
        <v>9.3344425956738757</v>
      </c>
      <c r="C193" s="6">
        <f t="shared" si="13"/>
        <v>69.900097427950229</v>
      </c>
      <c r="D193" s="6">
        <f t="shared" si="14"/>
        <v>652.47844687321253</v>
      </c>
    </row>
    <row r="194" spans="1:4" x14ac:dyDescent="0.15">
      <c r="A194" s="11">
        <v>188</v>
      </c>
      <c r="B194" s="5">
        <f t="shared" si="12"/>
        <v>9.3843594009983349</v>
      </c>
      <c r="C194" s="6">
        <f t="shared" si="13"/>
        <v>69.797371597022249</v>
      </c>
      <c r="D194" s="6">
        <f t="shared" si="14"/>
        <v>655.00362031148995</v>
      </c>
    </row>
    <row r="195" spans="1:4" x14ac:dyDescent="0.15">
      <c r="A195" s="11">
        <v>189</v>
      </c>
      <c r="B195" s="5">
        <f t="shared" si="12"/>
        <v>9.4342762063227941</v>
      </c>
      <c r="C195" s="6">
        <f t="shared" si="13"/>
        <v>69.693664111918423</v>
      </c>
      <c r="D195" s="6">
        <f t="shared" si="14"/>
        <v>657.5092770625248</v>
      </c>
    </row>
    <row r="196" spans="1:4" x14ac:dyDescent="0.15">
      <c r="A196" s="11">
        <v>190</v>
      </c>
      <c r="B196" s="5">
        <f t="shared" si="12"/>
        <v>9.4841930116472533</v>
      </c>
      <c r="C196" s="6">
        <f t="shared" si="13"/>
        <v>69.588994793754196</v>
      </c>
      <c r="D196" s="6">
        <f t="shared" si="14"/>
        <v>659.99545811048063</v>
      </c>
    </row>
    <row r="197" spans="1:4" x14ac:dyDescent="0.15">
      <c r="A197" s="11">
        <v>191</v>
      </c>
      <c r="B197" s="5">
        <f t="shared" si="12"/>
        <v>9.5341098169717124</v>
      </c>
      <c r="C197" s="6">
        <f t="shared" si="13"/>
        <v>69.483383145850112</v>
      </c>
      <c r="D197" s="6">
        <f t="shared" si="14"/>
        <v>662.46220536725639</v>
      </c>
    </row>
    <row r="198" spans="1:4" x14ac:dyDescent="0.15">
      <c r="A198" s="11">
        <v>192</v>
      </c>
      <c r="B198" s="5">
        <f t="shared" si="12"/>
        <v>9.5840266222961716</v>
      </c>
      <c r="C198" s="6">
        <f t="shared" si="13"/>
        <v>69.376848359365482</v>
      </c>
      <c r="D198" s="6">
        <f t="shared" si="14"/>
        <v>664.90956164716329</v>
      </c>
    </row>
    <row r="199" spans="1:4" x14ac:dyDescent="0.15">
      <c r="A199" s="11">
        <v>193</v>
      </c>
      <c r="B199" s="5">
        <f t="shared" si="12"/>
        <v>9.6339434276206326</v>
      </c>
      <c r="C199" s="6">
        <f t="shared" si="13"/>
        <v>69.269409318816244</v>
      </c>
      <c r="D199" s="6">
        <f t="shared" si="14"/>
        <v>667.3375706421732</v>
      </c>
    </row>
    <row r="200" spans="1:4" x14ac:dyDescent="0.15">
      <c r="A200" s="11">
        <v>194</v>
      </c>
      <c r="B200" s="5">
        <f t="shared" si="12"/>
        <v>9.6838602329450918</v>
      </c>
      <c r="C200" s="6">
        <f t="shared" si="13"/>
        <v>69.161084607479282</v>
      </c>
      <c r="D200" s="6">
        <f t="shared" si="14"/>
        <v>669.74627689771955</v>
      </c>
    </row>
    <row r="201" spans="1:4" x14ac:dyDescent="0.15">
      <c r="A201" s="11">
        <v>195</v>
      </c>
      <c r="B201" s="5">
        <f t="shared" si="12"/>
        <v>9.733777038269551</v>
      </c>
      <c r="C201" s="6">
        <f t="shared" si="13"/>
        <v>69.051892512686223</v>
      </c>
      <c r="D201" s="6">
        <f t="shared" si="14"/>
        <v>672.13572578904234</v>
      </c>
    </row>
    <row r="202" spans="1:4" x14ac:dyDescent="0.15">
      <c r="A202" s="11">
        <v>196</v>
      </c>
      <c r="B202" s="5">
        <f t="shared" si="12"/>
        <v>9.7836938435940102</v>
      </c>
      <c r="C202" s="6">
        <f t="shared" si="13"/>
        <v>68.941851031009108</v>
      </c>
      <c r="D202" s="6">
        <f t="shared" si="14"/>
        <v>674.50596349805915</v>
      </c>
    </row>
    <row r="203" spans="1:4" x14ac:dyDescent="0.15">
      <c r="A203" s="11">
        <v>197</v>
      </c>
      <c r="B203" s="5">
        <f t="shared" si="12"/>
        <v>9.8336106489184694</v>
      </c>
      <c r="C203" s="6">
        <f t="shared" si="13"/>
        <v>68.830977873340842</v>
      </c>
      <c r="D203" s="6">
        <f t="shared" si="14"/>
        <v>676.857036990756</v>
      </c>
    </row>
    <row r="204" spans="1:4" x14ac:dyDescent="0.15">
      <c r="A204" s="11">
        <v>198</v>
      </c>
      <c r="B204" s="5">
        <f t="shared" si="12"/>
        <v>9.8835274542429286</v>
      </c>
      <c r="C204" s="6">
        <f t="shared" si="13"/>
        <v>68.719290469872277</v>
      </c>
      <c r="D204" s="6">
        <f t="shared" si="14"/>
        <v>679.18899399507711</v>
      </c>
    </row>
    <row r="205" spans="1:4" x14ac:dyDescent="0.15">
      <c r="A205" s="11">
        <v>199</v>
      </c>
      <c r="B205" s="5">
        <f t="shared" si="12"/>
        <v>9.9334442595673877</v>
      </c>
      <c r="C205" s="6">
        <f t="shared" si="13"/>
        <v>68.606805974968921</v>
      </c>
      <c r="D205" s="6">
        <f t="shared" si="14"/>
        <v>681.50188297930856</v>
      </c>
    </row>
    <row r="206" spans="1:4" x14ac:dyDescent="0.15">
      <c r="A206" s="11">
        <v>200</v>
      </c>
      <c r="B206" s="5">
        <f t="shared" si="12"/>
        <v>9.9833610648918469</v>
      </c>
      <c r="C206" s="6">
        <f t="shared" si="13"/>
        <v>68.493541271949482</v>
      </c>
      <c r="D206" s="6">
        <f t="shared" si="14"/>
        <v>683.79575313094324</v>
      </c>
    </row>
    <row r="207" spans="1:4" x14ac:dyDescent="0.15">
      <c r="A207" s="11">
        <v>201</v>
      </c>
      <c r="B207" s="5">
        <f t="shared" si="12"/>
        <v>10.033277870216306</v>
      </c>
      <c r="C207" s="6">
        <f t="shared" si="13"/>
        <v>68.379512977768343</v>
      </c>
      <c r="D207" s="6">
        <f t="shared" si="14"/>
        <v>686.07065433601178</v>
      </c>
    </row>
    <row r="208" spans="1:4" x14ac:dyDescent="0.15">
      <c r="A208" s="11">
        <v>202</v>
      </c>
      <c r="B208" s="5">
        <f t="shared" ref="B208:B271" si="15">$B$1/$B$2*A208</f>
        <v>10.083194675540765</v>
      </c>
      <c r="C208" s="6">
        <f t="shared" ref="C208:C271" si="16">200*(B208/(5+B208))*EXP(-2*B208/$B$1)</f>
        <v>68.264737447604276</v>
      </c>
      <c r="D208" s="6">
        <f t="shared" ref="D208:D271" si="17">B208*C208</f>
        <v>688.32663715887168</v>
      </c>
    </row>
    <row r="209" spans="1:4" x14ac:dyDescent="0.15">
      <c r="A209" s="11">
        <v>203</v>
      </c>
      <c r="B209" s="5">
        <f t="shared" si="15"/>
        <v>10.133111480865225</v>
      </c>
      <c r="C209" s="6">
        <f t="shared" si="16"/>
        <v>68.149230779357737</v>
      </c>
      <c r="D209" s="6">
        <f t="shared" si="17"/>
        <v>690.56375282244358</v>
      </c>
    </row>
    <row r="210" spans="1:4" x14ac:dyDescent="0.15">
      <c r="A210" s="11">
        <v>204</v>
      </c>
      <c r="B210" s="5">
        <f t="shared" si="15"/>
        <v>10.183028286189684</v>
      </c>
      <c r="C210" s="6">
        <f t="shared" si="16"/>
        <v>68.033008818058661</v>
      </c>
      <c r="D210" s="6">
        <f t="shared" si="17"/>
        <v>692.78205318888354</v>
      </c>
    </row>
    <row r="211" spans="1:4" x14ac:dyDescent="0.15">
      <c r="A211" s="11">
        <v>205</v>
      </c>
      <c r="B211" s="5">
        <f t="shared" si="15"/>
        <v>10.232945091514143</v>
      </c>
      <c r="C211" s="6">
        <f t="shared" si="16"/>
        <v>67.916087160186805</v>
      </c>
      <c r="D211" s="6">
        <f t="shared" si="17"/>
        <v>694.9815907406803</v>
      </c>
    </row>
    <row r="212" spans="1:4" x14ac:dyDescent="0.15">
      <c r="A212" s="11">
        <v>206</v>
      </c>
      <c r="B212" s="5">
        <f t="shared" si="15"/>
        <v>10.282861896838602</v>
      </c>
      <c r="C212" s="6">
        <f t="shared" si="16"/>
        <v>67.79848115790675</v>
      </c>
      <c r="D212" s="6">
        <f t="shared" si="17"/>
        <v>697.16241856216925</v>
      </c>
    </row>
    <row r="213" spans="1:4" x14ac:dyDescent="0.15">
      <c r="A213" s="11">
        <v>207</v>
      </c>
      <c r="B213" s="5">
        <f t="shared" si="15"/>
        <v>10.332778702163061</v>
      </c>
      <c r="C213" s="6">
        <f t="shared" si="16"/>
        <v>67.680205923219503</v>
      </c>
      <c r="D213" s="6">
        <f t="shared" si="17"/>
        <v>699.32459032145277</v>
      </c>
    </row>
    <row r="214" spans="1:4" x14ac:dyDescent="0.15">
      <c r="A214" s="11">
        <v>208</v>
      </c>
      <c r="B214" s="5">
        <f t="shared" si="15"/>
        <v>10.38269550748752</v>
      </c>
      <c r="C214" s="6">
        <f t="shared" si="16"/>
        <v>67.561276332032492</v>
      </c>
      <c r="D214" s="6">
        <f t="shared" si="17"/>
        <v>701.46816025271664</v>
      </c>
    </row>
    <row r="215" spans="1:4" x14ac:dyDescent="0.15">
      <c r="A215" s="11">
        <v>209</v>
      </c>
      <c r="B215" s="5">
        <f t="shared" si="15"/>
        <v>10.43261231281198</v>
      </c>
      <c r="C215" s="6">
        <f t="shared" si="16"/>
        <v>67.441707028149892</v>
      </c>
      <c r="D215" s="6">
        <f t="shared" si="17"/>
        <v>703.59318313893482</v>
      </c>
    </row>
    <row r="216" spans="1:4" x14ac:dyDescent="0.15">
      <c r="A216" s="11">
        <v>210</v>
      </c>
      <c r="B216" s="5">
        <f t="shared" si="15"/>
        <v>10.482529118136439</v>
      </c>
      <c r="C216" s="6">
        <f t="shared" si="16"/>
        <v>67.321512427185056</v>
      </c>
      <c r="D216" s="6">
        <f t="shared" si="17"/>
        <v>705.69971429495149</v>
      </c>
    </row>
    <row r="217" spans="1:4" x14ac:dyDescent="0.15">
      <c r="A217" s="11">
        <v>211</v>
      </c>
      <c r="B217" s="5">
        <f t="shared" si="15"/>
        <v>10.532445923460898</v>
      </c>
      <c r="C217" s="6">
        <f t="shared" si="16"/>
        <v>67.200706720396809</v>
      </c>
      <c r="D217" s="6">
        <f t="shared" si="17"/>
        <v>707.78780955093475</v>
      </c>
    </row>
    <row r="218" spans="1:4" x14ac:dyDescent="0.15">
      <c r="A218" s="11">
        <v>212</v>
      </c>
      <c r="B218" s="5">
        <f t="shared" si="15"/>
        <v>10.582362728785357</v>
      </c>
      <c r="C218" s="6">
        <f t="shared" si="16"/>
        <v>67.079303878451327</v>
      </c>
      <c r="D218" s="6">
        <f t="shared" si="17"/>
        <v>709.85752523619033</v>
      </c>
    </row>
    <row r="219" spans="1:4" x14ac:dyDescent="0.15">
      <c r="A219" s="11">
        <v>213</v>
      </c>
      <c r="B219" s="5">
        <f t="shared" si="15"/>
        <v>10.632279534109816</v>
      </c>
      <c r="C219" s="6">
        <f t="shared" si="16"/>
        <v>66.957317655111197</v>
      </c>
      <c r="D219" s="6">
        <f t="shared" si="17"/>
        <v>711.90891816332862</v>
      </c>
    </row>
    <row r="220" spans="1:4" x14ac:dyDescent="0.15">
      <c r="A220" s="11">
        <v>214</v>
      </c>
      <c r="B220" s="5">
        <f t="shared" si="15"/>
        <v>10.682196339434276</v>
      </c>
      <c r="C220" s="6">
        <f t="shared" si="16"/>
        <v>66.834761590853503</v>
      </c>
      <c r="D220" s="6">
        <f t="shared" si="17"/>
        <v>713.94204561277786</v>
      </c>
    </row>
    <row r="221" spans="1:4" x14ac:dyDescent="0.15">
      <c r="A221" s="11">
        <v>215</v>
      </c>
      <c r="B221" s="5">
        <f t="shared" si="15"/>
        <v>10.732113144758735</v>
      </c>
      <c r="C221" s="6">
        <f t="shared" si="16"/>
        <v>66.71164901641805</v>
      </c>
      <c r="D221" s="6">
        <f t="shared" si="17"/>
        <v>715.95696531763133</v>
      </c>
    </row>
    <row r="222" spans="1:4" x14ac:dyDescent="0.15">
      <c r="A222" s="11">
        <v>216</v>
      </c>
      <c r="B222" s="5">
        <f t="shared" si="15"/>
        <v>10.782029950083194</v>
      </c>
      <c r="C222" s="6">
        <f t="shared" si="16"/>
        <v>66.587993056287971</v>
      </c>
      <c r="D222" s="6">
        <f t="shared" si="17"/>
        <v>717.95373544882864</v>
      </c>
    </row>
    <row r="223" spans="1:4" x14ac:dyDescent="0.15">
      <c r="A223" s="11">
        <v>217</v>
      </c>
      <c r="B223" s="5">
        <f t="shared" si="15"/>
        <v>10.831946755407653</v>
      </c>
      <c r="C223" s="6">
        <f t="shared" si="16"/>
        <v>66.463806632103456</v>
      </c>
      <c r="D223" s="6">
        <f t="shared" si="17"/>
        <v>719.93241460065474</v>
      </c>
    </row>
    <row r="224" spans="1:4" x14ac:dyDescent="0.15">
      <c r="A224" s="11">
        <v>218</v>
      </c>
      <c r="B224" s="5">
        <f t="shared" si="15"/>
        <v>10.881863560732112</v>
      </c>
      <c r="C224" s="6">
        <f t="shared" si="16"/>
        <v>66.339102466010743</v>
      </c>
      <c r="D224" s="6">
        <f t="shared" si="17"/>
        <v>721.89306177655612</v>
      </c>
    </row>
    <row r="225" spans="1:4" x14ac:dyDescent="0.15">
      <c r="A225" s="11">
        <v>219</v>
      </c>
      <c r="B225" s="5">
        <f t="shared" si="15"/>
        <v>10.931780366056572</v>
      </c>
      <c r="C225" s="6">
        <f t="shared" si="16"/>
        <v>66.213893083947255</v>
      </c>
      <c r="D225" s="6">
        <f t="shared" si="17"/>
        <v>723.83573637526365</v>
      </c>
    </row>
    <row r="226" spans="1:4" x14ac:dyDescent="0.15">
      <c r="A226" s="11">
        <v>220</v>
      </c>
      <c r="B226" s="5">
        <f t="shared" si="15"/>
        <v>10.981697171381031</v>
      </c>
      <c r="C226" s="6">
        <f t="shared" si="16"/>
        <v>66.088190818864646</v>
      </c>
      <c r="D226" s="6">
        <f t="shared" si="17"/>
        <v>725.76049817721571</v>
      </c>
    </row>
    <row r="227" spans="1:4" x14ac:dyDescent="0.15">
      <c r="A227" s="11">
        <v>221</v>
      </c>
      <c r="B227" s="5">
        <f t="shared" si="15"/>
        <v>11.03161397670549</v>
      </c>
      <c r="C227" s="6">
        <f t="shared" si="16"/>
        <v>65.962007813890992</v>
      </c>
      <c r="D227" s="6">
        <f t="shared" si="17"/>
        <v>727.66740733127665</v>
      </c>
    </row>
    <row r="228" spans="1:4" x14ac:dyDescent="0.15">
      <c r="A228" s="11">
        <v>222</v>
      </c>
      <c r="B228" s="5">
        <f t="shared" si="15"/>
        <v>11.081530782029949</v>
      </c>
      <c r="C228" s="6">
        <f t="shared" si="16"/>
        <v>65.835356025433356</v>
      </c>
      <c r="D228" s="6">
        <f t="shared" si="17"/>
        <v>729.55652434174067</v>
      </c>
    </row>
    <row r="229" spans="1:4" x14ac:dyDescent="0.15">
      <c r="A229" s="11">
        <v>223</v>
      </c>
      <c r="B229" s="5">
        <f t="shared" si="15"/>
        <v>11.131447587354408</v>
      </c>
      <c r="C229" s="6">
        <f t="shared" si="16"/>
        <v>65.708247226222269</v>
      </c>
      <c r="D229" s="6">
        <f t="shared" si="17"/>
        <v>731.4279100556189</v>
      </c>
    </row>
    <row r="230" spans="1:4" x14ac:dyDescent="0.15">
      <c r="A230" s="11">
        <v>224</v>
      </c>
      <c r="B230" s="5">
        <f t="shared" si="15"/>
        <v>11.181364392678868</v>
      </c>
      <c r="C230" s="6">
        <f t="shared" si="16"/>
        <v>65.580693008298979</v>
      </c>
      <c r="D230" s="6">
        <f t="shared" si="17"/>
        <v>733.28162565019818</v>
      </c>
    </row>
    <row r="231" spans="1:4" x14ac:dyDescent="0.15">
      <c r="A231" s="11">
        <v>225</v>
      </c>
      <c r="B231" s="5">
        <f t="shared" si="15"/>
        <v>11.231281198003327</v>
      </c>
      <c r="C231" s="6">
        <f t="shared" si="16"/>
        <v>65.452704785947205</v>
      </c>
      <c r="D231" s="6">
        <f t="shared" si="17"/>
        <v>735.11773262087115</v>
      </c>
    </row>
    <row r="232" spans="1:4" x14ac:dyDescent="0.15">
      <c r="A232" s="11">
        <v>226</v>
      </c>
      <c r="B232" s="5">
        <f t="shared" si="15"/>
        <v>11.281198003327786</v>
      </c>
      <c r="C232" s="6">
        <f t="shared" si="16"/>
        <v>65.324293798570196</v>
      </c>
      <c r="D232" s="6">
        <f t="shared" si="17"/>
        <v>736.93629276922775</v>
      </c>
    </row>
    <row r="233" spans="1:4" x14ac:dyDescent="0.15">
      <c r="A233" s="11">
        <v>227</v>
      </c>
      <c r="B233" s="5">
        <f t="shared" si="15"/>
        <v>11.331114808652245</v>
      </c>
      <c r="C233" s="6">
        <f t="shared" si="16"/>
        <v>65.195471113514415</v>
      </c>
      <c r="D233" s="6">
        <f t="shared" si="17"/>
        <v>738.73736819140288</v>
      </c>
    </row>
    <row r="234" spans="1:4" x14ac:dyDescent="0.15">
      <c r="A234" s="11">
        <v>228</v>
      </c>
      <c r="B234" s="5">
        <f t="shared" si="15"/>
        <v>11.381031613976704</v>
      </c>
      <c r="C234" s="6">
        <f t="shared" si="16"/>
        <v>65.066247628840969</v>
      </c>
      <c r="D234" s="6">
        <f t="shared" si="17"/>
        <v>740.5210212666758</v>
      </c>
    </row>
    <row r="235" spans="1:4" x14ac:dyDescent="0.15">
      <c r="A235" s="11">
        <v>229</v>
      </c>
      <c r="B235" s="5">
        <f t="shared" si="15"/>
        <v>11.430948419301163</v>
      </c>
      <c r="C235" s="6">
        <f t="shared" si="16"/>
        <v>64.936634076045976</v>
      </c>
      <c r="D235" s="6">
        <f t="shared" si="17"/>
        <v>742.28731464631585</v>
      </c>
    </row>
    <row r="236" spans="1:4" x14ac:dyDescent="0.15">
      <c r="A236" s="11">
        <v>230</v>
      </c>
      <c r="B236" s="5">
        <f t="shared" si="15"/>
        <v>11.480865224625623</v>
      </c>
      <c r="C236" s="6">
        <f t="shared" si="16"/>
        <v>64.806641022730858</v>
      </c>
      <c r="D236" s="6">
        <f t="shared" si="17"/>
        <v>744.03631124266701</v>
      </c>
    </row>
    <row r="237" spans="1:4" x14ac:dyDescent="0.15">
      <c r="A237" s="11">
        <v>231</v>
      </c>
      <c r="B237" s="5">
        <f t="shared" si="15"/>
        <v>11.530782029950082</v>
      </c>
      <c r="C237" s="6">
        <f t="shared" si="16"/>
        <v>64.676278875223588</v>
      </c>
      <c r="D237" s="6">
        <f t="shared" si="17"/>
        <v>745.7680742184682</v>
      </c>
    </row>
    <row r="238" spans="1:4" x14ac:dyDescent="0.15">
      <c r="A238" s="11">
        <v>232</v>
      </c>
      <c r="B238" s="5">
        <f t="shared" si="15"/>
        <v>11.580698835274541</v>
      </c>
      <c r="C238" s="6">
        <f t="shared" si="16"/>
        <v>64.545557881152064</v>
      </c>
      <c r="D238" s="6">
        <f t="shared" si="17"/>
        <v>747.48266697640315</v>
      </c>
    </row>
    <row r="239" spans="1:4" x14ac:dyDescent="0.15">
      <c r="A239" s="11">
        <v>233</v>
      </c>
      <c r="B239" s="5">
        <f t="shared" si="15"/>
        <v>11.630615640599</v>
      </c>
      <c r="C239" s="6">
        <f t="shared" si="16"/>
        <v>64.414488131970458</v>
      </c>
      <c r="D239" s="6">
        <f t="shared" si="17"/>
        <v>749.1801531488743</v>
      </c>
    </row>
    <row r="240" spans="1:4" x14ac:dyDescent="0.15">
      <c r="A240" s="11">
        <v>234</v>
      </c>
      <c r="B240" s="5">
        <f t="shared" si="15"/>
        <v>11.680532445923459</v>
      </c>
      <c r="C240" s="6">
        <f t="shared" si="16"/>
        <v>64.283079565439778</v>
      </c>
      <c r="D240" s="6">
        <f t="shared" si="17"/>
        <v>750.86059658799866</v>
      </c>
    </row>
    <row r="241" spans="1:4" x14ac:dyDescent="0.15">
      <c r="A241" s="11">
        <v>235</v>
      </c>
      <c r="B241" s="5">
        <f t="shared" si="15"/>
        <v>11.73044925124792</v>
      </c>
      <c r="C241" s="6">
        <f t="shared" si="16"/>
        <v>64.151341968063235</v>
      </c>
      <c r="D241" s="6">
        <f t="shared" si="17"/>
        <v>752.52406135581668</v>
      </c>
    </row>
    <row r="242" spans="1:4" x14ac:dyDescent="0.15">
      <c r="A242" s="11">
        <v>236</v>
      </c>
      <c r="B242" s="5">
        <f t="shared" si="15"/>
        <v>11.78036605657238</v>
      </c>
      <c r="C242" s="6">
        <f t="shared" si="16"/>
        <v>64.019284977477639</v>
      </c>
      <c r="D242" s="6">
        <f t="shared" si="17"/>
        <v>754.17061171471164</v>
      </c>
    </row>
    <row r="243" spans="1:4" x14ac:dyDescent="0.15">
      <c r="A243" s="11">
        <v>237</v>
      </c>
      <c r="B243" s="5">
        <f t="shared" si="15"/>
        <v>11.830282861896839</v>
      </c>
      <c r="C243" s="6">
        <f t="shared" si="16"/>
        <v>63.886918084801785</v>
      </c>
      <c r="D243" s="6">
        <f t="shared" si="17"/>
        <v>755.80031211803771</v>
      </c>
    </row>
    <row r="244" spans="1:4" x14ac:dyDescent="0.15">
      <c r="A244" s="11">
        <v>238</v>
      </c>
      <c r="B244" s="5">
        <f t="shared" si="15"/>
        <v>11.880199667221298</v>
      </c>
      <c r="C244" s="6">
        <f t="shared" si="16"/>
        <v>63.754250636942352</v>
      </c>
      <c r="D244" s="6">
        <f t="shared" si="17"/>
        <v>757.4132272009457</v>
      </c>
    </row>
    <row r="245" spans="1:4" x14ac:dyDescent="0.15">
      <c r="A245" s="11">
        <v>239</v>
      </c>
      <c r="B245" s="5">
        <f t="shared" si="15"/>
        <v>11.930116472545757</v>
      </c>
      <c r="C245" s="6">
        <f t="shared" si="16"/>
        <v>63.621291838858575</v>
      </c>
      <c r="D245" s="6">
        <f t="shared" si="17"/>
        <v>759.00942177140757</v>
      </c>
    </row>
    <row r="246" spans="1:4" x14ac:dyDescent="0.15">
      <c r="A246" s="11">
        <v>240</v>
      </c>
      <c r="B246" s="5">
        <f t="shared" si="15"/>
        <v>11.980033277870216</v>
      </c>
      <c r="C246" s="6">
        <f t="shared" si="16"/>
        <v>63.488050755786496</v>
      </c>
      <c r="D246" s="6">
        <f t="shared" si="17"/>
        <v>760.58896080143552</v>
      </c>
    </row>
    <row r="247" spans="1:4" x14ac:dyDescent="0.15">
      <c r="A247" s="11">
        <v>241</v>
      </c>
      <c r="B247" s="5">
        <f t="shared" si="15"/>
        <v>12.029950083194676</v>
      </c>
      <c r="C247" s="6">
        <f t="shared" si="16"/>
        <v>63.354536315423339</v>
      </c>
      <c r="D247" s="6">
        <f t="shared" si="17"/>
        <v>762.15190941848709</v>
      </c>
    </row>
    <row r="248" spans="1:4" x14ac:dyDescent="0.15">
      <c r="A248" s="11">
        <v>242</v>
      </c>
      <c r="B248" s="5">
        <f t="shared" si="15"/>
        <v>12.079866888519135</v>
      </c>
      <c r="C248" s="6">
        <f t="shared" si="16"/>
        <v>63.220757310073168</v>
      </c>
      <c r="D248" s="6">
        <f t="shared" si="17"/>
        <v>763.69833289705684</v>
      </c>
    </row>
    <row r="249" spans="1:4" x14ac:dyDescent="0.15">
      <c r="A249" s="11">
        <v>243</v>
      </c>
      <c r="B249" s="5">
        <f t="shared" si="15"/>
        <v>12.129783693843594</v>
      </c>
      <c r="C249" s="6">
        <f t="shared" si="16"/>
        <v>63.086722398754368</v>
      </c>
      <c r="D249" s="6">
        <f t="shared" si="17"/>
        <v>765.2282966504481</v>
      </c>
    </row>
    <row r="250" spans="1:4" x14ac:dyDescent="0.15">
      <c r="A250" s="11">
        <v>244</v>
      </c>
      <c r="B250" s="5">
        <f t="shared" si="15"/>
        <v>12.179700499168053</v>
      </c>
      <c r="C250" s="6">
        <f t="shared" si="16"/>
        <v>62.952440109269887</v>
      </c>
      <c r="D250" s="6">
        <f t="shared" si="17"/>
        <v>766.74186622272146</v>
      </c>
    </row>
    <row r="251" spans="1:4" x14ac:dyDescent="0.15">
      <c r="A251" s="11">
        <v>245</v>
      </c>
      <c r="B251" s="5">
        <f t="shared" si="15"/>
        <v>12.229617304492512</v>
      </c>
      <c r="C251" s="6">
        <f t="shared" si="16"/>
        <v>62.817918840241006</v>
      </c>
      <c r="D251" s="6">
        <f t="shared" si="17"/>
        <v>768.23910728081762</v>
      </c>
    </row>
    <row r="252" spans="1:4" x14ac:dyDescent="0.15">
      <c r="A252" s="11">
        <v>246</v>
      </c>
      <c r="B252" s="5">
        <f t="shared" si="15"/>
        <v>12.279534109816971</v>
      </c>
      <c r="C252" s="6">
        <f t="shared" si="16"/>
        <v>62.683166863105207</v>
      </c>
      <c r="D252" s="6">
        <f t="shared" si="17"/>
        <v>769.72008560684924</v>
      </c>
    </row>
    <row r="253" spans="1:4" x14ac:dyDescent="0.15">
      <c r="A253" s="11">
        <v>247</v>
      </c>
      <c r="B253" s="5">
        <f t="shared" si="15"/>
        <v>12.329450915141431</v>
      </c>
      <c r="C253" s="6">
        <f t="shared" si="16"/>
        <v>62.548192324078933</v>
      </c>
      <c r="D253" s="6">
        <f t="shared" si="17"/>
        <v>771.18486709055719</v>
      </c>
    </row>
    <row r="254" spans="1:4" x14ac:dyDescent="0.15">
      <c r="A254" s="11">
        <v>248</v>
      </c>
      <c r="B254" s="5">
        <f t="shared" si="15"/>
        <v>12.37936772046589</v>
      </c>
      <c r="C254" s="6">
        <f t="shared" si="16"/>
        <v>62.413003246086191</v>
      </c>
      <c r="D254" s="6">
        <f t="shared" si="17"/>
        <v>772.63351772193221</v>
      </c>
    </row>
    <row r="255" spans="1:4" x14ac:dyDescent="0.15">
      <c r="A255" s="11">
        <v>249</v>
      </c>
      <c r="B255" s="5">
        <f t="shared" si="15"/>
        <v>12.429284525790349</v>
      </c>
      <c r="C255" s="6">
        <f t="shared" si="16"/>
        <v>62.27760753065327</v>
      </c>
      <c r="D255" s="6">
        <f t="shared" si="17"/>
        <v>774.06610358399325</v>
      </c>
    </row>
    <row r="256" spans="1:4" x14ac:dyDescent="0.15">
      <c r="A256" s="11">
        <v>250</v>
      </c>
      <c r="B256" s="5">
        <f t="shared" si="15"/>
        <v>12.479201331114808</v>
      </c>
      <c r="C256" s="6">
        <f t="shared" si="16"/>
        <v>62.142012959770575</v>
      </c>
      <c r="D256" s="6">
        <f t="shared" si="17"/>
        <v>775.48269084572257</v>
      </c>
    </row>
    <row r="257" spans="1:4" x14ac:dyDescent="0.15">
      <c r="A257" s="11">
        <v>251</v>
      </c>
      <c r="B257" s="5">
        <f t="shared" si="15"/>
        <v>12.529118136439267</v>
      </c>
      <c r="C257" s="6">
        <f t="shared" si="16"/>
        <v>62.006227197722055</v>
      </c>
      <c r="D257" s="6">
        <f t="shared" si="17"/>
        <v>776.88334575515319</v>
      </c>
    </row>
    <row r="258" spans="1:4" x14ac:dyDescent="0.15">
      <c r="A258" s="11">
        <v>252</v>
      </c>
      <c r="B258" s="5">
        <f t="shared" si="15"/>
        <v>12.579034941763727</v>
      </c>
      <c r="C258" s="6">
        <f t="shared" si="16"/>
        <v>61.87025779288301</v>
      </c>
      <c r="D258" s="6">
        <f t="shared" si="17"/>
        <v>778.26813463260487</v>
      </c>
    </row>
    <row r="259" spans="1:4" x14ac:dyDescent="0.15">
      <c r="A259" s="11">
        <v>253</v>
      </c>
      <c r="B259" s="5">
        <f t="shared" si="15"/>
        <v>12.628951747088186</v>
      </c>
      <c r="C259" s="6">
        <f t="shared" si="16"/>
        <v>61.734112179486814</v>
      </c>
      <c r="D259" s="6">
        <f t="shared" si="17"/>
        <v>779.63712386406803</v>
      </c>
    </row>
    <row r="260" spans="1:4" x14ac:dyDescent="0.15">
      <c r="A260" s="11">
        <v>254</v>
      </c>
      <c r="B260" s="5">
        <f t="shared" si="15"/>
        <v>12.678868552412645</v>
      </c>
      <c r="C260" s="6">
        <f t="shared" si="16"/>
        <v>61.597797679361157</v>
      </c>
      <c r="D260" s="6">
        <f t="shared" si="17"/>
        <v>780.99037989472879</v>
      </c>
    </row>
    <row r="261" spans="1:4" x14ac:dyDescent="0.15">
      <c r="A261" s="11">
        <v>255</v>
      </c>
      <c r="B261" s="5">
        <f t="shared" si="15"/>
        <v>12.728785357737104</v>
      </c>
      <c r="C261" s="6">
        <f t="shared" si="16"/>
        <v>61.461321503634416</v>
      </c>
      <c r="D261" s="6">
        <f t="shared" si="17"/>
        <v>782.32796922263435</v>
      </c>
    </row>
    <row r="262" spans="1:4" x14ac:dyDescent="0.15">
      <c r="A262" s="11">
        <v>256</v>
      </c>
      <c r="B262" s="5">
        <f t="shared" si="15"/>
        <v>12.778702163061563</v>
      </c>
      <c r="C262" s="6">
        <f t="shared" si="16"/>
        <v>61.32469075441292</v>
      </c>
      <c r="D262" s="6">
        <f t="shared" si="17"/>
        <v>783.64995839249787</v>
      </c>
    </row>
    <row r="263" spans="1:4" x14ac:dyDescent="0.15">
      <c r="A263" s="11">
        <v>257</v>
      </c>
      <c r="B263" s="5">
        <f t="shared" si="15"/>
        <v>12.828618968386023</v>
      </c>
      <c r="C263" s="6">
        <f t="shared" si="16"/>
        <v>61.187912426429342</v>
      </c>
      <c r="D263" s="6">
        <f t="shared" si="17"/>
        <v>784.95641398963426</v>
      </c>
    </row>
    <row r="264" spans="1:4" x14ac:dyDescent="0.15">
      <c r="A264" s="11">
        <v>258</v>
      </c>
      <c r="B264" s="5">
        <f t="shared" si="15"/>
        <v>12.878535773710482</v>
      </c>
      <c r="C264" s="6">
        <f t="shared" si="16"/>
        <v>61.05099340866316</v>
      </c>
      <c r="D264" s="6">
        <f t="shared" si="17"/>
        <v>786.24740263403135</v>
      </c>
    </row>
    <row r="265" spans="1:4" x14ac:dyDescent="0.15">
      <c r="A265" s="11">
        <v>259</v>
      </c>
      <c r="B265" s="5">
        <f t="shared" si="15"/>
        <v>12.928452579034941</v>
      </c>
      <c r="C265" s="6">
        <f t="shared" si="16"/>
        <v>60.913940485933317</v>
      </c>
      <c r="D265" s="6">
        <f t="shared" si="17"/>
        <v>787.52299097454545</v>
      </c>
    </row>
    <row r="266" spans="1:4" x14ac:dyDescent="0.15">
      <c r="A266" s="11">
        <v>260</v>
      </c>
      <c r="B266" s="5">
        <f t="shared" si="15"/>
        <v>12.9783693843594</v>
      </c>
      <c r="C266" s="6">
        <f t="shared" si="16"/>
        <v>60.776760340464122</v>
      </c>
      <c r="D266" s="6">
        <f t="shared" si="17"/>
        <v>788.78324568322819</v>
      </c>
    </row>
    <row r="267" spans="1:4" x14ac:dyDescent="0.15">
      <c r="A267" s="11">
        <v>261</v>
      </c>
      <c r="B267" s="5">
        <f t="shared" si="15"/>
        <v>13.028286189683859</v>
      </c>
      <c r="C267" s="6">
        <f t="shared" si="16"/>
        <v>60.63945955342443</v>
      </c>
      <c r="D267" s="6">
        <f t="shared" si="17"/>
        <v>790.02823344977253</v>
      </c>
    </row>
    <row r="268" spans="1:4" x14ac:dyDescent="0.15">
      <c r="A268" s="11">
        <v>262</v>
      </c>
      <c r="B268" s="5">
        <f t="shared" si="15"/>
        <v>13.078202995008319</v>
      </c>
      <c r="C268" s="6">
        <f t="shared" si="16"/>
        <v>60.50204460644099</v>
      </c>
      <c r="D268" s="6">
        <f t="shared" si="17"/>
        <v>791.25802097608346</v>
      </c>
    </row>
    <row r="269" spans="1:4" x14ac:dyDescent="0.15">
      <c r="A269" s="11">
        <v>263</v>
      </c>
      <c r="B269" s="5">
        <f t="shared" si="15"/>
        <v>13.128119800332778</v>
      </c>
      <c r="C269" s="6">
        <f t="shared" si="16"/>
        <v>60.364521883086155</v>
      </c>
      <c r="D269" s="6">
        <f t="shared" si="17"/>
        <v>792.47267497096459</v>
      </c>
    </row>
    <row r="270" spans="1:4" x14ac:dyDescent="0.15">
      <c r="A270" s="11">
        <v>264</v>
      </c>
      <c r="B270" s="5">
        <f t="shared" si="15"/>
        <v>13.178036605657237</v>
      </c>
      <c r="C270" s="6">
        <f t="shared" si="16"/>
        <v>60.226897670340648</v>
      </c>
      <c r="D270" s="6">
        <f t="shared" si="17"/>
        <v>793.67226214492166</v>
      </c>
    </row>
    <row r="271" spans="1:4" x14ac:dyDescent="0.15">
      <c r="A271" s="11">
        <v>265</v>
      </c>
      <c r="B271" s="5">
        <f t="shared" si="15"/>
        <v>13.227953410981696</v>
      </c>
      <c r="C271" s="6">
        <f t="shared" si="16"/>
        <v>60.089178160031992</v>
      </c>
      <c r="D271" s="6">
        <f t="shared" si="17"/>
        <v>794.85684920508197</v>
      </c>
    </row>
    <row r="272" spans="1:4" x14ac:dyDescent="0.15">
      <c r="A272" s="11">
        <v>266</v>
      </c>
      <c r="B272" s="5">
        <f t="shared" ref="B272:B335" si="18">$B$1/$B$2*A272</f>
        <v>13.277870216306155</v>
      </c>
      <c r="C272" s="6">
        <f t="shared" ref="C272:C335" si="19">200*(B272/(5+B272))*EXP(-2*B272/$B$1)</f>
        <v>59.951369450248599</v>
      </c>
      <c r="D272" s="6">
        <f t="shared" ref="D272:D335" si="20">B272*C272</f>
        <v>796.02650285022264</v>
      </c>
    </row>
    <row r="273" spans="1:4" x14ac:dyDescent="0.15">
      <c r="A273" s="11">
        <v>267</v>
      </c>
      <c r="B273" s="5">
        <f t="shared" si="18"/>
        <v>13.327787021630614</v>
      </c>
      <c r="C273" s="6">
        <f t="shared" si="19"/>
        <v>59.813477546730468</v>
      </c>
      <c r="D273" s="6">
        <f t="shared" si="20"/>
        <v>797.18128976590845</v>
      </c>
    </row>
    <row r="274" spans="1:4" x14ac:dyDescent="0.15">
      <c r="A274" s="11">
        <v>268</v>
      </c>
      <c r="B274" s="5">
        <f t="shared" si="18"/>
        <v>13.377703826955074</v>
      </c>
      <c r="C274" s="6">
        <f t="shared" si="19"/>
        <v>59.675508364236684</v>
      </c>
      <c r="D274" s="6">
        <f t="shared" si="20"/>
        <v>798.32127661973857</v>
      </c>
    </row>
    <row r="275" spans="1:4" x14ac:dyDescent="0.15">
      <c r="A275" s="11">
        <v>269</v>
      </c>
      <c r="B275" s="5">
        <f t="shared" si="18"/>
        <v>13.427620632279533</v>
      </c>
      <c r="C275" s="6">
        <f t="shared" si="19"/>
        <v>59.537467727890281</v>
      </c>
      <c r="D275" s="6">
        <f t="shared" si="20"/>
        <v>799.44653005669636</v>
      </c>
    </row>
    <row r="276" spans="1:4" x14ac:dyDescent="0.15">
      <c r="A276" s="11">
        <v>270</v>
      </c>
      <c r="B276" s="5">
        <f t="shared" si="18"/>
        <v>13.477537437603992</v>
      </c>
      <c r="C276" s="6">
        <f t="shared" si="19"/>
        <v>59.399361374500764</v>
      </c>
      <c r="D276" s="6">
        <f t="shared" si="20"/>
        <v>800.55711669460254</v>
      </c>
    </row>
    <row r="277" spans="1:4" x14ac:dyDescent="0.15">
      <c r="A277" s="11">
        <v>271</v>
      </c>
      <c r="B277" s="5">
        <f t="shared" si="18"/>
        <v>13.527454242928451</v>
      </c>
      <c r="C277" s="6">
        <f t="shared" si="19"/>
        <v>59.261194953864852</v>
      </c>
      <c r="D277" s="6">
        <f t="shared" si="20"/>
        <v>801.65310311966925</v>
      </c>
    </row>
    <row r="278" spans="1:4" x14ac:dyDescent="0.15">
      <c r="A278" s="11">
        <v>272</v>
      </c>
      <c r="B278" s="5">
        <f t="shared" si="18"/>
        <v>13.57737104825291</v>
      </c>
      <c r="C278" s="6">
        <f t="shared" si="19"/>
        <v>59.122974030045754</v>
      </c>
      <c r="D278" s="6">
        <f t="shared" si="20"/>
        <v>802.73455588215188</v>
      </c>
    </row>
    <row r="279" spans="1:4" x14ac:dyDescent="0.15">
      <c r="A279" s="11">
        <v>273</v>
      </c>
      <c r="B279" s="5">
        <f t="shared" si="18"/>
        <v>13.62728785357737</v>
      </c>
      <c r="C279" s="6">
        <f t="shared" si="19"/>
        <v>58.984704082631467</v>
      </c>
      <c r="D279" s="6">
        <f t="shared" si="20"/>
        <v>803.80154149209932</v>
      </c>
    </row>
    <row r="280" spans="1:4" x14ac:dyDescent="0.15">
      <c r="A280" s="11">
        <v>274</v>
      </c>
      <c r="B280" s="5">
        <f t="shared" si="18"/>
        <v>13.677204658901829</v>
      </c>
      <c r="C280" s="6">
        <f t="shared" si="19"/>
        <v>58.846390507972423</v>
      </c>
      <c r="D280" s="6">
        <f t="shared" si="20"/>
        <v>804.85412641519679</v>
      </c>
    </row>
    <row r="281" spans="1:4" x14ac:dyDescent="0.15">
      <c r="A281" s="11">
        <v>275</v>
      </c>
      <c r="B281" s="5">
        <f t="shared" si="18"/>
        <v>13.727121464226288</v>
      </c>
      <c r="C281" s="6">
        <f t="shared" si="19"/>
        <v>58.708038620398845</v>
      </c>
      <c r="D281" s="6">
        <f t="shared" si="20"/>
        <v>805.8923770687029</v>
      </c>
    </row>
    <row r="282" spans="1:4" x14ac:dyDescent="0.15">
      <c r="A282" s="11">
        <v>276</v>
      </c>
      <c r="B282" s="5">
        <f t="shared" si="18"/>
        <v>13.777038269550747</v>
      </c>
      <c r="C282" s="6">
        <f t="shared" si="19"/>
        <v>58.569653653418293</v>
      </c>
      <c r="D282" s="6">
        <f t="shared" si="20"/>
        <v>806.91635981747652</v>
      </c>
    </row>
    <row r="283" spans="1:4" x14ac:dyDescent="0.15">
      <c r="A283" s="11">
        <v>277</v>
      </c>
      <c r="B283" s="5">
        <f t="shared" si="18"/>
        <v>13.826955074875206</v>
      </c>
      <c r="C283" s="6">
        <f t="shared" si="19"/>
        <v>58.431240760893758</v>
      </c>
      <c r="D283" s="6">
        <f t="shared" si="20"/>
        <v>807.92614097009493</v>
      </c>
    </row>
    <row r="284" spans="1:4" x14ac:dyDescent="0.15">
      <c r="A284" s="11">
        <v>278</v>
      </c>
      <c r="B284" s="5">
        <f t="shared" si="18"/>
        <v>13.876871880199667</v>
      </c>
      <c r="C284" s="6">
        <f t="shared" si="19"/>
        <v>58.292805018202557</v>
      </c>
      <c r="D284" s="6">
        <f t="shared" si="20"/>
        <v>808.92178677505717</v>
      </c>
    </row>
    <row r="285" spans="1:4" x14ac:dyDescent="0.15">
      <c r="A285" s="11">
        <v>279</v>
      </c>
      <c r="B285" s="5">
        <f t="shared" si="18"/>
        <v>13.926788685524127</v>
      </c>
      <c r="C285" s="6">
        <f t="shared" si="19"/>
        <v>58.154351423376404</v>
      </c>
      <c r="D285" s="6">
        <f t="shared" si="20"/>
        <v>809.90336341707234</v>
      </c>
    </row>
    <row r="286" spans="1:4" x14ac:dyDescent="0.15">
      <c r="A286" s="11">
        <v>280</v>
      </c>
      <c r="B286" s="5">
        <f t="shared" si="18"/>
        <v>13.976705490848586</v>
      </c>
      <c r="C286" s="6">
        <f t="shared" si="19"/>
        <v>58.015884898223227</v>
      </c>
      <c r="D286" s="6">
        <f t="shared" si="20"/>
        <v>810.87093701343611</v>
      </c>
    </row>
    <row r="287" spans="1:4" x14ac:dyDescent="0.15">
      <c r="A287" s="11">
        <v>281</v>
      </c>
      <c r="B287" s="5">
        <f t="shared" si="18"/>
        <v>14.026622296173045</v>
      </c>
      <c r="C287" s="6">
        <f t="shared" si="19"/>
        <v>57.877410289430721</v>
      </c>
      <c r="D287" s="6">
        <f t="shared" si="20"/>
        <v>811.82457361048409</v>
      </c>
    </row>
    <row r="288" spans="1:4" x14ac:dyDescent="0.15">
      <c r="A288" s="11">
        <v>282</v>
      </c>
      <c r="B288" s="5">
        <f t="shared" si="18"/>
        <v>14.076539101497504</v>
      </c>
      <c r="C288" s="6">
        <f t="shared" si="19"/>
        <v>57.738932369652225</v>
      </c>
      <c r="D288" s="6">
        <f t="shared" si="20"/>
        <v>812.76433918012947</v>
      </c>
    </row>
    <row r="289" spans="1:4" x14ac:dyDescent="0.15">
      <c r="A289" s="11">
        <v>283</v>
      </c>
      <c r="B289" s="5">
        <f t="shared" si="18"/>
        <v>14.126455906821963</v>
      </c>
      <c r="C289" s="6">
        <f t="shared" si="19"/>
        <v>57.600455838575193</v>
      </c>
      <c r="D289" s="6">
        <f t="shared" si="20"/>
        <v>813.69029961647823</v>
      </c>
    </row>
    <row r="290" spans="1:4" x14ac:dyDescent="0.15">
      <c r="A290" s="11">
        <v>284</v>
      </c>
      <c r="B290" s="5">
        <f t="shared" si="18"/>
        <v>14.176372712146422</v>
      </c>
      <c r="C290" s="6">
        <f t="shared" si="19"/>
        <v>57.461985323972442</v>
      </c>
      <c r="D290" s="6">
        <f t="shared" si="20"/>
        <v>814.60252073252116</v>
      </c>
    </row>
    <row r="291" spans="1:4" x14ac:dyDescent="0.15">
      <c r="A291" s="11">
        <v>285</v>
      </c>
      <c r="B291" s="5">
        <f t="shared" si="18"/>
        <v>14.226289517470882</v>
      </c>
      <c r="C291" s="6">
        <f t="shared" si="19"/>
        <v>57.323525382736833</v>
      </c>
      <c r="D291" s="6">
        <f t="shared" si="20"/>
        <v>815.501068256905</v>
      </c>
    </row>
    <row r="292" spans="1:4" x14ac:dyDescent="0.15">
      <c r="A292" s="11">
        <v>286</v>
      </c>
      <c r="B292" s="5">
        <f t="shared" si="18"/>
        <v>14.276206322795341</v>
      </c>
      <c r="C292" s="6">
        <f t="shared" si="19"/>
        <v>57.185080501899144</v>
      </c>
      <c r="D292" s="6">
        <f t="shared" si="20"/>
        <v>816.38600783077311</v>
      </c>
    </row>
    <row r="293" spans="1:4" x14ac:dyDescent="0.15">
      <c r="A293" s="11">
        <v>287</v>
      </c>
      <c r="B293" s="5">
        <f t="shared" si="18"/>
        <v>14.3261231281198</v>
      </c>
      <c r="C293" s="6">
        <f t="shared" si="19"/>
        <v>57.046655099630016</v>
      </c>
      <c r="D293" s="6">
        <f t="shared" si="20"/>
        <v>817.25740500468294</v>
      </c>
    </row>
    <row r="294" spans="1:4" x14ac:dyDescent="0.15">
      <c r="A294" s="11">
        <v>288</v>
      </c>
      <c r="B294" s="5">
        <f t="shared" si="18"/>
        <v>14.376039933444259</v>
      </c>
      <c r="C294" s="6">
        <f t="shared" si="19"/>
        <v>56.908253526225927</v>
      </c>
      <c r="D294" s="6">
        <f t="shared" si="20"/>
        <v>818.11532523559401</v>
      </c>
    </row>
    <row r="295" spans="1:4" x14ac:dyDescent="0.15">
      <c r="A295" s="11">
        <v>289</v>
      </c>
      <c r="B295" s="5">
        <f t="shared" si="18"/>
        <v>14.425956738768718</v>
      </c>
      <c r="C295" s="6">
        <f t="shared" si="19"/>
        <v>56.769880065079477</v>
      </c>
      <c r="D295" s="6">
        <f t="shared" si="20"/>
        <v>818.95983388392517</v>
      </c>
    </row>
    <row r="296" spans="1:4" x14ac:dyDescent="0.15">
      <c r="A296" s="11">
        <v>290</v>
      </c>
      <c r="B296" s="5">
        <f t="shared" si="18"/>
        <v>14.475873544093178</v>
      </c>
      <c r="C296" s="6">
        <f t="shared" si="19"/>
        <v>56.631538933634424</v>
      </c>
      <c r="D296" s="6">
        <f t="shared" si="20"/>
        <v>819.79099621068133</v>
      </c>
    </row>
    <row r="297" spans="1:4" x14ac:dyDescent="0.15">
      <c r="A297" s="11">
        <v>291</v>
      </c>
      <c r="B297" s="5">
        <f t="shared" si="18"/>
        <v>14.525790349417637</v>
      </c>
      <c r="C297" s="6">
        <f t="shared" si="19"/>
        <v>56.493234284325617</v>
      </c>
      <c r="D297" s="6">
        <f t="shared" si="20"/>
        <v>820.60887737464657</v>
      </c>
    </row>
    <row r="298" spans="1:4" x14ac:dyDescent="0.15">
      <c r="A298" s="11">
        <v>292</v>
      </c>
      <c r="B298" s="5">
        <f t="shared" si="18"/>
        <v>14.575707154742096</v>
      </c>
      <c r="C298" s="6">
        <f t="shared" si="19"/>
        <v>56.354970205504237</v>
      </c>
      <c r="D298" s="6">
        <f t="shared" si="20"/>
        <v>821.41354242964576</v>
      </c>
    </row>
    <row r="299" spans="1:4" x14ac:dyDescent="0.15">
      <c r="A299" s="11">
        <v>293</v>
      </c>
      <c r="B299" s="5">
        <f t="shared" si="18"/>
        <v>14.625623960066555</v>
      </c>
      <c r="C299" s="6">
        <f t="shared" si="19"/>
        <v>56.216750722348458</v>
      </c>
      <c r="D299" s="6">
        <f t="shared" si="20"/>
        <v>822.20505632186848</v>
      </c>
    </row>
    <row r="300" spans="1:4" x14ac:dyDescent="0.15">
      <c r="A300" s="11">
        <v>294</v>
      </c>
      <c r="B300" s="5">
        <f t="shared" si="18"/>
        <v>14.675540765391014</v>
      </c>
      <c r="C300" s="6">
        <f t="shared" si="19"/>
        <v>56.078579797759808</v>
      </c>
      <c r="D300" s="6">
        <f t="shared" si="20"/>
        <v>822.98348388725708</v>
      </c>
    </row>
    <row r="301" spans="1:4" x14ac:dyDescent="0.15">
      <c r="A301" s="11">
        <v>295</v>
      </c>
      <c r="B301" s="5">
        <f t="shared" si="18"/>
        <v>14.725457570715474</v>
      </c>
      <c r="C301" s="6">
        <f t="shared" si="19"/>
        <v>55.940461333245544</v>
      </c>
      <c r="D301" s="6">
        <f t="shared" si="20"/>
        <v>823.74888984895676</v>
      </c>
    </row>
    <row r="302" spans="1:4" x14ac:dyDescent="0.15">
      <c r="A302" s="11">
        <v>296</v>
      </c>
      <c r="B302" s="5">
        <f t="shared" si="18"/>
        <v>14.775374376039933</v>
      </c>
      <c r="C302" s="6">
        <f t="shared" si="19"/>
        <v>55.802399169787435</v>
      </c>
      <c r="D302" s="6">
        <f t="shared" si="20"/>
        <v>824.5013388148293</v>
      </c>
    </row>
    <row r="303" spans="1:4" x14ac:dyDescent="0.15">
      <c r="A303" s="11">
        <v>297</v>
      </c>
      <c r="B303" s="5">
        <f t="shared" si="18"/>
        <v>14.825291181364392</v>
      </c>
      <c r="C303" s="6">
        <f t="shared" si="19"/>
        <v>55.664397088696767</v>
      </c>
      <c r="D303" s="6">
        <f t="shared" si="20"/>
        <v>825.2408952750219</v>
      </c>
    </row>
    <row r="304" spans="1:4" x14ac:dyDescent="0.15">
      <c r="A304" s="11">
        <v>298</v>
      </c>
      <c r="B304" s="5">
        <f t="shared" si="18"/>
        <v>14.875207986688851</v>
      </c>
      <c r="C304" s="6">
        <f t="shared" si="19"/>
        <v>55.526458812456241</v>
      </c>
      <c r="D304" s="6">
        <f t="shared" si="20"/>
        <v>825.9676235995986</v>
      </c>
    </row>
    <row r="305" spans="1:4" x14ac:dyDescent="0.15">
      <c r="A305" s="11">
        <v>299</v>
      </c>
      <c r="B305" s="5">
        <f t="shared" si="18"/>
        <v>14.92512479201331</v>
      </c>
      <c r="C305" s="6">
        <f t="shared" si="19"/>
        <v>55.388588005548868</v>
      </c>
      <c r="D305" s="6">
        <f t="shared" si="20"/>
        <v>826.6815880362285</v>
      </c>
    </row>
    <row r="306" spans="1:4" x14ac:dyDescent="0.15">
      <c r="A306" s="11">
        <v>300</v>
      </c>
      <c r="B306" s="5">
        <f t="shared" si="18"/>
        <v>14.97504159733777</v>
      </c>
      <c r="C306" s="6">
        <f t="shared" si="19"/>
        <v>55.250788275273862</v>
      </c>
      <c r="D306" s="6">
        <f t="shared" si="20"/>
        <v>827.38285270792801</v>
      </c>
    </row>
    <row r="307" spans="1:4" x14ac:dyDescent="0.15">
      <c r="A307" s="11">
        <v>301</v>
      </c>
      <c r="B307" s="5">
        <f t="shared" si="18"/>
        <v>15.024958402662229</v>
      </c>
      <c r="C307" s="6">
        <f t="shared" si="19"/>
        <v>55.113063172550262</v>
      </c>
      <c r="D307" s="6">
        <f t="shared" si="20"/>
        <v>828.07148161086332</v>
      </c>
    </row>
    <row r="308" spans="1:4" x14ac:dyDescent="0.15">
      <c r="A308" s="11">
        <v>302</v>
      </c>
      <c r="B308" s="5">
        <f t="shared" si="18"/>
        <v>15.074875207986688</v>
      </c>
      <c r="C308" s="6">
        <f t="shared" si="19"/>
        <v>54.975416192707819</v>
      </c>
      <c r="D308" s="6">
        <f t="shared" si="20"/>
        <v>828.74753861220097</v>
      </c>
    </row>
    <row r="309" spans="1:4" x14ac:dyDescent="0.15">
      <c r="A309" s="11">
        <v>303</v>
      </c>
      <c r="B309" s="5">
        <f t="shared" si="18"/>
        <v>15.124792013311147</v>
      </c>
      <c r="C309" s="6">
        <f t="shared" si="19"/>
        <v>54.837850776266031</v>
      </c>
      <c r="D309" s="6">
        <f t="shared" si="20"/>
        <v>829.41108744801693</v>
      </c>
    </row>
    <row r="310" spans="1:4" x14ac:dyDescent="0.15">
      <c r="A310" s="11">
        <v>304</v>
      </c>
      <c r="B310" s="5">
        <f t="shared" si="18"/>
        <v>15.174708818635606</v>
      </c>
      <c r="C310" s="6">
        <f t="shared" si="19"/>
        <v>54.700370309701114</v>
      </c>
      <c r="D310" s="6">
        <f t="shared" si="20"/>
        <v>830.06219172125475</v>
      </c>
    </row>
    <row r="311" spans="1:4" x14ac:dyDescent="0.15">
      <c r="A311" s="11">
        <v>305</v>
      </c>
      <c r="B311" s="5">
        <f t="shared" si="18"/>
        <v>15.224625623960065</v>
      </c>
      <c r="C311" s="6">
        <f t="shared" si="19"/>
        <v>54.562978126201322</v>
      </c>
      <c r="D311" s="6">
        <f t="shared" si="20"/>
        <v>830.7009148997372</v>
      </c>
    </row>
    <row r="312" spans="1:4" x14ac:dyDescent="0.15">
      <c r="A312" s="11">
        <v>306</v>
      </c>
      <c r="B312" s="5">
        <f t="shared" si="18"/>
        <v>15.274542429284525</v>
      </c>
      <c r="C312" s="6">
        <f t="shared" si="19"/>
        <v>54.425677506410565</v>
      </c>
      <c r="D312" s="6">
        <f t="shared" si="20"/>
        <v>831.32732031422449</v>
      </c>
    </row>
    <row r="313" spans="1:4" x14ac:dyDescent="0.15">
      <c r="A313" s="11">
        <v>307</v>
      </c>
      <c r="B313" s="5">
        <f t="shared" si="18"/>
        <v>15.324459234608984</v>
      </c>
      <c r="C313" s="6">
        <f t="shared" si="19"/>
        <v>54.28847167916097</v>
      </c>
      <c r="D313" s="6">
        <f t="shared" si="20"/>
        <v>831.94147115652663</v>
      </c>
    </row>
    <row r="314" spans="1:4" x14ac:dyDescent="0.15">
      <c r="A314" s="11">
        <v>308</v>
      </c>
      <c r="B314" s="5">
        <f t="shared" si="18"/>
        <v>15.374376039933443</v>
      </c>
      <c r="C314" s="6">
        <f t="shared" si="19"/>
        <v>54.151363822194099</v>
      </c>
      <c r="D314" s="6">
        <f t="shared" si="20"/>
        <v>832.54343047765963</v>
      </c>
    </row>
    <row r="315" spans="1:4" x14ac:dyDescent="0.15">
      <c r="A315" s="11">
        <v>309</v>
      </c>
      <c r="B315" s="5">
        <f t="shared" si="18"/>
        <v>15.424292845257902</v>
      </c>
      <c r="C315" s="6">
        <f t="shared" si="19"/>
        <v>54.014357062871355</v>
      </c>
      <c r="D315" s="6">
        <f t="shared" si="20"/>
        <v>833.13326118605232</v>
      </c>
    </row>
    <row r="316" spans="1:4" x14ac:dyDescent="0.15">
      <c r="A316" s="11">
        <v>310</v>
      </c>
      <c r="B316" s="5">
        <f t="shared" si="18"/>
        <v>15.474209650582361</v>
      </c>
      <c r="C316" s="6">
        <f t="shared" si="19"/>
        <v>53.877454478873531</v>
      </c>
      <c r="D316" s="6">
        <f t="shared" si="20"/>
        <v>833.71102604579664</v>
      </c>
    </row>
    <row r="317" spans="1:4" x14ac:dyDescent="0.15">
      <c r="A317" s="11">
        <v>311</v>
      </c>
      <c r="B317" s="5">
        <f t="shared" si="18"/>
        <v>15.524126455906821</v>
      </c>
      <c r="C317" s="6">
        <f t="shared" si="19"/>
        <v>53.740659098889893</v>
      </c>
      <c r="D317" s="6">
        <f t="shared" si="20"/>
        <v>834.27678767494615</v>
      </c>
    </row>
    <row r="318" spans="1:4" x14ac:dyDescent="0.15">
      <c r="A318" s="11">
        <v>312</v>
      </c>
      <c r="B318" s="5">
        <f t="shared" si="18"/>
        <v>15.57404326123128</v>
      </c>
      <c r="C318" s="6">
        <f t="shared" si="19"/>
        <v>53.603973903296897</v>
      </c>
      <c r="D318" s="6">
        <f t="shared" si="20"/>
        <v>834.83060854385838</v>
      </c>
    </row>
    <row r="319" spans="1:4" x14ac:dyDescent="0.15">
      <c r="A319" s="11">
        <v>313</v>
      </c>
      <c r="B319" s="5">
        <f t="shared" si="18"/>
        <v>15.623960066555739</v>
      </c>
      <c r="C319" s="6">
        <f t="shared" si="19"/>
        <v>53.467401824826545</v>
      </c>
      <c r="D319" s="6">
        <f t="shared" si="20"/>
        <v>835.37255097357945</v>
      </c>
    </row>
    <row r="320" spans="1:4" x14ac:dyDescent="0.15">
      <c r="A320" s="11">
        <v>314</v>
      </c>
      <c r="B320" s="5">
        <f t="shared" si="18"/>
        <v>15.673876871880198</v>
      </c>
      <c r="C320" s="6">
        <f t="shared" si="19"/>
        <v>53.330945749224881</v>
      </c>
      <c r="D320" s="6">
        <f t="shared" si="20"/>
        <v>835.9026771342734</v>
      </c>
    </row>
    <row r="321" spans="1:4" x14ac:dyDescent="0.15">
      <c r="A321" s="11">
        <v>315</v>
      </c>
      <c r="B321" s="5">
        <f t="shared" si="18"/>
        <v>15.723793677204657</v>
      </c>
      <c r="C321" s="6">
        <f t="shared" si="19"/>
        <v>53.194608515900541</v>
      </c>
      <c r="D321" s="6">
        <f t="shared" si="20"/>
        <v>836.42104904369398</v>
      </c>
    </row>
    <row r="322" spans="1:4" x14ac:dyDescent="0.15">
      <c r="A322" s="11">
        <v>316</v>
      </c>
      <c r="B322" s="5">
        <f t="shared" si="18"/>
        <v>15.773710482529117</v>
      </c>
      <c r="C322" s="6">
        <f t="shared" si="19"/>
        <v>53.058392918563648</v>
      </c>
      <c r="D322" s="6">
        <f t="shared" si="20"/>
        <v>836.92772856569604</v>
      </c>
    </row>
    <row r="323" spans="1:4" x14ac:dyDescent="0.15">
      <c r="A323" s="11">
        <v>317</v>
      </c>
      <c r="B323" s="5">
        <f t="shared" si="18"/>
        <v>15.823627287853576</v>
      </c>
      <c r="C323" s="6">
        <f t="shared" si="19"/>
        <v>52.922301705855098</v>
      </c>
      <c r="D323" s="6">
        <f t="shared" si="20"/>
        <v>837.42277740878853</v>
      </c>
    </row>
    <row r="324" spans="1:4" x14ac:dyDescent="0.15">
      <c r="A324" s="11">
        <v>318</v>
      </c>
      <c r="B324" s="5">
        <f t="shared" si="18"/>
        <v>15.873544093178035</v>
      </c>
      <c r="C324" s="6">
        <f t="shared" si="19"/>
        <v>52.786337581966606</v>
      </c>
      <c r="D324" s="6">
        <f t="shared" si="20"/>
        <v>837.90625712472774</v>
      </c>
    </row>
    <row r="325" spans="1:4" x14ac:dyDescent="0.15">
      <c r="A325" s="11">
        <v>319</v>
      </c>
      <c r="B325" s="5">
        <f t="shared" si="18"/>
        <v>15.923460898502494</v>
      </c>
      <c r="C325" s="6">
        <f t="shared" si="19"/>
        <v>52.650503207251411</v>
      </c>
      <c r="D325" s="6">
        <f t="shared" si="20"/>
        <v>838.37822910714806</v>
      </c>
    </row>
    <row r="326" spans="1:4" x14ac:dyDescent="0.15">
      <c r="A326" s="11">
        <v>320</v>
      </c>
      <c r="B326" s="5">
        <f t="shared" si="18"/>
        <v>15.973377703826955</v>
      </c>
      <c r="C326" s="6">
        <f t="shared" si="19"/>
        <v>52.514801198826021</v>
      </c>
      <c r="D326" s="6">
        <f t="shared" si="20"/>
        <v>838.83875459023261</v>
      </c>
    </row>
    <row r="327" spans="1:4" x14ac:dyDescent="0.15">
      <c r="A327" s="11">
        <v>321</v>
      </c>
      <c r="B327" s="5">
        <f t="shared" si="18"/>
        <v>16.023294509151413</v>
      </c>
      <c r="C327" s="6">
        <f t="shared" si="19"/>
        <v>52.379234131162995</v>
      </c>
      <c r="D327" s="6">
        <f t="shared" si="20"/>
        <v>839.28789464742033</v>
      </c>
    </row>
    <row r="328" spans="1:4" x14ac:dyDescent="0.15">
      <c r="A328" s="11">
        <v>322</v>
      </c>
      <c r="B328" s="5">
        <f t="shared" si="18"/>
        <v>16.073211314475873</v>
      </c>
      <c r="C328" s="6">
        <f t="shared" si="19"/>
        <v>52.243804536675015</v>
      </c>
      <c r="D328" s="6">
        <f t="shared" si="20"/>
        <v>839.72571019015083</v>
      </c>
    </row>
    <row r="329" spans="1:4" x14ac:dyDescent="0.15">
      <c r="A329" s="11">
        <v>323</v>
      </c>
      <c r="B329" s="5">
        <f t="shared" si="18"/>
        <v>16.123128119800331</v>
      </c>
      <c r="C329" s="6">
        <f t="shared" si="19"/>
        <v>52.108514906290289</v>
      </c>
      <c r="D329" s="6">
        <f t="shared" si="20"/>
        <v>840.15226196664366</v>
      </c>
    </row>
    <row r="330" spans="1:4" x14ac:dyDescent="0.15">
      <c r="A330" s="11">
        <v>324</v>
      </c>
      <c r="B330" s="5">
        <f t="shared" si="18"/>
        <v>16.173044925124792</v>
      </c>
      <c r="C330" s="6">
        <f t="shared" si="19"/>
        <v>51.973367690019543</v>
      </c>
      <c r="D330" s="6">
        <f t="shared" si="20"/>
        <v>840.56761056071537</v>
      </c>
    </row>
    <row r="331" spans="1:4" x14ac:dyDescent="0.15">
      <c r="A331" s="11">
        <v>325</v>
      </c>
      <c r="B331" s="5">
        <f t="shared" si="18"/>
        <v>16.222961730449249</v>
      </c>
      <c r="C331" s="6">
        <f t="shared" si="19"/>
        <v>51.838365297514699</v>
      </c>
      <c r="D331" s="6">
        <f t="shared" si="20"/>
        <v>840.97181639062933</v>
      </c>
    </row>
    <row r="332" spans="1:4" x14ac:dyDescent="0.15">
      <c r="A332" s="11">
        <v>326</v>
      </c>
      <c r="B332" s="5">
        <f t="shared" si="18"/>
        <v>16.27287853577371</v>
      </c>
      <c r="C332" s="6">
        <f t="shared" si="19"/>
        <v>51.70351009861924</v>
      </c>
      <c r="D332" s="6">
        <f t="shared" si="20"/>
        <v>841.36493970798028</v>
      </c>
    </row>
    <row r="333" spans="1:4" x14ac:dyDescent="0.15">
      <c r="A333" s="11">
        <v>327</v>
      </c>
      <c r="B333" s="5">
        <f t="shared" si="18"/>
        <v>16.322795341098168</v>
      </c>
      <c r="C333" s="6">
        <f t="shared" si="19"/>
        <v>51.568804423910741</v>
      </c>
      <c r="D333" s="6">
        <f t="shared" si="20"/>
        <v>841.74704059661281</v>
      </c>
    </row>
    <row r="334" spans="1:4" x14ac:dyDescent="0.15">
      <c r="A334" s="11">
        <v>328</v>
      </c>
      <c r="B334" s="5">
        <f t="shared" si="18"/>
        <v>16.372712146422629</v>
      </c>
      <c r="C334" s="6">
        <f t="shared" si="19"/>
        <v>51.434250565235274</v>
      </c>
      <c r="D334" s="6">
        <f t="shared" si="20"/>
        <v>842.11817897157255</v>
      </c>
    </row>
    <row r="335" spans="1:4" x14ac:dyDescent="0.15">
      <c r="A335" s="11">
        <v>329</v>
      </c>
      <c r="B335" s="5">
        <f t="shared" si="18"/>
        <v>16.422628951747086</v>
      </c>
      <c r="C335" s="6">
        <f t="shared" si="19"/>
        <v>51.29985077623413</v>
      </c>
      <c r="D335" s="6">
        <f t="shared" si="20"/>
        <v>842.47841457808784</v>
      </c>
    </row>
    <row r="336" spans="1:4" x14ac:dyDescent="0.15">
      <c r="A336" s="11">
        <v>330</v>
      </c>
      <c r="B336" s="5">
        <f t="shared" ref="B336:B399" si="21">$B$1/$B$2*A336</f>
        <v>16.472545757071547</v>
      </c>
      <c r="C336" s="6">
        <f t="shared" ref="C336:C399" si="22">200*(B336/(5+B336))*EXP(-2*B336/$B$1)</f>
        <v>51.165607272862879</v>
      </c>
      <c r="D336" s="6">
        <f t="shared" ref="D336:D399" si="23">B336*C336</f>
        <v>842.82780699058651</v>
      </c>
    </row>
    <row r="337" spans="1:4" x14ac:dyDescent="0.15">
      <c r="A337" s="11">
        <v>331</v>
      </c>
      <c r="B337" s="5">
        <f t="shared" si="21"/>
        <v>16.522462562396004</v>
      </c>
      <c r="C337" s="6">
        <f t="shared" si="22"/>
        <v>51.031522233902841</v>
      </c>
      <c r="D337" s="6">
        <f t="shared" si="23"/>
        <v>843.16641561173901</v>
      </c>
    </row>
    <row r="338" spans="1:4" x14ac:dyDescent="0.15">
      <c r="A338" s="11">
        <v>332</v>
      </c>
      <c r="B338" s="5">
        <f t="shared" si="21"/>
        <v>16.572379367720465</v>
      </c>
      <c r="C338" s="6">
        <f t="shared" si="22"/>
        <v>50.897597801465217</v>
      </c>
      <c r="D338" s="6">
        <f t="shared" si="23"/>
        <v>843.49429967153674</v>
      </c>
    </row>
    <row r="339" spans="1:4" x14ac:dyDescent="0.15">
      <c r="A339" s="11">
        <v>333</v>
      </c>
      <c r="B339" s="5">
        <f t="shared" si="21"/>
        <v>16.622296173044923</v>
      </c>
      <c r="C339" s="6">
        <f t="shared" si="22"/>
        <v>50.763836081487867</v>
      </c>
      <c r="D339" s="6">
        <f t="shared" si="23"/>
        <v>843.81151822639549</v>
      </c>
    </row>
    <row r="340" spans="1:4" x14ac:dyDescent="0.15">
      <c r="A340" s="11">
        <v>334</v>
      </c>
      <c r="B340" s="5">
        <f t="shared" si="21"/>
        <v>16.672212978369384</v>
      </c>
      <c r="C340" s="6">
        <f t="shared" si="22"/>
        <v>50.630239144224952</v>
      </c>
      <c r="D340" s="6">
        <f t="shared" si="23"/>
        <v>844.11813015829284</v>
      </c>
    </row>
    <row r="341" spans="1:4" x14ac:dyDescent="0.15">
      <c r="A341" s="11">
        <v>335</v>
      </c>
      <c r="B341" s="5">
        <f t="shared" si="21"/>
        <v>16.722129783693841</v>
      </c>
      <c r="C341" s="6">
        <f t="shared" si="22"/>
        <v>50.496809024729515</v>
      </c>
      <c r="D341" s="6">
        <f t="shared" si="23"/>
        <v>844.41419417392933</v>
      </c>
    </row>
    <row r="342" spans="1:4" x14ac:dyDescent="0.15">
      <c r="A342" s="11">
        <v>336</v>
      </c>
      <c r="B342" s="5">
        <f t="shared" si="21"/>
        <v>16.772046589018302</v>
      </c>
      <c r="C342" s="6">
        <f t="shared" si="22"/>
        <v>50.363547723329084</v>
      </c>
      <c r="D342" s="6">
        <f t="shared" si="23"/>
        <v>844.6997688039221</v>
      </c>
    </row>
    <row r="343" spans="1:4" x14ac:dyDescent="0.15">
      <c r="A343" s="11">
        <v>337</v>
      </c>
      <c r="B343" s="5">
        <f t="shared" si="21"/>
        <v>16.82196339434276</v>
      </c>
      <c r="C343" s="6">
        <f t="shared" si="22"/>
        <v>50.230457206094563</v>
      </c>
      <c r="D343" s="6">
        <f t="shared" si="23"/>
        <v>844.97491240202328</v>
      </c>
    </row>
    <row r="344" spans="1:4" x14ac:dyDescent="0.15">
      <c r="A344" s="11">
        <v>338</v>
      </c>
      <c r="B344" s="5">
        <f t="shared" si="21"/>
        <v>16.871880199667221</v>
      </c>
      <c r="C344" s="6">
        <f t="shared" si="22"/>
        <v>50.097539405302228</v>
      </c>
      <c r="D344" s="6">
        <f t="shared" si="23"/>
        <v>845.23968314436706</v>
      </c>
    </row>
    <row r="345" spans="1:4" x14ac:dyDescent="0.15">
      <c r="A345" s="11">
        <v>339</v>
      </c>
      <c r="B345" s="5">
        <f t="shared" si="21"/>
        <v>16.921797004991678</v>
      </c>
      <c r="C345" s="6">
        <f t="shared" si="22"/>
        <v>49.964796219889244</v>
      </c>
      <c r="D345" s="6">
        <f t="shared" si="23"/>
        <v>845.4941390287413</v>
      </c>
    </row>
    <row r="346" spans="1:4" x14ac:dyDescent="0.15">
      <c r="A346" s="11">
        <v>340</v>
      </c>
      <c r="B346" s="5">
        <f t="shared" si="21"/>
        <v>16.971713810316139</v>
      </c>
      <c r="C346" s="6">
        <f t="shared" si="22"/>
        <v>49.832229515902668</v>
      </c>
      <c r="D346" s="6">
        <f t="shared" si="23"/>
        <v>845.73833787388878</v>
      </c>
    </row>
    <row r="347" spans="1:4" x14ac:dyDescent="0.15">
      <c r="A347" s="11">
        <v>341</v>
      </c>
      <c r="B347" s="5">
        <f t="shared" si="21"/>
        <v>17.021630615640596</v>
      </c>
      <c r="C347" s="6">
        <f t="shared" si="22"/>
        <v>49.699841126941983</v>
      </c>
      <c r="D347" s="6">
        <f t="shared" si="23"/>
        <v>845.97233731882932</v>
      </c>
    </row>
    <row r="348" spans="1:4" x14ac:dyDescent="0.15">
      <c r="A348" s="11">
        <v>342</v>
      </c>
      <c r="B348" s="5">
        <f t="shared" si="21"/>
        <v>17.071547420965057</v>
      </c>
      <c r="C348" s="6">
        <f t="shared" si="22"/>
        <v>49.567632854595409</v>
      </c>
      <c r="D348" s="6">
        <f t="shared" si="23"/>
        <v>846.19619482221105</v>
      </c>
    </row>
    <row r="349" spans="1:4" x14ac:dyDescent="0.15">
      <c r="A349" s="11">
        <v>343</v>
      </c>
      <c r="B349" s="5">
        <f t="shared" si="21"/>
        <v>17.121464226289518</v>
      </c>
      <c r="C349" s="6">
        <f t="shared" si="22"/>
        <v>49.435606468869963</v>
      </c>
      <c r="D349" s="6">
        <f t="shared" si="23"/>
        <v>846.40996766168382</v>
      </c>
    </row>
    <row r="350" spans="1:4" x14ac:dyDescent="0.15">
      <c r="A350" s="11">
        <v>344</v>
      </c>
      <c r="B350" s="5">
        <f t="shared" si="21"/>
        <v>17.171381031613976</v>
      </c>
      <c r="C350" s="6">
        <f t="shared" si="22"/>
        <v>49.30376370861552</v>
      </c>
      <c r="D350" s="6">
        <f t="shared" si="23"/>
        <v>846.61371293329807</v>
      </c>
    </row>
    <row r="351" spans="1:4" x14ac:dyDescent="0.15">
      <c r="A351" s="11">
        <v>345</v>
      </c>
      <c r="B351" s="5">
        <f t="shared" si="21"/>
        <v>17.221297836938437</v>
      </c>
      <c r="C351" s="6">
        <f t="shared" si="22"/>
        <v>49.172106281942632</v>
      </c>
      <c r="D351" s="6">
        <f t="shared" si="23"/>
        <v>846.80748755092554</v>
      </c>
    </row>
    <row r="352" spans="1:4" x14ac:dyDescent="0.15">
      <c r="A352" s="11">
        <v>346</v>
      </c>
      <c r="B352" s="5">
        <f t="shared" si="21"/>
        <v>17.271214642262894</v>
      </c>
      <c r="C352" s="6">
        <f t="shared" si="22"/>
        <v>49.040635866634844</v>
      </c>
      <c r="D352" s="6">
        <f t="shared" si="23"/>
        <v>846.9913482457066</v>
      </c>
    </row>
    <row r="353" spans="1:4" x14ac:dyDescent="0.15">
      <c r="A353" s="11">
        <v>347</v>
      </c>
      <c r="B353" s="5">
        <f t="shared" si="21"/>
        <v>17.321131447587355</v>
      </c>
      <c r="C353" s="6">
        <f t="shared" si="22"/>
        <v>48.909354110554744</v>
      </c>
      <c r="D353" s="6">
        <f t="shared" si="23"/>
        <v>847.16535156551561</v>
      </c>
    </row>
    <row r="354" spans="1:4" x14ac:dyDescent="0.15">
      <c r="A354" s="11">
        <v>348</v>
      </c>
      <c r="B354" s="5">
        <f t="shared" si="21"/>
        <v>17.371048252911812</v>
      </c>
      <c r="C354" s="6">
        <f t="shared" si="22"/>
        <v>48.778262632044679</v>
      </c>
      <c r="D354" s="6">
        <f t="shared" si="23"/>
        <v>847.32955387445327</v>
      </c>
    </row>
    <row r="355" spans="1:4" x14ac:dyDescent="0.15">
      <c r="A355" s="11">
        <v>349</v>
      </c>
      <c r="B355" s="5">
        <f t="shared" si="21"/>
        <v>17.420965058236273</v>
      </c>
      <c r="C355" s="6">
        <f t="shared" si="22"/>
        <v>48.647363020321571</v>
      </c>
      <c r="D355" s="6">
        <f t="shared" si="23"/>
        <v>847.48401135235747</v>
      </c>
    </row>
    <row r="356" spans="1:4" x14ac:dyDescent="0.15">
      <c r="A356" s="11">
        <v>350</v>
      </c>
      <c r="B356" s="5">
        <f t="shared" si="21"/>
        <v>17.470881863560731</v>
      </c>
      <c r="C356" s="6">
        <f t="shared" si="22"/>
        <v>48.516656835866378</v>
      </c>
      <c r="D356" s="6">
        <f t="shared" si="23"/>
        <v>847.62877999433761</v>
      </c>
    </row>
    <row r="357" spans="1:4" x14ac:dyDescent="0.15">
      <c r="A357" s="11">
        <v>351</v>
      </c>
      <c r="B357" s="5">
        <f t="shared" si="21"/>
        <v>17.520798668885192</v>
      </c>
      <c r="C357" s="6">
        <f t="shared" si="22"/>
        <v>48.386145610807922</v>
      </c>
      <c r="D357" s="6">
        <f t="shared" si="23"/>
        <v>847.76391561032847</v>
      </c>
    </row>
    <row r="358" spans="1:4" x14ac:dyDescent="0.15">
      <c r="A358" s="11">
        <v>352</v>
      </c>
      <c r="B358" s="5">
        <f t="shared" si="21"/>
        <v>17.570715474209649</v>
      </c>
      <c r="C358" s="6">
        <f t="shared" si="22"/>
        <v>48.255830849301596</v>
      </c>
      <c r="D358" s="6">
        <f t="shared" si="23"/>
        <v>847.88947382466688</v>
      </c>
    </row>
    <row r="359" spans="1:4" x14ac:dyDescent="0.15">
      <c r="A359" s="11">
        <v>353</v>
      </c>
      <c r="B359" s="5">
        <f t="shared" si="21"/>
        <v>17.62063227953411</v>
      </c>
      <c r="C359" s="6">
        <f t="shared" si="22"/>
        <v>48.12571402790249</v>
      </c>
      <c r="D359" s="6">
        <f t="shared" si="23"/>
        <v>848.00551007568617</v>
      </c>
    </row>
    <row r="360" spans="1:4" x14ac:dyDescent="0.15">
      <c r="A360" s="11">
        <v>354</v>
      </c>
      <c r="B360" s="5">
        <f t="shared" si="21"/>
        <v>17.670549084858568</v>
      </c>
      <c r="C360" s="6">
        <f t="shared" si="22"/>
        <v>47.995796595933591</v>
      </c>
      <c r="D360" s="6">
        <f t="shared" si="23"/>
        <v>848.11207961533228</v>
      </c>
    </row>
    <row r="361" spans="1:4" x14ac:dyDescent="0.15">
      <c r="A361" s="11">
        <v>355</v>
      </c>
      <c r="B361" s="5">
        <f t="shared" si="21"/>
        <v>17.720465890183029</v>
      </c>
      <c r="C361" s="6">
        <f t="shared" si="22"/>
        <v>47.866079975848592</v>
      </c>
      <c r="D361" s="6">
        <f t="shared" si="23"/>
        <v>848.20923750879786</v>
      </c>
    </row>
    <row r="362" spans="1:4" x14ac:dyDescent="0.15">
      <c r="A362" s="11">
        <v>356</v>
      </c>
      <c r="B362" s="5">
        <f t="shared" si="21"/>
        <v>17.770382695507486</v>
      </c>
      <c r="C362" s="6">
        <f t="shared" si="22"/>
        <v>47.736565563589998</v>
      </c>
      <c r="D362" s="6">
        <f t="shared" si="23"/>
        <v>848.29703863417831</v>
      </c>
    </row>
    <row r="363" spans="1:4" x14ac:dyDescent="0.15">
      <c r="A363" s="11">
        <v>357</v>
      </c>
      <c r="B363" s="5">
        <f t="shared" si="21"/>
        <v>17.820299500831947</v>
      </c>
      <c r="C363" s="6">
        <f t="shared" si="22"/>
        <v>47.607254728941918</v>
      </c>
      <c r="D363" s="6">
        <f t="shared" si="23"/>
        <v>848.37553768214298</v>
      </c>
    </row>
    <row r="364" spans="1:4" x14ac:dyDescent="0.15">
      <c r="A364" s="11">
        <v>358</v>
      </c>
      <c r="B364" s="5">
        <f t="shared" si="21"/>
        <v>17.870216306156404</v>
      </c>
      <c r="C364" s="6">
        <f t="shared" si="22"/>
        <v>47.478148815878193</v>
      </c>
      <c r="D364" s="6">
        <f t="shared" si="23"/>
        <v>848.44478915562684</v>
      </c>
    </row>
    <row r="365" spans="1:4" x14ac:dyDescent="0.15">
      <c r="A365" s="11">
        <v>359</v>
      </c>
      <c r="B365" s="5">
        <f t="shared" si="21"/>
        <v>17.920133111480865</v>
      </c>
      <c r="C365" s="6">
        <f t="shared" si="22"/>
        <v>47.349249142905649</v>
      </c>
      <c r="D365" s="6">
        <f t="shared" si="23"/>
        <v>848.50484736954047</v>
      </c>
    </row>
    <row r="366" spans="1:4" x14ac:dyDescent="0.15">
      <c r="A366" s="11">
        <v>360</v>
      </c>
      <c r="B366" s="5">
        <f t="shared" si="21"/>
        <v>17.970049916805323</v>
      </c>
      <c r="C366" s="6">
        <f t="shared" si="22"/>
        <v>47.220557003402647</v>
      </c>
      <c r="D366" s="6">
        <f t="shared" si="23"/>
        <v>848.55576645049678</v>
      </c>
    </row>
    <row r="367" spans="1:4" x14ac:dyDescent="0.15">
      <c r="A367" s="11">
        <v>361</v>
      </c>
      <c r="B367" s="5">
        <f t="shared" si="21"/>
        <v>18.019966722129784</v>
      </c>
      <c r="C367" s="6">
        <f t="shared" si="22"/>
        <v>47.092073665952846</v>
      </c>
      <c r="D367" s="6">
        <f t="shared" si="23"/>
        <v>848.59760033655459</v>
      </c>
    </row>
    <row r="368" spans="1:4" x14ac:dyDescent="0.15">
      <c r="A368" s="11">
        <v>362</v>
      </c>
      <c r="B368" s="5">
        <f t="shared" si="21"/>
        <v>18.069883527454241</v>
      </c>
      <c r="C368" s="6">
        <f t="shared" si="22"/>
        <v>46.963800374674626</v>
      </c>
      <c r="D368" s="6">
        <f t="shared" si="23"/>
        <v>848.63040277698235</v>
      </c>
    </row>
    <row r="369" spans="1:4" x14ac:dyDescent="0.15">
      <c r="A369" s="11">
        <v>363</v>
      </c>
      <c r="B369" s="5">
        <f t="shared" si="21"/>
        <v>18.119800332778702</v>
      </c>
      <c r="C369" s="6">
        <f t="shared" si="22"/>
        <v>46.835738349545629</v>
      </c>
      <c r="D369" s="6">
        <f t="shared" si="23"/>
        <v>848.65422733203309</v>
      </c>
    </row>
    <row r="370" spans="1:4" x14ac:dyDescent="0.15">
      <c r="A370" s="11">
        <v>364</v>
      </c>
      <c r="B370" s="5">
        <f t="shared" si="21"/>
        <v>18.169717138103159</v>
      </c>
      <c r="C370" s="6">
        <f t="shared" si="22"/>
        <v>46.707888786723259</v>
      </c>
      <c r="D370" s="6">
        <f t="shared" si="23"/>
        <v>848.66912737274197</v>
      </c>
    </row>
    <row r="371" spans="1:4" x14ac:dyDescent="0.15">
      <c r="A371" s="11">
        <v>365</v>
      </c>
      <c r="B371" s="5">
        <f t="shared" si="21"/>
        <v>18.21963394342762</v>
      </c>
      <c r="C371" s="6">
        <f t="shared" si="22"/>
        <v>46.580252858860447</v>
      </c>
      <c r="D371" s="6">
        <f t="shared" si="23"/>
        <v>848.67515608073529</v>
      </c>
    </row>
    <row r="372" spans="1:4" x14ac:dyDescent="0.15">
      <c r="A372" s="11">
        <v>366</v>
      </c>
      <c r="B372" s="5">
        <f t="shared" si="21"/>
        <v>18.269550748752078</v>
      </c>
      <c r="C372" s="6">
        <f t="shared" si="22"/>
        <v>46.452831715417318</v>
      </c>
      <c r="D372" s="6">
        <f t="shared" si="23"/>
        <v>848.67236644805678</v>
      </c>
    </row>
    <row r="373" spans="1:4" x14ac:dyDescent="0.15">
      <c r="A373" s="11">
        <v>367</v>
      </c>
      <c r="B373" s="5">
        <f t="shared" si="21"/>
        <v>18.319467554076539</v>
      </c>
      <c r="C373" s="6">
        <f t="shared" si="22"/>
        <v>46.325626482968495</v>
      </c>
      <c r="D373" s="6">
        <f t="shared" si="23"/>
        <v>848.66081127701023</v>
      </c>
    </row>
    <row r="374" spans="1:4" x14ac:dyDescent="0.15">
      <c r="A374" s="11">
        <v>368</v>
      </c>
      <c r="B374" s="5">
        <f t="shared" si="21"/>
        <v>18.369384359400996</v>
      </c>
      <c r="C374" s="6">
        <f t="shared" si="22"/>
        <v>46.198638265506304</v>
      </c>
      <c r="D374" s="6">
        <f t="shared" si="23"/>
        <v>848.64054318001592</v>
      </c>
    </row>
    <row r="375" spans="1:4" x14ac:dyDescent="0.15">
      <c r="A375" s="11">
        <v>369</v>
      </c>
      <c r="B375" s="5">
        <f t="shared" si="21"/>
        <v>18.419301164725457</v>
      </c>
      <c r="C375" s="6">
        <f t="shared" si="22"/>
        <v>46.071868144739717</v>
      </c>
      <c r="D375" s="6">
        <f t="shared" si="23"/>
        <v>848.61161457948197</v>
      </c>
    </row>
    <row r="376" spans="1:4" x14ac:dyDescent="0.15">
      <c r="A376" s="11">
        <v>370</v>
      </c>
      <c r="B376" s="5">
        <f t="shared" si="21"/>
        <v>18.469217970049915</v>
      </c>
      <c r="C376" s="6">
        <f t="shared" si="22"/>
        <v>45.945317180389452</v>
      </c>
      <c r="D376" s="6">
        <f t="shared" si="23"/>
        <v>848.57407770769191</v>
      </c>
    </row>
    <row r="377" spans="1:4" x14ac:dyDescent="0.15">
      <c r="A377" s="11">
        <v>371</v>
      </c>
      <c r="B377" s="5">
        <f t="shared" si="21"/>
        <v>18.519134775374376</v>
      </c>
      <c r="C377" s="6">
        <f t="shared" si="22"/>
        <v>45.818986410478807</v>
      </c>
      <c r="D377" s="6">
        <f t="shared" si="23"/>
        <v>848.52798460670397</v>
      </c>
    </row>
    <row r="378" spans="1:4" x14ac:dyDescent="0.15">
      <c r="A378" s="11">
        <v>372</v>
      </c>
      <c r="B378" s="5">
        <f t="shared" si="21"/>
        <v>18.569051580698833</v>
      </c>
      <c r="C378" s="6">
        <f t="shared" si="22"/>
        <v>45.692876851620838</v>
      </c>
      <c r="D378" s="6">
        <f t="shared" si="23"/>
        <v>848.47338712826706</v>
      </c>
    </row>
    <row r="379" spans="1:4" x14ac:dyDescent="0.15">
      <c r="A379" s="11">
        <v>373</v>
      </c>
      <c r="B379" s="5">
        <f t="shared" si="21"/>
        <v>18.618968386023294</v>
      </c>
      <c r="C379" s="6">
        <f t="shared" si="22"/>
        <v>45.566989499301357</v>
      </c>
      <c r="D379" s="6">
        <f t="shared" si="23"/>
        <v>848.41033693374732</v>
      </c>
    </row>
    <row r="380" spans="1:4" x14ac:dyDescent="0.15">
      <c r="A380" s="11">
        <v>374</v>
      </c>
      <c r="B380" s="5">
        <f t="shared" si="21"/>
        <v>18.668885191347751</v>
      </c>
      <c r="C380" s="6">
        <f t="shared" si="22"/>
        <v>45.441325328158413</v>
      </c>
      <c r="D380" s="6">
        <f t="shared" si="23"/>
        <v>848.33888549407209</v>
      </c>
    </row>
    <row r="381" spans="1:4" x14ac:dyDescent="0.15">
      <c r="A381" s="11">
        <v>375</v>
      </c>
      <c r="B381" s="5">
        <f t="shared" si="21"/>
        <v>18.718801996672212</v>
      </c>
      <c r="C381" s="6">
        <f t="shared" si="22"/>
        <v>45.315885292257718</v>
      </c>
      <c r="D381" s="6">
        <f t="shared" si="23"/>
        <v>848.25908408968269</v>
      </c>
    </row>
    <row r="382" spans="1:4" x14ac:dyDescent="0.15">
      <c r="A382" s="11">
        <v>376</v>
      </c>
      <c r="B382" s="5">
        <f t="shared" si="21"/>
        <v>18.76871880199667</v>
      </c>
      <c r="C382" s="6">
        <f t="shared" si="22"/>
        <v>45.190670325364692</v>
      </c>
      <c r="D382" s="6">
        <f t="shared" si="23"/>
        <v>848.17098381050528</v>
      </c>
    </row>
    <row r="383" spans="1:4" x14ac:dyDescent="0.15">
      <c r="A383" s="11">
        <v>377</v>
      </c>
      <c r="B383" s="5">
        <f t="shared" si="21"/>
        <v>18.818635607321131</v>
      </c>
      <c r="C383" s="6">
        <f t="shared" si="22"/>
        <v>45.065681341212404</v>
      </c>
      <c r="D383" s="6">
        <f t="shared" si="23"/>
        <v>848.07463555592722</v>
      </c>
    </row>
    <row r="384" spans="1:4" x14ac:dyDescent="0.15">
      <c r="A384" s="11">
        <v>378</v>
      </c>
      <c r="B384" s="5">
        <f t="shared" si="21"/>
        <v>18.868552412645588</v>
      </c>
      <c r="C384" s="6">
        <f t="shared" si="22"/>
        <v>44.9409192337665</v>
      </c>
      <c r="D384" s="6">
        <f t="shared" si="23"/>
        <v>847.97009003479536</v>
      </c>
    </row>
    <row r="385" spans="1:4" x14ac:dyDescent="0.15">
      <c r="A385" s="11">
        <v>379</v>
      </c>
      <c r="B385" s="5">
        <f t="shared" si="21"/>
        <v>18.918469217970049</v>
      </c>
      <c r="C385" s="6">
        <f t="shared" si="22"/>
        <v>44.816384877485959</v>
      </c>
      <c r="D385" s="6">
        <f t="shared" si="23"/>
        <v>847.85739776541652</v>
      </c>
    </row>
    <row r="386" spans="1:4" x14ac:dyDescent="0.15">
      <c r="A386" s="11">
        <v>380</v>
      </c>
      <c r="B386" s="5">
        <f t="shared" si="21"/>
        <v>18.968386023294507</v>
      </c>
      <c r="C386" s="6">
        <f t="shared" si="22"/>
        <v>44.692079127580932</v>
      </c>
      <c r="D386" s="6">
        <f t="shared" si="23"/>
        <v>847.73660907557826</v>
      </c>
    </row>
    <row r="387" spans="1:4" x14ac:dyDescent="0.15">
      <c r="A387" s="11">
        <v>381</v>
      </c>
      <c r="B387" s="5">
        <f t="shared" si="21"/>
        <v>19.018302828618967</v>
      </c>
      <c r="C387" s="6">
        <f t="shared" si="22"/>
        <v>44.568002820266628</v>
      </c>
      <c r="D387" s="6">
        <f t="shared" si="23"/>
        <v>847.60777410257492</v>
      </c>
    </row>
    <row r="388" spans="1:4" x14ac:dyDescent="0.15">
      <c r="A388" s="11">
        <v>382</v>
      </c>
      <c r="B388" s="5">
        <f t="shared" si="21"/>
        <v>19.068219633943425</v>
      </c>
      <c r="C388" s="6">
        <f t="shared" si="22"/>
        <v>44.444156773014292</v>
      </c>
      <c r="D388" s="6">
        <f t="shared" si="23"/>
        <v>847.47094279325074</v>
      </c>
    </row>
    <row r="389" spans="1:4" x14ac:dyDescent="0.15">
      <c r="A389" s="11">
        <v>383</v>
      </c>
      <c r="B389" s="5">
        <f t="shared" si="21"/>
        <v>19.118136439267886</v>
      </c>
      <c r="C389" s="6">
        <f t="shared" si="22"/>
        <v>44.320541784798394</v>
      </c>
      <c r="D389" s="6">
        <f t="shared" si="23"/>
        <v>847.32616490404916</v>
      </c>
    </row>
    <row r="390" spans="1:4" x14ac:dyDescent="0.15">
      <c r="A390" s="11">
        <v>384</v>
      </c>
      <c r="B390" s="5">
        <f t="shared" si="21"/>
        <v>19.168053244592343</v>
      </c>
      <c r="C390" s="6">
        <f t="shared" si="22"/>
        <v>44.197158636340895</v>
      </c>
      <c r="D390" s="6">
        <f t="shared" si="23"/>
        <v>847.17349000107663</v>
      </c>
    </row>
    <row r="391" spans="1:4" x14ac:dyDescent="0.15">
      <c r="A391" s="11">
        <v>385</v>
      </c>
      <c r="B391" s="5">
        <f t="shared" si="21"/>
        <v>19.217970049916804</v>
      </c>
      <c r="C391" s="6">
        <f t="shared" si="22"/>
        <v>44.074008090352038</v>
      </c>
      <c r="D391" s="6">
        <f t="shared" si="23"/>
        <v>847.01296746017636</v>
      </c>
    </row>
    <row r="392" spans="1:4" x14ac:dyDescent="0.15">
      <c r="A392" s="11">
        <v>386</v>
      </c>
      <c r="B392" s="5">
        <f t="shared" si="21"/>
        <v>19.267886855241265</v>
      </c>
      <c r="C392" s="6">
        <f t="shared" si="22"/>
        <v>43.951090891768061</v>
      </c>
      <c r="D392" s="6">
        <f t="shared" si="23"/>
        <v>846.8446464670119</v>
      </c>
    </row>
    <row r="393" spans="1:4" x14ac:dyDescent="0.15">
      <c r="A393" s="11">
        <v>387</v>
      </c>
      <c r="B393" s="5">
        <f t="shared" si="21"/>
        <v>19.317803660565723</v>
      </c>
      <c r="C393" s="6">
        <f t="shared" si="22"/>
        <v>43.828407767985681</v>
      </c>
      <c r="D393" s="6">
        <f t="shared" si="23"/>
        <v>846.66857601716094</v>
      </c>
    </row>
    <row r="394" spans="1:4" x14ac:dyDescent="0.15">
      <c r="A394" s="11">
        <v>388</v>
      </c>
      <c r="B394" s="5">
        <f t="shared" si="21"/>
        <v>19.367720465890184</v>
      </c>
      <c r="C394" s="6">
        <f t="shared" si="22"/>
        <v>43.705959429093575</v>
      </c>
      <c r="D394" s="6">
        <f t="shared" si="23"/>
        <v>846.48480491622172</v>
      </c>
    </row>
    <row r="395" spans="1:4" x14ac:dyDescent="0.15">
      <c r="A395" s="11">
        <v>389</v>
      </c>
      <c r="B395" s="5">
        <f t="shared" si="21"/>
        <v>19.417637271214641</v>
      </c>
      <c r="C395" s="6">
        <f t="shared" si="22"/>
        <v>43.5837465681007</v>
      </c>
      <c r="D395" s="6">
        <f t="shared" si="23"/>
        <v>846.29338177992531</v>
      </c>
    </row>
    <row r="396" spans="1:4" x14ac:dyDescent="0.15">
      <c r="A396" s="11">
        <v>390</v>
      </c>
      <c r="B396" s="5">
        <f t="shared" si="21"/>
        <v>19.467554076539102</v>
      </c>
      <c r="C396" s="6">
        <f t="shared" si="22"/>
        <v>43.46176986116167</v>
      </c>
      <c r="D396" s="6">
        <f t="shared" si="23"/>
        <v>846.09435503426221</v>
      </c>
    </row>
    <row r="397" spans="1:4" x14ac:dyDescent="0.15">
      <c r="A397" s="11">
        <v>391</v>
      </c>
      <c r="B397" s="5">
        <f t="shared" si="21"/>
        <v>19.517470881863559</v>
      </c>
      <c r="C397" s="6">
        <f t="shared" si="22"/>
        <v>43.340029967799175</v>
      </c>
      <c r="D397" s="6">
        <f t="shared" si="23"/>
        <v>845.88777291561451</v>
      </c>
    </row>
    <row r="398" spans="1:4" x14ac:dyDescent="0.15">
      <c r="A398" s="11">
        <v>392</v>
      </c>
      <c r="B398" s="5">
        <f t="shared" si="21"/>
        <v>19.56738768718802</v>
      </c>
      <c r="C398" s="6">
        <f t="shared" si="22"/>
        <v>43.218527531123371</v>
      </c>
      <c r="D398" s="6">
        <f t="shared" si="23"/>
        <v>845.67368347089996</v>
      </c>
    </row>
    <row r="399" spans="1:4" x14ac:dyDescent="0.15">
      <c r="A399" s="11">
        <v>393</v>
      </c>
      <c r="B399" s="5">
        <f t="shared" si="21"/>
        <v>19.617304492512478</v>
      </c>
      <c r="C399" s="6">
        <f t="shared" si="22"/>
        <v>43.097263178048543</v>
      </c>
      <c r="D399" s="6">
        <f t="shared" si="23"/>
        <v>845.45213455772432</v>
      </c>
    </row>
    <row r="400" spans="1:4" x14ac:dyDescent="0.15">
      <c r="A400" s="11">
        <v>394</v>
      </c>
      <c r="B400" s="5">
        <f t="shared" ref="B400:B463" si="24">$B$1/$B$2*A400</f>
        <v>19.667221297836939</v>
      </c>
      <c r="C400" s="6">
        <f t="shared" ref="C400:C463" si="25">200*(B400/(5+B400))*EXP(-2*B400/$B$1)</f>
        <v>42.976237519506796</v>
      </c>
      <c r="D400" s="6">
        <f t="shared" ref="D400:D463" si="26">B400*C400</f>
        <v>845.223173844543</v>
      </c>
    </row>
    <row r="401" spans="1:4" x14ac:dyDescent="0.15">
      <c r="A401" s="11">
        <v>395</v>
      </c>
      <c r="B401" s="5">
        <f t="shared" si="24"/>
        <v>19.717138103161396</v>
      </c>
      <c r="C401" s="6">
        <f t="shared" si="25"/>
        <v>42.855451150659015</v>
      </c>
      <c r="D401" s="6">
        <f t="shared" si="26"/>
        <v>844.98684881083079</v>
      </c>
    </row>
    <row r="402" spans="1:4" x14ac:dyDescent="0.15">
      <c r="A402" s="11">
        <v>396</v>
      </c>
      <c r="B402" s="5">
        <f t="shared" si="24"/>
        <v>19.767054908485857</v>
      </c>
      <c r="C402" s="6">
        <f t="shared" si="25"/>
        <v>42.734904651103037</v>
      </c>
      <c r="D402" s="6">
        <f t="shared" si="26"/>
        <v>844.74320674726141</v>
      </c>
    </row>
    <row r="403" spans="1:4" x14ac:dyDescent="0.15">
      <c r="A403" s="11">
        <v>397</v>
      </c>
      <c r="B403" s="5">
        <f t="shared" si="24"/>
        <v>19.816971713810315</v>
      </c>
      <c r="C403" s="6">
        <f t="shared" si="25"/>
        <v>42.614598585079115</v>
      </c>
      <c r="D403" s="6">
        <f t="shared" si="26"/>
        <v>844.49229475589391</v>
      </c>
    </row>
    <row r="404" spans="1:4" x14ac:dyDescent="0.15">
      <c r="A404" s="11">
        <v>398</v>
      </c>
      <c r="B404" s="5">
        <f t="shared" si="24"/>
        <v>19.866888519134775</v>
      </c>
      <c r="C404" s="6">
        <f t="shared" si="25"/>
        <v>42.494533501672699</v>
      </c>
      <c r="D404" s="6">
        <f t="shared" si="26"/>
        <v>844.23415975036937</v>
      </c>
    </row>
    <row r="405" spans="1:4" x14ac:dyDescent="0.15">
      <c r="A405" s="11">
        <v>399</v>
      </c>
      <c r="B405" s="5">
        <f t="shared" si="24"/>
        <v>19.916805324459233</v>
      </c>
      <c r="C405" s="6">
        <f t="shared" si="25"/>
        <v>42.374709935014593</v>
      </c>
      <c r="D405" s="6">
        <f t="shared" si="26"/>
        <v>843.96884845611419</v>
      </c>
    </row>
    <row r="406" spans="1:4" x14ac:dyDescent="0.15">
      <c r="A406" s="11">
        <v>400</v>
      </c>
      <c r="B406" s="5">
        <f t="shared" si="24"/>
        <v>19.966722129783694</v>
      </c>
      <c r="C406" s="6">
        <f t="shared" si="25"/>
        <v>42.255128404478441</v>
      </c>
      <c r="D406" s="6">
        <f t="shared" si="26"/>
        <v>843.69640741055127</v>
      </c>
    </row>
    <row r="407" spans="1:4" x14ac:dyDescent="0.15">
      <c r="A407" s="11">
        <v>401</v>
      </c>
      <c r="B407" s="5">
        <f t="shared" si="24"/>
        <v>20.016638935108151</v>
      </c>
      <c r="C407" s="6">
        <f t="shared" si="25"/>
        <v>42.135789414875759</v>
      </c>
      <c r="D407" s="6">
        <f t="shared" si="26"/>
        <v>843.41688296332006</v>
      </c>
    </row>
    <row r="408" spans="1:4" x14ac:dyDescent="0.15">
      <c r="A408" s="11">
        <v>402</v>
      </c>
      <c r="B408" s="5">
        <f t="shared" si="24"/>
        <v>20.066555740432612</v>
      </c>
      <c r="C408" s="6">
        <f t="shared" si="25"/>
        <v>42.016693456648298</v>
      </c>
      <c r="D408" s="6">
        <f t="shared" si="26"/>
        <v>843.13032127650331</v>
      </c>
    </row>
    <row r="409" spans="1:4" x14ac:dyDescent="0.15">
      <c r="A409" s="11">
        <v>403</v>
      </c>
      <c r="B409" s="5">
        <f t="shared" si="24"/>
        <v>20.11647254575707</v>
      </c>
      <c r="C409" s="6">
        <f t="shared" si="25"/>
        <v>41.897841006058044</v>
      </c>
      <c r="D409" s="6">
        <f t="shared" si="26"/>
        <v>842.8367683248614</v>
      </c>
    </row>
    <row r="410" spans="1:4" x14ac:dyDescent="0.15">
      <c r="A410" s="11">
        <v>404</v>
      </c>
      <c r="B410" s="5">
        <f t="shared" si="24"/>
        <v>20.166389351081531</v>
      </c>
      <c r="C410" s="6">
        <f t="shared" si="25"/>
        <v>41.779232525374681</v>
      </c>
      <c r="D410" s="6">
        <f t="shared" si="26"/>
        <v>842.53626989607505</v>
      </c>
    </row>
    <row r="411" spans="1:4" x14ac:dyDescent="0.15">
      <c r="A411" s="11">
        <v>405</v>
      </c>
      <c r="B411" s="5">
        <f t="shared" si="24"/>
        <v>20.216306156405988</v>
      </c>
      <c r="C411" s="6">
        <f t="shared" si="25"/>
        <v>41.660868463060616</v>
      </c>
      <c r="D411" s="6">
        <f t="shared" si="26"/>
        <v>842.22887159099241</v>
      </c>
    </row>
    <row r="412" spans="1:4" x14ac:dyDescent="0.15">
      <c r="A412" s="11">
        <v>406</v>
      </c>
      <c r="B412" s="5">
        <f t="shared" si="24"/>
        <v>20.266222961730449</v>
      </c>
      <c r="C412" s="6">
        <f t="shared" si="25"/>
        <v>41.542749253953701</v>
      </c>
      <c r="D412" s="6">
        <f t="shared" si="26"/>
        <v>841.91461882388694</v>
      </c>
    </row>
    <row r="413" spans="1:4" x14ac:dyDescent="0.15">
      <c r="A413" s="11">
        <v>407</v>
      </c>
      <c r="B413" s="5">
        <f t="shared" si="24"/>
        <v>20.316139767054906</v>
      </c>
      <c r="C413" s="6">
        <f t="shared" si="25"/>
        <v>41.424875319447509</v>
      </c>
      <c r="D413" s="6">
        <f t="shared" si="26"/>
        <v>841.59355682271882</v>
      </c>
    </row>
    <row r="414" spans="1:4" x14ac:dyDescent="0.15">
      <c r="A414" s="11">
        <v>408</v>
      </c>
      <c r="B414" s="5">
        <f t="shared" si="24"/>
        <v>20.366056572379367</v>
      </c>
      <c r="C414" s="6">
        <f t="shared" si="25"/>
        <v>41.307247067669309</v>
      </c>
      <c r="D414" s="6">
        <f t="shared" si="26"/>
        <v>841.26573062940486</v>
      </c>
    </row>
    <row r="415" spans="1:4" x14ac:dyDescent="0.15">
      <c r="A415" s="11">
        <v>409</v>
      </c>
      <c r="B415" s="5">
        <f t="shared" si="24"/>
        <v>20.415973377703825</v>
      </c>
      <c r="C415" s="6">
        <f t="shared" si="25"/>
        <v>41.189864893655809</v>
      </c>
      <c r="D415" s="6">
        <f t="shared" si="26"/>
        <v>840.93118510009435</v>
      </c>
    </row>
    <row r="416" spans="1:4" x14ac:dyDescent="0.15">
      <c r="A416" s="11">
        <v>410</v>
      </c>
      <c r="B416" s="5">
        <f t="shared" si="24"/>
        <v>20.465890183028286</v>
      </c>
      <c r="C416" s="6">
        <f t="shared" si="25"/>
        <v>41.072729179526547</v>
      </c>
      <c r="D416" s="6">
        <f t="shared" si="26"/>
        <v>840.58996490545178</v>
      </c>
    </row>
    <row r="417" spans="1:4" x14ac:dyDescent="0.15">
      <c r="A417" s="11">
        <v>411</v>
      </c>
      <c r="B417" s="5">
        <f t="shared" si="24"/>
        <v>20.515806988352743</v>
      </c>
      <c r="C417" s="6">
        <f t="shared" si="25"/>
        <v>40.955840294655133</v>
      </c>
      <c r="D417" s="6">
        <f t="shared" si="26"/>
        <v>840.2421145309446</v>
      </c>
    </row>
    <row r="418" spans="1:4" x14ac:dyDescent="0.15">
      <c r="A418" s="11">
        <v>412</v>
      </c>
      <c r="B418" s="5">
        <f t="shared" si="24"/>
        <v>20.565723793677204</v>
      </c>
      <c r="C418" s="6">
        <f t="shared" si="25"/>
        <v>40.839198595838241</v>
      </c>
      <c r="D418" s="6">
        <f t="shared" si="26"/>
        <v>839.88767827713912</v>
      </c>
    </row>
    <row r="419" spans="1:4" x14ac:dyDescent="0.15">
      <c r="A419" s="11">
        <v>413</v>
      </c>
      <c r="B419" s="5">
        <f t="shared" si="24"/>
        <v>20.615640599001662</v>
      </c>
      <c r="C419" s="6">
        <f t="shared" si="25"/>
        <v>40.72280442746252</v>
      </c>
      <c r="D419" s="6">
        <f t="shared" si="26"/>
        <v>839.52670026000101</v>
      </c>
    </row>
    <row r="420" spans="1:4" x14ac:dyDescent="0.15">
      <c r="A420" s="11">
        <v>414</v>
      </c>
      <c r="B420" s="5">
        <f t="shared" si="24"/>
        <v>20.665557404326123</v>
      </c>
      <c r="C420" s="6">
        <f t="shared" si="25"/>
        <v>40.606658121669213</v>
      </c>
      <c r="D420" s="6">
        <f t="shared" si="26"/>
        <v>839.15922441120063</v>
      </c>
    </row>
    <row r="421" spans="1:4" x14ac:dyDescent="0.15">
      <c r="A421" s="11">
        <v>415</v>
      </c>
      <c r="B421" s="5">
        <f t="shared" si="24"/>
        <v>20.71547420965058</v>
      </c>
      <c r="C421" s="6">
        <f t="shared" si="25"/>
        <v>40.490759998516857</v>
      </c>
      <c r="D421" s="6">
        <f t="shared" si="26"/>
        <v>838.78529447842732</v>
      </c>
    </row>
    <row r="422" spans="1:4" x14ac:dyDescent="0.15">
      <c r="A422" s="11">
        <v>416</v>
      </c>
      <c r="B422" s="5">
        <f t="shared" si="24"/>
        <v>20.765391014975041</v>
      </c>
      <c r="C422" s="6">
        <f t="shared" si="25"/>
        <v>40.37511036614179</v>
      </c>
      <c r="D422" s="6">
        <f t="shared" si="26"/>
        <v>838.40495402570639</v>
      </c>
    </row>
    <row r="423" spans="1:4" x14ac:dyDescent="0.15">
      <c r="A423" s="11">
        <v>417</v>
      </c>
      <c r="B423" s="5">
        <f t="shared" si="24"/>
        <v>20.815307820299498</v>
      </c>
      <c r="C423" s="6">
        <f t="shared" si="25"/>
        <v>40.25970952091663</v>
      </c>
      <c r="D423" s="6">
        <f t="shared" si="26"/>
        <v>838.01824643372208</v>
      </c>
    </row>
    <row r="424" spans="1:4" x14ac:dyDescent="0.15">
      <c r="A424" s="11">
        <v>418</v>
      </c>
      <c r="B424" s="5">
        <f t="shared" si="24"/>
        <v>20.865224625623959</v>
      </c>
      <c r="C424" s="6">
        <f t="shared" si="25"/>
        <v>40.144557747606775</v>
      </c>
      <c r="D424" s="6">
        <f t="shared" si="26"/>
        <v>837.62521490014797</v>
      </c>
    </row>
    <row r="425" spans="1:4" x14ac:dyDescent="0.15">
      <c r="A425" s="11">
        <v>419</v>
      </c>
      <c r="B425" s="5">
        <f t="shared" si="24"/>
        <v>20.915141430948417</v>
      </c>
      <c r="C425" s="6">
        <f t="shared" si="25"/>
        <v>40.029655319524856</v>
      </c>
      <c r="D425" s="6">
        <f t="shared" si="26"/>
        <v>837.225902439979</v>
      </c>
    </row>
    <row r="426" spans="1:4" x14ac:dyDescent="0.15">
      <c r="A426" s="11">
        <v>420</v>
      </c>
      <c r="B426" s="5">
        <f t="shared" si="24"/>
        <v>20.965058236272878</v>
      </c>
      <c r="C426" s="6">
        <f t="shared" si="25"/>
        <v>39.915002498683293</v>
      </c>
      <c r="D426" s="6">
        <f t="shared" si="26"/>
        <v>836.8203518858727</v>
      </c>
    </row>
    <row r="427" spans="1:4" x14ac:dyDescent="0.15">
      <c r="A427" s="11">
        <v>421</v>
      </c>
      <c r="B427" s="5">
        <f t="shared" si="24"/>
        <v>21.014975041597335</v>
      </c>
      <c r="C427" s="6">
        <f t="shared" si="25"/>
        <v>39.800599535944848</v>
      </c>
      <c r="D427" s="6">
        <f t="shared" si="26"/>
        <v>836.40860588849148</v>
      </c>
    </row>
    <row r="428" spans="1:4" x14ac:dyDescent="0.15">
      <c r="A428" s="11">
        <v>422</v>
      </c>
      <c r="B428" s="5">
        <f t="shared" si="24"/>
        <v>21.064891846921796</v>
      </c>
      <c r="C428" s="6">
        <f t="shared" si="25"/>
        <v>39.686446671171339</v>
      </c>
      <c r="D428" s="6">
        <f t="shared" si="26"/>
        <v>835.99070691685381</v>
      </c>
    </row>
    <row r="429" spans="1:4" x14ac:dyDescent="0.15">
      <c r="A429" s="11">
        <v>423</v>
      </c>
      <c r="B429" s="5">
        <f t="shared" si="24"/>
        <v>21.114808652246253</v>
      </c>
      <c r="C429" s="6">
        <f t="shared" si="25"/>
        <v>39.572544133370364</v>
      </c>
      <c r="D429" s="6">
        <f t="shared" si="26"/>
        <v>835.56669725868528</v>
      </c>
    </row>
    <row r="430" spans="1:4" x14ac:dyDescent="0.15">
      <c r="A430" s="11">
        <v>424</v>
      </c>
      <c r="B430" s="5">
        <f t="shared" si="24"/>
        <v>21.164725457570714</v>
      </c>
      <c r="C430" s="6">
        <f t="shared" si="25"/>
        <v>39.458892140840341</v>
      </c>
      <c r="D430" s="6">
        <f t="shared" si="26"/>
        <v>835.13661902078059</v>
      </c>
    </row>
    <row r="431" spans="1:4" x14ac:dyDescent="0.15">
      <c r="A431" s="11">
        <v>425</v>
      </c>
      <c r="B431" s="5">
        <f t="shared" si="24"/>
        <v>21.214642262895172</v>
      </c>
      <c r="C431" s="6">
        <f t="shared" si="25"/>
        <v>39.345490901313504</v>
      </c>
      <c r="D431" s="6">
        <f t="shared" si="26"/>
        <v>834.70051412936289</v>
      </c>
    </row>
    <row r="432" spans="1:4" x14ac:dyDescent="0.15">
      <c r="A432" s="11">
        <v>426</v>
      </c>
      <c r="B432" s="5">
        <f t="shared" si="24"/>
        <v>21.264559068219633</v>
      </c>
      <c r="C432" s="6">
        <f t="shared" si="25"/>
        <v>39.232340612097296</v>
      </c>
      <c r="D432" s="6">
        <f t="shared" si="26"/>
        <v>834.25842433045489</v>
      </c>
    </row>
    <row r="433" spans="1:4" x14ac:dyDescent="0.15">
      <c r="A433" s="11">
        <v>427</v>
      </c>
      <c r="B433" s="5">
        <f t="shared" si="24"/>
        <v>21.314475873544094</v>
      </c>
      <c r="C433" s="6">
        <f t="shared" si="25"/>
        <v>39.119441460213821</v>
      </c>
      <c r="D433" s="6">
        <f t="shared" si="26"/>
        <v>833.81039119024797</v>
      </c>
    </row>
    <row r="434" spans="1:4" x14ac:dyDescent="0.15">
      <c r="A434" s="11">
        <v>428</v>
      </c>
      <c r="B434" s="5">
        <f t="shared" si="24"/>
        <v>21.364392678868551</v>
      </c>
      <c r="C434" s="6">
        <f t="shared" si="25"/>
        <v>39.006793622537657</v>
      </c>
      <c r="D434" s="6">
        <f t="shared" si="26"/>
        <v>833.35645609547998</v>
      </c>
    </row>
    <row r="435" spans="1:4" x14ac:dyDescent="0.15">
      <c r="A435" s="11">
        <v>429</v>
      </c>
      <c r="B435" s="5">
        <f t="shared" si="24"/>
        <v>21.414309484193012</v>
      </c>
      <c r="C435" s="6">
        <f t="shared" si="25"/>
        <v>38.894397265931822</v>
      </c>
      <c r="D435" s="6">
        <f t="shared" si="26"/>
        <v>832.89666025381462</v>
      </c>
    </row>
    <row r="436" spans="1:4" x14ac:dyDescent="0.15">
      <c r="A436" s="11">
        <v>430</v>
      </c>
      <c r="B436" s="5">
        <f t="shared" si="24"/>
        <v>21.46422628951747</v>
      </c>
      <c r="C436" s="6">
        <f t="shared" si="25"/>
        <v>38.782252547382171</v>
      </c>
      <c r="D436" s="6">
        <f t="shared" si="26"/>
        <v>832.43104469422622</v>
      </c>
    </row>
    <row r="437" spans="1:4" x14ac:dyDescent="0.15">
      <c r="A437" s="11">
        <v>431</v>
      </c>
      <c r="B437" s="5">
        <f t="shared" si="24"/>
        <v>21.514143094841931</v>
      </c>
      <c r="C437" s="6">
        <f t="shared" si="25"/>
        <v>38.670359614129929</v>
      </c>
      <c r="D437" s="6">
        <f t="shared" si="26"/>
        <v>831.9596502673877</v>
      </c>
    </row>
    <row r="438" spans="1:4" x14ac:dyDescent="0.15">
      <c r="A438" s="11">
        <v>432</v>
      </c>
      <c r="B438" s="5">
        <f t="shared" si="24"/>
        <v>21.564059900166388</v>
      </c>
      <c r="C438" s="6">
        <f t="shared" si="25"/>
        <v>38.558718603802774</v>
      </c>
      <c r="D438" s="6">
        <f t="shared" si="26"/>
        <v>831.48251764606312</v>
      </c>
    </row>
    <row r="439" spans="1:4" x14ac:dyDescent="0.15">
      <c r="A439" s="11">
        <v>433</v>
      </c>
      <c r="B439" s="5">
        <f t="shared" si="24"/>
        <v>21.613976705490849</v>
      </c>
      <c r="C439" s="6">
        <f t="shared" si="25"/>
        <v>38.447329644544048</v>
      </c>
      <c r="D439" s="6">
        <f t="shared" si="26"/>
        <v>830.9996873255028</v>
      </c>
    </row>
    <row r="440" spans="1:4" x14ac:dyDescent="0.15">
      <c r="A440" s="11">
        <v>434</v>
      </c>
      <c r="B440" s="5">
        <f t="shared" si="24"/>
        <v>21.663893510815306</v>
      </c>
      <c r="C440" s="6">
        <f t="shared" si="25"/>
        <v>38.336192855140574</v>
      </c>
      <c r="D440" s="6">
        <f t="shared" si="26"/>
        <v>830.51119962384394</v>
      </c>
    </row>
    <row r="441" spans="1:4" x14ac:dyDescent="0.15">
      <c r="A441" s="11">
        <v>435</v>
      </c>
      <c r="B441" s="5">
        <f t="shared" si="24"/>
        <v>21.713810316139767</v>
      </c>
      <c r="C441" s="6">
        <f t="shared" si="25"/>
        <v>38.225308345148662</v>
      </c>
      <c r="D441" s="6">
        <f t="shared" si="26"/>
        <v>830.01709468251249</v>
      </c>
    </row>
    <row r="442" spans="1:4" x14ac:dyDescent="0.15">
      <c r="A442" s="11">
        <v>436</v>
      </c>
      <c r="B442" s="5">
        <f t="shared" si="24"/>
        <v>21.763727121464225</v>
      </c>
      <c r="C442" s="6">
        <f t="shared" si="25"/>
        <v>38.114676215018733</v>
      </c>
      <c r="D442" s="6">
        <f t="shared" si="26"/>
        <v>829.51741246663062</v>
      </c>
    </row>
    <row r="443" spans="1:4" x14ac:dyDescent="0.15">
      <c r="A443" s="11">
        <v>437</v>
      </c>
      <c r="B443" s="5">
        <f t="shared" si="24"/>
        <v>21.813643926788686</v>
      </c>
      <c r="C443" s="6">
        <f t="shared" si="25"/>
        <v>38.004296556218243</v>
      </c>
      <c r="D443" s="6">
        <f t="shared" si="26"/>
        <v>829.01219276542622</v>
      </c>
    </row>
    <row r="444" spans="1:4" x14ac:dyDescent="0.15">
      <c r="A444" s="11">
        <v>438</v>
      </c>
      <c r="B444" s="5">
        <f t="shared" si="24"/>
        <v>21.863560732113143</v>
      </c>
      <c r="C444" s="6">
        <f t="shared" si="25"/>
        <v>37.894169451353157</v>
      </c>
      <c r="D444" s="6">
        <f t="shared" si="26"/>
        <v>828.50147519264635</v>
      </c>
    </row>
    <row r="445" spans="1:4" x14ac:dyDescent="0.15">
      <c r="A445" s="11">
        <v>439</v>
      </c>
      <c r="B445" s="5">
        <f t="shared" si="24"/>
        <v>21.913477537437604</v>
      </c>
      <c r="C445" s="6">
        <f t="shared" si="25"/>
        <v>37.784294974287882</v>
      </c>
      <c r="D445" s="6">
        <f t="shared" si="26"/>
        <v>827.98529918697409</v>
      </c>
    </row>
    <row r="446" spans="1:4" x14ac:dyDescent="0.15">
      <c r="A446" s="11">
        <v>440</v>
      </c>
      <c r="B446" s="5">
        <f t="shared" si="24"/>
        <v>21.963394342762061</v>
      </c>
      <c r="C446" s="6">
        <f t="shared" si="25"/>
        <v>37.674673190263697</v>
      </c>
      <c r="D446" s="6">
        <f t="shared" si="26"/>
        <v>827.46370401244724</v>
      </c>
    </row>
    <row r="447" spans="1:4" x14ac:dyDescent="0.15">
      <c r="A447" s="11">
        <v>441</v>
      </c>
      <c r="B447" s="5">
        <f t="shared" si="24"/>
        <v>22.013311148086522</v>
      </c>
      <c r="C447" s="6">
        <f t="shared" si="25"/>
        <v>37.565304156015713</v>
      </c>
      <c r="D447" s="6">
        <f t="shared" si="26"/>
        <v>826.93672875888171</v>
      </c>
    </row>
    <row r="448" spans="1:4" x14ac:dyDescent="0.15">
      <c r="A448" s="11">
        <v>442</v>
      </c>
      <c r="B448" s="5">
        <f t="shared" si="24"/>
        <v>22.06322795341098</v>
      </c>
      <c r="C448" s="6">
        <f t="shared" si="25"/>
        <v>37.456187919888457</v>
      </c>
      <c r="D448" s="6">
        <f t="shared" si="26"/>
        <v>826.40441234229763</v>
      </c>
    </row>
    <row r="449" spans="1:4" x14ac:dyDescent="0.15">
      <c r="A449" s="11">
        <v>443</v>
      </c>
      <c r="B449" s="5">
        <f t="shared" si="24"/>
        <v>22.113144758735441</v>
      </c>
      <c r="C449" s="6">
        <f t="shared" si="25"/>
        <v>37.347324521949815</v>
      </c>
      <c r="D449" s="6">
        <f t="shared" si="26"/>
        <v>825.86679350534621</v>
      </c>
    </row>
    <row r="450" spans="1:4" x14ac:dyDescent="0.15">
      <c r="A450" s="11">
        <v>444</v>
      </c>
      <c r="B450" s="5">
        <f t="shared" si="24"/>
        <v>22.163061564059898</v>
      </c>
      <c r="C450" s="6">
        <f t="shared" si="25"/>
        <v>37.238713994103904</v>
      </c>
      <c r="D450" s="6">
        <f t="shared" si="26"/>
        <v>825.32391081774369</v>
      </c>
    </row>
    <row r="451" spans="1:4" x14ac:dyDescent="0.15">
      <c r="A451" s="11">
        <v>445</v>
      </c>
      <c r="B451" s="5">
        <f t="shared" si="24"/>
        <v>22.212978369384359</v>
      </c>
      <c r="C451" s="6">
        <f t="shared" si="25"/>
        <v>37.130356360202114</v>
      </c>
      <c r="D451" s="6">
        <f t="shared" si="26"/>
        <v>824.77580267670248</v>
      </c>
    </row>
    <row r="452" spans="1:4" x14ac:dyDescent="0.15">
      <c r="A452" s="11">
        <v>446</v>
      </c>
      <c r="B452" s="5">
        <f t="shared" si="24"/>
        <v>22.262895174708817</v>
      </c>
      <c r="C452" s="6">
        <f t="shared" si="25"/>
        <v>37.0222516361532</v>
      </c>
      <c r="D452" s="6">
        <f t="shared" si="26"/>
        <v>824.22250730737062</v>
      </c>
    </row>
    <row r="453" spans="1:4" x14ac:dyDescent="0.15">
      <c r="A453" s="11">
        <v>447</v>
      </c>
      <c r="B453" s="5">
        <f t="shared" si="24"/>
        <v>22.312811980033278</v>
      </c>
      <c r="C453" s="6">
        <f t="shared" si="25"/>
        <v>36.914399830031684</v>
      </c>
      <c r="D453" s="6">
        <f t="shared" si="26"/>
        <v>823.66406276326938</v>
      </c>
    </row>
    <row r="454" spans="1:4" x14ac:dyDescent="0.15">
      <c r="A454" s="11">
        <v>448</v>
      </c>
      <c r="B454" s="5">
        <f t="shared" si="24"/>
        <v>22.362728785357735</v>
      </c>
      <c r="C454" s="6">
        <f t="shared" si="25"/>
        <v>36.806800942185149</v>
      </c>
      <c r="D454" s="6">
        <f t="shared" si="26"/>
        <v>823.10050692673599</v>
      </c>
    </row>
    <row r="455" spans="1:4" x14ac:dyDescent="0.15">
      <c r="A455" s="11">
        <v>449</v>
      </c>
      <c r="B455" s="5">
        <f t="shared" si="24"/>
        <v>22.412645590682196</v>
      </c>
      <c r="C455" s="6">
        <f t="shared" si="25"/>
        <v>36.699454965339996</v>
      </c>
      <c r="D455" s="6">
        <f t="shared" si="26"/>
        <v>822.53187750936729</v>
      </c>
    </row>
    <row r="456" spans="1:4" x14ac:dyDescent="0.15">
      <c r="A456" s="11">
        <v>450</v>
      </c>
      <c r="B456" s="5">
        <f t="shared" si="24"/>
        <v>22.462562396006653</v>
      </c>
      <c r="C456" s="6">
        <f t="shared" si="25"/>
        <v>36.592361884706143</v>
      </c>
      <c r="D456" s="6">
        <f t="shared" si="26"/>
        <v>821.95821205246739</v>
      </c>
    </row>
    <row r="457" spans="1:4" x14ac:dyDescent="0.15">
      <c r="A457" s="11">
        <v>451</v>
      </c>
      <c r="B457" s="5">
        <f t="shared" si="24"/>
        <v>22.512479201331114</v>
      </c>
      <c r="C457" s="6">
        <f t="shared" si="25"/>
        <v>36.48552167808019</v>
      </c>
      <c r="D457" s="6">
        <f t="shared" si="26"/>
        <v>821.37954792749576</v>
      </c>
    </row>
    <row r="458" spans="1:4" x14ac:dyDescent="0.15">
      <c r="A458" s="11">
        <v>452</v>
      </c>
      <c r="B458" s="5">
        <f t="shared" si="24"/>
        <v>22.562396006655572</v>
      </c>
      <c r="C458" s="6">
        <f t="shared" si="25"/>
        <v>36.378934315947511</v>
      </c>
      <c r="D458" s="6">
        <f t="shared" si="26"/>
        <v>820.79592233651942</v>
      </c>
    </row>
    <row r="459" spans="1:4" x14ac:dyDescent="0.15">
      <c r="A459" s="11">
        <v>453</v>
      </c>
      <c r="B459" s="5">
        <f t="shared" si="24"/>
        <v>22.612312811980033</v>
      </c>
      <c r="C459" s="6">
        <f t="shared" si="25"/>
        <v>36.272599761582917</v>
      </c>
      <c r="D459" s="6">
        <f t="shared" si="26"/>
        <v>820.20737231266526</v>
      </c>
    </row>
    <row r="460" spans="1:4" x14ac:dyDescent="0.15">
      <c r="A460" s="11">
        <v>454</v>
      </c>
      <c r="B460" s="5">
        <f t="shared" si="24"/>
        <v>22.66222961730449</v>
      </c>
      <c r="C460" s="6">
        <f t="shared" si="25"/>
        <v>36.166517971150263</v>
      </c>
      <c r="D460" s="6">
        <f t="shared" si="26"/>
        <v>819.61393472057659</v>
      </c>
    </row>
    <row r="461" spans="1:4" x14ac:dyDescent="0.15">
      <c r="A461" s="11">
        <v>455</v>
      </c>
      <c r="B461" s="5">
        <f t="shared" si="24"/>
        <v>22.712146422628951</v>
      </c>
      <c r="C461" s="6">
        <f t="shared" si="25"/>
        <v>36.060688893800638</v>
      </c>
      <c r="D461" s="6">
        <f t="shared" si="26"/>
        <v>819.01564625686967</v>
      </c>
    </row>
    <row r="462" spans="1:4" x14ac:dyDescent="0.15">
      <c r="A462" s="11">
        <v>456</v>
      </c>
      <c r="B462" s="5">
        <f t="shared" si="24"/>
        <v>22.762063227953409</v>
      </c>
      <c r="C462" s="6">
        <f t="shared" si="25"/>
        <v>35.95511247176956</v>
      </c>
      <c r="D462" s="6">
        <f t="shared" si="26"/>
        <v>818.41254345059485</v>
      </c>
    </row>
    <row r="463" spans="1:4" x14ac:dyDescent="0.15">
      <c r="A463" s="11">
        <v>457</v>
      </c>
      <c r="B463" s="5">
        <f t="shared" si="24"/>
        <v>22.811980033277869</v>
      </c>
      <c r="C463" s="6">
        <f t="shared" si="25"/>
        <v>35.849788640472731</v>
      </c>
      <c r="D463" s="6">
        <f t="shared" si="26"/>
        <v>817.80466266369569</v>
      </c>
    </row>
    <row r="464" spans="1:4" x14ac:dyDescent="0.15">
      <c r="A464" s="11">
        <v>458</v>
      </c>
      <c r="B464" s="5">
        <f t="shared" ref="B464:B527" si="27">$B$1/$B$2*A464</f>
        <v>22.861896838602327</v>
      </c>
      <c r="C464" s="6">
        <f t="shared" ref="C464:C527" si="28">200*(B464/(5+B464))*EXP(-2*B464/$B$1)</f>
        <v>35.744717328600892</v>
      </c>
      <c r="D464" s="6">
        <f t="shared" ref="D464:D527" si="29">B464*C464</f>
        <v>817.1920400914745</v>
      </c>
    </row>
    <row r="465" spans="1:4" x14ac:dyDescent="0.15">
      <c r="A465" s="11">
        <v>459</v>
      </c>
      <c r="B465" s="5">
        <f t="shared" si="27"/>
        <v>22.911813643926788</v>
      </c>
      <c r="C465" s="6">
        <f t="shared" si="28"/>
        <v>35.639898458213295</v>
      </c>
      <c r="D465" s="6">
        <f t="shared" si="29"/>
        <v>816.57471176305671</v>
      </c>
    </row>
    <row r="466" spans="1:4" x14ac:dyDescent="0.15">
      <c r="A466" s="11">
        <v>460</v>
      </c>
      <c r="B466" s="5">
        <f t="shared" si="27"/>
        <v>22.961730449251245</v>
      </c>
      <c r="C466" s="6">
        <f t="shared" si="28"/>
        <v>35.535331944830162</v>
      </c>
      <c r="D466" s="6">
        <f t="shared" si="29"/>
        <v>815.95271354185718</v>
      </c>
    </row>
    <row r="467" spans="1:4" x14ac:dyDescent="0.15">
      <c r="A467" s="11">
        <v>461</v>
      </c>
      <c r="B467" s="5">
        <f t="shared" si="27"/>
        <v>23.011647254575706</v>
      </c>
      <c r="C467" s="6">
        <f t="shared" si="28"/>
        <v>35.431017697523885</v>
      </c>
      <c r="D467" s="6">
        <f t="shared" si="29"/>
        <v>815.32608112604873</v>
      </c>
    </row>
    <row r="468" spans="1:4" x14ac:dyDescent="0.15">
      <c r="A468" s="11">
        <v>462</v>
      </c>
      <c r="B468" s="5">
        <f t="shared" si="27"/>
        <v>23.061564059900164</v>
      </c>
      <c r="C468" s="6">
        <f t="shared" si="28"/>
        <v>35.32695561900934</v>
      </c>
      <c r="D468" s="6">
        <f t="shared" si="29"/>
        <v>814.6948500490339</v>
      </c>
    </row>
    <row r="469" spans="1:4" x14ac:dyDescent="0.15">
      <c r="A469" s="11">
        <v>463</v>
      </c>
      <c r="B469" s="5">
        <f t="shared" si="27"/>
        <v>23.111480865224625</v>
      </c>
      <c r="C469" s="6">
        <f t="shared" si="28"/>
        <v>35.223145605732789</v>
      </c>
      <c r="D469" s="6">
        <f t="shared" si="29"/>
        <v>814.0590556799142</v>
      </c>
    </row>
    <row r="470" spans="1:4" x14ac:dyDescent="0.15">
      <c r="A470" s="11">
        <v>464</v>
      </c>
      <c r="B470" s="5">
        <f t="shared" si="27"/>
        <v>23.161397670549082</v>
      </c>
      <c r="C470" s="6">
        <f t="shared" si="28"/>
        <v>35.119587547960009</v>
      </c>
      <c r="D470" s="6">
        <f t="shared" si="29"/>
        <v>813.41873322396555</v>
      </c>
    </row>
    <row r="471" spans="1:4" x14ac:dyDescent="0.15">
      <c r="A471" s="11">
        <v>465</v>
      </c>
      <c r="B471" s="5">
        <f t="shared" si="27"/>
        <v>23.211314475873543</v>
      </c>
      <c r="C471" s="6">
        <f t="shared" si="28"/>
        <v>35.016281329863062</v>
      </c>
      <c r="D471" s="6">
        <f t="shared" si="29"/>
        <v>812.77391772311103</v>
      </c>
    </row>
    <row r="472" spans="1:4" x14ac:dyDescent="0.15">
      <c r="A472" s="11">
        <v>466</v>
      </c>
      <c r="B472" s="5">
        <f t="shared" si="27"/>
        <v>23.261231281198</v>
      </c>
      <c r="C472" s="6">
        <f t="shared" si="28"/>
        <v>34.913226829606273</v>
      </c>
      <c r="D472" s="6">
        <f t="shared" si="29"/>
        <v>812.12464405639878</v>
      </c>
    </row>
    <row r="473" spans="1:4" x14ac:dyDescent="0.15">
      <c r="A473" s="11">
        <v>467</v>
      </c>
      <c r="B473" s="5">
        <f t="shared" si="27"/>
        <v>23.311148086522461</v>
      </c>
      <c r="C473" s="6">
        <f t="shared" si="28"/>
        <v>34.810423919430932</v>
      </c>
      <c r="D473" s="6">
        <f t="shared" si="29"/>
        <v>811.47094694047803</v>
      </c>
    </row>
    <row r="474" spans="1:4" x14ac:dyDescent="0.15">
      <c r="A474" s="11">
        <v>468</v>
      </c>
      <c r="B474" s="5">
        <f t="shared" si="27"/>
        <v>23.361064891846919</v>
      </c>
      <c r="C474" s="6">
        <f t="shared" si="28"/>
        <v>34.707872465739129</v>
      </c>
      <c r="D474" s="6">
        <f t="shared" si="29"/>
        <v>810.81286093007873</v>
      </c>
    </row>
    <row r="475" spans="1:4" x14ac:dyDescent="0.15">
      <c r="A475" s="11">
        <v>469</v>
      </c>
      <c r="B475" s="5">
        <f t="shared" si="27"/>
        <v>23.41098169717138</v>
      </c>
      <c r="C475" s="6">
        <f t="shared" si="28"/>
        <v>34.605572329176475</v>
      </c>
      <c r="D475" s="6">
        <f t="shared" si="29"/>
        <v>810.15042041849085</v>
      </c>
    </row>
    <row r="476" spans="1:4" x14ac:dyDescent="0.15">
      <c r="A476" s="11">
        <v>470</v>
      </c>
      <c r="B476" s="5">
        <f t="shared" si="27"/>
        <v>23.460898502495841</v>
      </c>
      <c r="C476" s="6">
        <f t="shared" si="28"/>
        <v>34.503523364713864</v>
      </c>
      <c r="D476" s="6">
        <f t="shared" si="29"/>
        <v>809.48365963804576</v>
      </c>
    </row>
    <row r="477" spans="1:4" x14ac:dyDescent="0.15">
      <c r="A477" s="11">
        <v>471</v>
      </c>
      <c r="B477" s="5">
        <f t="shared" si="27"/>
        <v>23.510815307820298</v>
      </c>
      <c r="C477" s="6">
        <f t="shared" si="28"/>
        <v>34.40172542172823</v>
      </c>
      <c r="D477" s="6">
        <f t="shared" si="29"/>
        <v>808.8126126605988</v>
      </c>
    </row>
    <row r="478" spans="1:4" x14ac:dyDescent="0.15">
      <c r="A478" s="11">
        <v>472</v>
      </c>
      <c r="B478" s="5">
        <f t="shared" si="27"/>
        <v>23.560732113144759</v>
      </c>
      <c r="C478" s="6">
        <f t="shared" si="28"/>
        <v>34.300178344082319</v>
      </c>
      <c r="D478" s="6">
        <f t="shared" si="29"/>
        <v>808.13731339801268</v>
      </c>
    </row>
    <row r="479" spans="1:4" x14ac:dyDescent="0.15">
      <c r="A479" s="11">
        <v>473</v>
      </c>
      <c r="B479" s="5">
        <f t="shared" si="27"/>
        <v>23.610648918469217</v>
      </c>
      <c r="C479" s="6">
        <f t="shared" si="28"/>
        <v>34.198881970203502</v>
      </c>
      <c r="D479" s="6">
        <f t="shared" si="29"/>
        <v>807.45779560264168</v>
      </c>
    </row>
    <row r="480" spans="1:4" x14ac:dyDescent="0.15">
      <c r="A480" s="11">
        <v>474</v>
      </c>
      <c r="B480" s="5">
        <f t="shared" si="27"/>
        <v>23.660565723793678</v>
      </c>
      <c r="C480" s="6">
        <f t="shared" si="28"/>
        <v>34.097836133161621</v>
      </c>
      <c r="D480" s="6">
        <f t="shared" si="29"/>
        <v>806.77409286781744</v>
      </c>
    </row>
    <row r="481" spans="1:4" x14ac:dyDescent="0.15">
      <c r="A481" s="11">
        <v>475</v>
      </c>
      <c r="B481" s="5">
        <f t="shared" si="27"/>
        <v>23.710482529118135</v>
      </c>
      <c r="C481" s="6">
        <f t="shared" si="28"/>
        <v>33.997040660745888</v>
      </c>
      <c r="D481" s="6">
        <f t="shared" si="29"/>
        <v>806.08623862833429</v>
      </c>
    </row>
    <row r="482" spans="1:4" x14ac:dyDescent="0.15">
      <c r="A482" s="11">
        <v>476</v>
      </c>
      <c r="B482" s="5">
        <f t="shared" si="27"/>
        <v>23.760399334442596</v>
      </c>
      <c r="C482" s="6">
        <f t="shared" si="28"/>
        <v>33.896495375540916</v>
      </c>
      <c r="D482" s="6">
        <f t="shared" si="29"/>
        <v>805.39426616093886</v>
      </c>
    </row>
    <row r="483" spans="1:4" x14ac:dyDescent="0.15">
      <c r="A483" s="11">
        <v>477</v>
      </c>
      <c r="B483" s="5">
        <f t="shared" si="27"/>
        <v>23.810316139767053</v>
      </c>
      <c r="C483" s="6">
        <f t="shared" si="28"/>
        <v>33.796200095001709</v>
      </c>
      <c r="D483" s="6">
        <f t="shared" si="29"/>
        <v>804.69820858481603</v>
      </c>
    </row>
    <row r="484" spans="1:4" x14ac:dyDescent="0.15">
      <c r="A484" s="11">
        <v>478</v>
      </c>
      <c r="B484" s="5">
        <f t="shared" si="27"/>
        <v>23.860232945091514</v>
      </c>
      <c r="C484" s="6">
        <f t="shared" si="28"/>
        <v>33.696154631527897</v>
      </c>
      <c r="D484" s="6">
        <f t="shared" si="29"/>
        <v>803.99809886207993</v>
      </c>
    </row>
    <row r="485" spans="1:4" x14ac:dyDescent="0.15">
      <c r="A485" s="11">
        <v>479</v>
      </c>
      <c r="B485" s="5">
        <f t="shared" si="27"/>
        <v>23.910149750415972</v>
      </c>
      <c r="C485" s="6">
        <f t="shared" si="28"/>
        <v>33.596358792536883</v>
      </c>
      <c r="D485" s="6">
        <f t="shared" si="29"/>
        <v>803.29396979826117</v>
      </c>
    </row>
    <row r="486" spans="1:4" x14ac:dyDescent="0.15">
      <c r="A486" s="11">
        <v>480</v>
      </c>
      <c r="B486" s="5">
        <f t="shared" si="27"/>
        <v>23.960066555740433</v>
      </c>
      <c r="C486" s="6">
        <f t="shared" si="28"/>
        <v>33.496812380536362</v>
      </c>
      <c r="D486" s="6">
        <f t="shared" si="29"/>
        <v>802.58585404280132</v>
      </c>
    </row>
    <row r="487" spans="1:4" x14ac:dyDescent="0.15">
      <c r="A487" s="11">
        <v>481</v>
      </c>
      <c r="B487" s="5">
        <f t="shared" si="27"/>
        <v>24.00998336106489</v>
      </c>
      <c r="C487" s="6">
        <f t="shared" si="28"/>
        <v>33.39751519319568</v>
      </c>
      <c r="D487" s="6">
        <f t="shared" si="29"/>
        <v>801.8737840895401</v>
      </c>
    </row>
    <row r="488" spans="1:4" x14ac:dyDescent="0.15">
      <c r="A488" s="11">
        <v>482</v>
      </c>
      <c r="B488" s="5">
        <f t="shared" si="27"/>
        <v>24.059900166389351</v>
      </c>
      <c r="C488" s="6">
        <f t="shared" si="28"/>
        <v>33.298467023416549</v>
      </c>
      <c r="D488" s="6">
        <f t="shared" si="29"/>
        <v>801.15779227721021</v>
      </c>
    </row>
    <row r="489" spans="1:4" x14ac:dyDescent="0.15">
      <c r="A489" s="11">
        <v>483</v>
      </c>
      <c r="B489" s="5">
        <f t="shared" si="27"/>
        <v>24.109816971713808</v>
      </c>
      <c r="C489" s="6">
        <f t="shared" si="28"/>
        <v>33.199667659402834</v>
      </c>
      <c r="D489" s="6">
        <f t="shared" si="29"/>
        <v>800.43791078992854</v>
      </c>
    </row>
    <row r="490" spans="1:4" x14ac:dyDescent="0.15">
      <c r="A490" s="11">
        <v>484</v>
      </c>
      <c r="B490" s="5">
        <f t="shared" si="27"/>
        <v>24.159733777038269</v>
      </c>
      <c r="C490" s="6">
        <f t="shared" si="28"/>
        <v>33.101116884729457</v>
      </c>
      <c r="D490" s="6">
        <f t="shared" si="29"/>
        <v>799.71417165769003</v>
      </c>
    </row>
    <row r="491" spans="1:4" x14ac:dyDescent="0.15">
      <c r="A491" s="11">
        <v>485</v>
      </c>
      <c r="B491" s="5">
        <f t="shared" si="27"/>
        <v>24.209650582362727</v>
      </c>
      <c r="C491" s="6">
        <f t="shared" si="28"/>
        <v>33.002814478410556</v>
      </c>
      <c r="D491" s="6">
        <f t="shared" si="29"/>
        <v>798.98660675686119</v>
      </c>
    </row>
    <row r="492" spans="1:4" x14ac:dyDescent="0.15">
      <c r="A492" s="11">
        <v>486</v>
      </c>
      <c r="B492" s="5">
        <f t="shared" si="27"/>
        <v>24.259567387687188</v>
      </c>
      <c r="C492" s="6">
        <f t="shared" si="28"/>
        <v>32.904760214966757</v>
      </c>
      <c r="D492" s="6">
        <f t="shared" si="29"/>
        <v>798.2552478106744</v>
      </c>
    </row>
    <row r="493" spans="1:4" x14ac:dyDescent="0.15">
      <c r="A493" s="11">
        <v>487</v>
      </c>
      <c r="B493" s="5">
        <f t="shared" si="27"/>
        <v>24.309484193011645</v>
      </c>
      <c r="C493" s="6">
        <f t="shared" si="28"/>
        <v>32.806953864491646</v>
      </c>
      <c r="D493" s="6">
        <f t="shared" si="29"/>
        <v>797.52012638972201</v>
      </c>
    </row>
    <row r="494" spans="1:4" x14ac:dyDescent="0.15">
      <c r="A494" s="11">
        <v>488</v>
      </c>
      <c r="B494" s="5">
        <f t="shared" si="27"/>
        <v>24.359400998336106</v>
      </c>
      <c r="C494" s="6">
        <f t="shared" si="28"/>
        <v>32.709395192717487</v>
      </c>
      <c r="D494" s="6">
        <f t="shared" si="29"/>
        <v>796.78127391245255</v>
      </c>
    </row>
    <row r="495" spans="1:4" x14ac:dyDescent="0.15">
      <c r="A495" s="11">
        <v>489</v>
      </c>
      <c r="B495" s="5">
        <f t="shared" si="27"/>
        <v>24.409317803660564</v>
      </c>
      <c r="C495" s="6">
        <f t="shared" si="28"/>
        <v>32.61208396108011</v>
      </c>
      <c r="D495" s="6">
        <f t="shared" si="29"/>
        <v>796.03872164566587</v>
      </c>
    </row>
    <row r="496" spans="1:4" x14ac:dyDescent="0.15">
      <c r="A496" s="11">
        <v>490</v>
      </c>
      <c r="B496" s="5">
        <f t="shared" si="27"/>
        <v>24.459234608985025</v>
      </c>
      <c r="C496" s="6">
        <f t="shared" si="28"/>
        <v>32.515019926783005</v>
      </c>
      <c r="D496" s="6">
        <f t="shared" si="29"/>
        <v>795.29250070500859</v>
      </c>
    </row>
    <row r="497" spans="1:4" x14ac:dyDescent="0.15">
      <c r="A497" s="11">
        <v>491</v>
      </c>
      <c r="B497" s="5">
        <f t="shared" si="27"/>
        <v>24.509151414309482</v>
      </c>
      <c r="C497" s="6">
        <f t="shared" si="28"/>
        <v>32.418202842860687</v>
      </c>
      <c r="D497" s="6">
        <f t="shared" si="29"/>
        <v>794.54264205547065</v>
      </c>
    </row>
    <row r="498" spans="1:4" x14ac:dyDescent="0.15">
      <c r="A498" s="11">
        <v>492</v>
      </c>
      <c r="B498" s="5">
        <f t="shared" si="27"/>
        <v>24.559068219633943</v>
      </c>
      <c r="C498" s="6">
        <f t="shared" si="28"/>
        <v>32.321632458241311</v>
      </c>
      <c r="D498" s="6">
        <f t="shared" si="29"/>
        <v>793.78917651188306</v>
      </c>
    </row>
    <row r="499" spans="1:4" x14ac:dyDescent="0.15">
      <c r="A499" s="11">
        <v>493</v>
      </c>
      <c r="B499" s="5">
        <f t="shared" si="27"/>
        <v>24.6089850249584</v>
      </c>
      <c r="C499" s="6">
        <f t="shared" si="28"/>
        <v>32.225308517808443</v>
      </c>
      <c r="D499" s="6">
        <f t="shared" si="29"/>
        <v>793.03213473941241</v>
      </c>
    </row>
    <row r="500" spans="1:4" x14ac:dyDescent="0.15">
      <c r="A500" s="11">
        <v>494</v>
      </c>
      <c r="B500" s="5">
        <f t="shared" si="27"/>
        <v>24.658901830282861</v>
      </c>
      <c r="C500" s="6">
        <f t="shared" si="28"/>
        <v>32.129230762462221</v>
      </c>
      <c r="D500" s="6">
        <f t="shared" si="29"/>
        <v>792.27154725406012</v>
      </c>
    </row>
    <row r="501" spans="1:4" x14ac:dyDescent="0.15">
      <c r="A501" s="11">
        <v>495</v>
      </c>
      <c r="B501" s="5">
        <f t="shared" si="27"/>
        <v>24.708818635607319</v>
      </c>
      <c r="C501" s="6">
        <f t="shared" si="28"/>
        <v>32.033398929179668</v>
      </c>
      <c r="D501" s="6">
        <f t="shared" si="29"/>
        <v>791.50744442315806</v>
      </c>
    </row>
    <row r="502" spans="1:4" x14ac:dyDescent="0.15">
      <c r="A502" s="11">
        <v>496</v>
      </c>
      <c r="B502" s="5">
        <f t="shared" si="27"/>
        <v>24.75873544093178</v>
      </c>
      <c r="C502" s="6">
        <f t="shared" si="28"/>
        <v>31.937812751074357</v>
      </c>
      <c r="D502" s="6">
        <f t="shared" si="29"/>
        <v>790.73985646586755</v>
      </c>
    </row>
    <row r="503" spans="1:4" x14ac:dyDescent="0.15">
      <c r="A503" s="11">
        <v>497</v>
      </c>
      <c r="B503" s="5">
        <f t="shared" si="27"/>
        <v>24.808652246256237</v>
      </c>
      <c r="C503" s="6">
        <f t="shared" si="28"/>
        <v>31.842471957455338</v>
      </c>
      <c r="D503" s="6">
        <f t="shared" si="29"/>
        <v>789.96881345367558</v>
      </c>
    </row>
    <row r="504" spans="1:4" x14ac:dyDescent="0.15">
      <c r="A504" s="11">
        <v>498</v>
      </c>
      <c r="B504" s="5">
        <f t="shared" si="27"/>
        <v>24.858569051580698</v>
      </c>
      <c r="C504" s="6">
        <f t="shared" si="28"/>
        <v>31.747376273885347</v>
      </c>
      <c r="D504" s="6">
        <f t="shared" si="29"/>
        <v>789.1943453108936</v>
      </c>
    </row>
    <row r="505" spans="1:4" x14ac:dyDescent="0.15">
      <c r="A505" s="11">
        <v>499</v>
      </c>
      <c r="B505" s="5">
        <f t="shared" si="27"/>
        <v>24.908485856905155</v>
      </c>
      <c r="C505" s="6">
        <f t="shared" si="28"/>
        <v>31.652525422238323</v>
      </c>
      <c r="D505" s="6">
        <f t="shared" si="29"/>
        <v>788.41648181515416</v>
      </c>
    </row>
    <row r="506" spans="1:4" x14ac:dyDescent="0.15">
      <c r="A506" s="11">
        <v>500</v>
      </c>
      <c r="B506" s="5">
        <f t="shared" si="27"/>
        <v>24.958402662229616</v>
      </c>
      <c r="C506" s="6">
        <f t="shared" si="28"/>
        <v>31.557919120756267</v>
      </c>
      <c r="D506" s="6">
        <f t="shared" si="29"/>
        <v>787.63525259791015</v>
      </c>
    </row>
    <row r="507" spans="1:4" x14ac:dyDescent="0.15">
      <c r="A507" s="11">
        <v>501</v>
      </c>
      <c r="B507" s="5">
        <f t="shared" si="27"/>
        <v>25.008319467554074</v>
      </c>
      <c r="C507" s="6">
        <f t="shared" si="28"/>
        <v>31.463557084105378</v>
      </c>
      <c r="D507" s="6">
        <f t="shared" si="29"/>
        <v>786.85068714493138</v>
      </c>
    </row>
    <row r="508" spans="1:4" x14ac:dyDescent="0.15">
      <c r="A508" s="11">
        <v>502</v>
      </c>
      <c r="B508" s="5">
        <f t="shared" si="27"/>
        <v>25.058236272878535</v>
      </c>
      <c r="C508" s="6">
        <f t="shared" si="28"/>
        <v>31.369439023431525</v>
      </c>
      <c r="D508" s="6">
        <f t="shared" si="29"/>
        <v>786.0628147968032</v>
      </c>
    </row>
    <row r="509" spans="1:4" x14ac:dyDescent="0.15">
      <c r="A509" s="11">
        <v>503</v>
      </c>
      <c r="B509" s="5">
        <f t="shared" si="27"/>
        <v>25.108153078202992</v>
      </c>
      <c r="C509" s="6">
        <f t="shared" si="28"/>
        <v>31.275564646415106</v>
      </c>
      <c r="D509" s="6">
        <f t="shared" si="29"/>
        <v>785.27166474942408</v>
      </c>
    </row>
    <row r="510" spans="1:4" x14ac:dyDescent="0.15">
      <c r="A510" s="11">
        <v>504</v>
      </c>
      <c r="B510" s="5">
        <f t="shared" si="27"/>
        <v>25.158069883527453</v>
      </c>
      <c r="C510" s="6">
        <f t="shared" si="28"/>
        <v>31.181933657325178</v>
      </c>
      <c r="D510" s="6">
        <f t="shared" si="29"/>
        <v>784.47726605450362</v>
      </c>
    </row>
    <row r="511" spans="1:4" x14ac:dyDescent="0.15">
      <c r="A511" s="11">
        <v>505</v>
      </c>
      <c r="B511" s="5">
        <f t="shared" si="27"/>
        <v>25.207986688851911</v>
      </c>
      <c r="C511" s="6">
        <f t="shared" si="28"/>
        <v>31.088545757072996</v>
      </c>
      <c r="D511" s="6">
        <f t="shared" si="29"/>
        <v>783.67964762005965</v>
      </c>
    </row>
    <row r="512" spans="1:4" x14ac:dyDescent="0.15">
      <c r="A512" s="11">
        <v>506</v>
      </c>
      <c r="B512" s="5">
        <f t="shared" si="27"/>
        <v>25.257903494176372</v>
      </c>
      <c r="C512" s="6">
        <f t="shared" si="28"/>
        <v>30.995400643264876</v>
      </c>
      <c r="D512" s="6">
        <f t="shared" si="29"/>
        <v>782.87883821091646</v>
      </c>
    </row>
    <row r="513" spans="1:4" x14ac:dyDescent="0.15">
      <c r="A513" s="11">
        <v>507</v>
      </c>
      <c r="B513" s="5">
        <f t="shared" si="27"/>
        <v>25.307820299500829</v>
      </c>
      <c r="C513" s="6">
        <f t="shared" si="28"/>
        <v>30.902498010254465</v>
      </c>
      <c r="D513" s="6">
        <f t="shared" si="29"/>
        <v>782.07486644920198</v>
      </c>
    </row>
    <row r="514" spans="1:4" x14ac:dyDescent="0.15">
      <c r="A514" s="11">
        <v>508</v>
      </c>
      <c r="B514" s="5">
        <f t="shared" si="27"/>
        <v>25.35773710482529</v>
      </c>
      <c r="C514" s="6">
        <f t="shared" si="28"/>
        <v>30.809837549194352</v>
      </c>
      <c r="D514" s="6">
        <f t="shared" si="29"/>
        <v>781.26776081484513</v>
      </c>
    </row>
    <row r="515" spans="1:4" x14ac:dyDescent="0.15">
      <c r="A515" s="11">
        <v>509</v>
      </c>
      <c r="B515" s="5">
        <f t="shared" si="27"/>
        <v>25.407653910149747</v>
      </c>
      <c r="C515" s="6">
        <f t="shared" si="28"/>
        <v>30.717418948087069</v>
      </c>
      <c r="D515" s="6">
        <f t="shared" si="29"/>
        <v>780.45754964607238</v>
      </c>
    </row>
    <row r="516" spans="1:4" x14ac:dyDescent="0.15">
      <c r="A516" s="11">
        <v>510</v>
      </c>
      <c r="B516" s="5">
        <f t="shared" si="27"/>
        <v>25.457570715474208</v>
      </c>
      <c r="C516" s="6">
        <f t="shared" si="28"/>
        <v>30.625241891835522</v>
      </c>
      <c r="D516" s="6">
        <f t="shared" si="29"/>
        <v>779.64426113990589</v>
      </c>
    </row>
    <row r="517" spans="1:4" x14ac:dyDescent="0.15">
      <c r="A517" s="11">
        <v>511</v>
      </c>
      <c r="B517" s="5">
        <f t="shared" si="27"/>
        <v>25.507487520798666</v>
      </c>
      <c r="C517" s="6">
        <f t="shared" si="28"/>
        <v>30.53330606229277</v>
      </c>
      <c r="D517" s="6">
        <f t="shared" si="29"/>
        <v>778.82792335265913</v>
      </c>
    </row>
    <row r="518" spans="1:4" x14ac:dyDescent="0.15">
      <c r="A518" s="11">
        <v>512</v>
      </c>
      <c r="B518" s="5">
        <f t="shared" si="27"/>
        <v>25.557404326123127</v>
      </c>
      <c r="C518" s="6">
        <f t="shared" si="28"/>
        <v>30.441611138311213</v>
      </c>
      <c r="D518" s="6">
        <f t="shared" si="29"/>
        <v>778.00856420043294</v>
      </c>
    </row>
    <row r="519" spans="1:4" x14ac:dyDescent="0.15">
      <c r="A519" s="11">
        <v>513</v>
      </c>
      <c r="B519" s="5">
        <f t="shared" si="27"/>
        <v>25.607321131447588</v>
      </c>
      <c r="C519" s="6">
        <f t="shared" si="28"/>
        <v>30.350156795791261</v>
      </c>
      <c r="D519" s="6">
        <f t="shared" si="29"/>
        <v>777.18621145961311</v>
      </c>
    </row>
    <row r="520" spans="1:4" x14ac:dyDescent="0.15">
      <c r="A520" s="11">
        <v>514</v>
      </c>
      <c r="B520" s="5">
        <f t="shared" si="27"/>
        <v>25.657237936772045</v>
      </c>
      <c r="C520" s="6">
        <f t="shared" si="28"/>
        <v>30.258942707729339</v>
      </c>
      <c r="D520" s="6">
        <f t="shared" si="29"/>
        <v>776.36089276736504</v>
      </c>
    </row>
    <row r="521" spans="1:4" x14ac:dyDescent="0.15">
      <c r="A521" s="11">
        <v>515</v>
      </c>
      <c r="B521" s="5">
        <f t="shared" si="27"/>
        <v>25.707154742096506</v>
      </c>
      <c r="C521" s="6">
        <f t="shared" si="28"/>
        <v>30.167968544265339</v>
      </c>
      <c r="D521" s="6">
        <f t="shared" si="29"/>
        <v>775.53263562212896</v>
      </c>
    </row>
    <row r="522" spans="1:4" x14ac:dyDescent="0.15">
      <c r="A522" s="11">
        <v>516</v>
      </c>
      <c r="B522" s="5">
        <f t="shared" si="27"/>
        <v>25.757071547420963</v>
      </c>
      <c r="C522" s="6">
        <f t="shared" si="28"/>
        <v>30.077233972729591</v>
      </c>
      <c r="D522" s="6">
        <f t="shared" si="29"/>
        <v>774.70146738411654</v>
      </c>
    </row>
    <row r="523" spans="1:4" x14ac:dyDescent="0.15">
      <c r="A523" s="11">
        <v>517</v>
      </c>
      <c r="B523" s="5">
        <f t="shared" si="27"/>
        <v>25.806988352745424</v>
      </c>
      <c r="C523" s="6">
        <f t="shared" si="28"/>
        <v>29.986738657689123</v>
      </c>
      <c r="D523" s="6">
        <f t="shared" si="29"/>
        <v>773.86741527580421</v>
      </c>
    </row>
    <row r="524" spans="1:4" x14ac:dyDescent="0.15">
      <c r="A524" s="11">
        <v>518</v>
      </c>
      <c r="B524" s="5">
        <f t="shared" si="27"/>
        <v>25.856905158069882</v>
      </c>
      <c r="C524" s="6">
        <f t="shared" si="28"/>
        <v>29.89648226099353</v>
      </c>
      <c r="D524" s="6">
        <f t="shared" si="29"/>
        <v>773.03050638242837</v>
      </c>
    </row>
    <row r="525" spans="1:4" x14ac:dyDescent="0.15">
      <c r="A525" s="11">
        <v>519</v>
      </c>
      <c r="B525" s="5">
        <f t="shared" si="27"/>
        <v>25.906821963394343</v>
      </c>
      <c r="C525" s="6">
        <f t="shared" si="28"/>
        <v>29.806464441820147</v>
      </c>
      <c r="D525" s="6">
        <f t="shared" si="29"/>
        <v>772.19076765247871</v>
      </c>
    </row>
    <row r="526" spans="1:4" x14ac:dyDescent="0.15">
      <c r="A526" s="11">
        <v>520</v>
      </c>
      <c r="B526" s="5">
        <f t="shared" si="27"/>
        <v>25.9567387687188</v>
      </c>
      <c r="C526" s="6">
        <f t="shared" si="28"/>
        <v>29.716684856718846</v>
      </c>
      <c r="D526" s="6">
        <f t="shared" si="29"/>
        <v>771.34822589819294</v>
      </c>
    </row>
    <row r="527" spans="1:4" x14ac:dyDescent="0.15">
      <c r="A527" s="11">
        <v>521</v>
      </c>
      <c r="B527" s="5">
        <f t="shared" si="27"/>
        <v>26.006655574043261</v>
      </c>
      <c r="C527" s="6">
        <f t="shared" si="28"/>
        <v>29.627143159656114</v>
      </c>
      <c r="D527" s="6">
        <f t="shared" si="29"/>
        <v>770.50290779604836</v>
      </c>
    </row>
    <row r="528" spans="1:4" x14ac:dyDescent="0.15">
      <c r="A528" s="11">
        <v>522</v>
      </c>
      <c r="B528" s="5">
        <f t="shared" ref="B528:B591" si="30">$B$1/$B$2*A528</f>
        <v>26.056572379367719</v>
      </c>
      <c r="C528" s="6">
        <f t="shared" ref="C528:C591" si="31">200*(B528/(5+B528))*EXP(-2*B528/$B$1)</f>
        <v>29.537839002058799</v>
      </c>
      <c r="D528" s="6">
        <f t="shared" ref="D528:D591" si="32">B528*C528</f>
        <v>769.65483988725589</v>
      </c>
    </row>
    <row r="529" spans="1:4" x14ac:dyDescent="0.15">
      <c r="A529" s="11">
        <v>523</v>
      </c>
      <c r="B529" s="5">
        <f t="shared" si="30"/>
        <v>26.10648918469218</v>
      </c>
      <c r="C529" s="6">
        <f t="shared" si="31"/>
        <v>29.448772032857164</v>
      </c>
      <c r="D529" s="6">
        <f t="shared" si="32"/>
        <v>768.80404857825113</v>
      </c>
    </row>
    <row r="530" spans="1:4" x14ac:dyDescent="0.15">
      <c r="A530" s="11">
        <v>524</v>
      </c>
      <c r="B530" s="5">
        <f t="shared" si="30"/>
        <v>26.156405990016637</v>
      </c>
      <c r="C530" s="6">
        <f t="shared" si="31"/>
        <v>29.359941898527559</v>
      </c>
      <c r="D530" s="6">
        <f t="shared" si="32"/>
        <v>767.95056014118666</v>
      </c>
    </row>
    <row r="531" spans="1:4" x14ac:dyDescent="0.15">
      <c r="A531" s="11">
        <v>525</v>
      </c>
      <c r="B531" s="5">
        <f t="shared" si="30"/>
        <v>26.206322795341098</v>
      </c>
      <c r="C531" s="6">
        <f t="shared" si="31"/>
        <v>29.271348243134486</v>
      </c>
      <c r="D531" s="6">
        <f t="shared" si="32"/>
        <v>767.09440071442293</v>
      </c>
    </row>
    <row r="532" spans="1:4" x14ac:dyDescent="0.15">
      <c r="A532" s="11">
        <v>526</v>
      </c>
      <c r="B532" s="5">
        <f t="shared" si="30"/>
        <v>26.256239600665555</v>
      </c>
      <c r="C532" s="6">
        <f t="shared" si="31"/>
        <v>29.182990708372298</v>
      </c>
      <c r="D532" s="6">
        <f t="shared" si="32"/>
        <v>766.23559630301963</v>
      </c>
    </row>
    <row r="533" spans="1:4" x14ac:dyDescent="0.15">
      <c r="A533" s="11">
        <v>527</v>
      </c>
      <c r="B533" s="5">
        <f t="shared" si="30"/>
        <v>26.306156405990016</v>
      </c>
      <c r="C533" s="6">
        <f t="shared" si="31"/>
        <v>29.094868933606158</v>
      </c>
      <c r="D533" s="6">
        <f t="shared" si="32"/>
        <v>765.3741727792235</v>
      </c>
    </row>
    <row r="534" spans="1:4" x14ac:dyDescent="0.15">
      <c r="A534" s="11">
        <v>528</v>
      </c>
      <c r="B534" s="5">
        <f t="shared" si="30"/>
        <v>26.356073211314474</v>
      </c>
      <c r="C534" s="6">
        <f t="shared" si="31"/>
        <v>29.006982555912867</v>
      </c>
      <c r="D534" s="6">
        <f t="shared" si="32"/>
        <v>764.51015588296139</v>
      </c>
    </row>
    <row r="535" spans="1:4" x14ac:dyDescent="0.15">
      <c r="A535" s="11">
        <v>529</v>
      </c>
      <c r="B535" s="5">
        <f t="shared" si="30"/>
        <v>26.405990016638935</v>
      </c>
      <c r="C535" s="6">
        <f t="shared" si="31"/>
        <v>28.919331210120809</v>
      </c>
      <c r="D535" s="6">
        <f t="shared" si="32"/>
        <v>763.64357122232491</v>
      </c>
    </row>
    <row r="536" spans="1:4" x14ac:dyDescent="0.15">
      <c r="A536" s="11">
        <v>530</v>
      </c>
      <c r="B536" s="5">
        <f t="shared" si="30"/>
        <v>26.455906821963392</v>
      </c>
      <c r="C536" s="6">
        <f t="shared" si="31"/>
        <v>28.83191452884979</v>
      </c>
      <c r="D536" s="6">
        <f t="shared" si="32"/>
        <v>762.7744442740626</v>
      </c>
    </row>
    <row r="537" spans="1:4" x14ac:dyDescent="0.15">
      <c r="A537" s="11">
        <v>531</v>
      </c>
      <c r="B537" s="5">
        <f t="shared" si="30"/>
        <v>26.505823627287853</v>
      </c>
      <c r="C537" s="6">
        <f t="shared" si="31"/>
        <v>28.744732142550067</v>
      </c>
      <c r="D537" s="6">
        <f t="shared" si="32"/>
        <v>761.90280038406411</v>
      </c>
    </row>
    <row r="538" spans="1:4" x14ac:dyDescent="0.15">
      <c r="A538" s="11">
        <v>532</v>
      </c>
      <c r="B538" s="5">
        <f t="shared" si="30"/>
        <v>26.555740432612311</v>
      </c>
      <c r="C538" s="6">
        <f t="shared" si="31"/>
        <v>28.657783679541247</v>
      </c>
      <c r="D538" s="6">
        <f t="shared" si="32"/>
        <v>761.02866476785073</v>
      </c>
    </row>
    <row r="539" spans="1:4" x14ac:dyDescent="0.15">
      <c r="A539" s="11">
        <v>533</v>
      </c>
      <c r="B539" s="5">
        <f t="shared" si="30"/>
        <v>26.605657237936772</v>
      </c>
      <c r="C539" s="6">
        <f t="shared" si="31"/>
        <v>28.571068766050399</v>
      </c>
      <c r="D539" s="6">
        <f t="shared" si="32"/>
        <v>760.15206251105803</v>
      </c>
    </row>
    <row r="540" spans="1:4" x14ac:dyDescent="0.15">
      <c r="A540" s="11">
        <v>534</v>
      </c>
      <c r="B540" s="5">
        <f t="shared" si="30"/>
        <v>26.655574043261229</v>
      </c>
      <c r="C540" s="6">
        <f t="shared" si="31"/>
        <v>28.484587026250001</v>
      </c>
      <c r="D540" s="6">
        <f t="shared" si="32"/>
        <v>759.27301856992506</v>
      </c>
    </row>
    <row r="541" spans="1:4" x14ac:dyDescent="0.15">
      <c r="A541" s="11">
        <v>535</v>
      </c>
      <c r="B541" s="5">
        <f t="shared" si="30"/>
        <v>26.70549084858569</v>
      </c>
      <c r="C541" s="6">
        <f t="shared" si="31"/>
        <v>28.398338082295165</v>
      </c>
      <c r="D541" s="6">
        <f t="shared" si="32"/>
        <v>758.39155777177598</v>
      </c>
    </row>
    <row r="542" spans="1:4" x14ac:dyDescent="0.15">
      <c r="A542" s="11">
        <v>536</v>
      </c>
      <c r="B542" s="5">
        <f t="shared" si="30"/>
        <v>26.755407653910147</v>
      </c>
      <c r="C542" s="6">
        <f t="shared" si="31"/>
        <v>28.312321554360711</v>
      </c>
      <c r="D542" s="6">
        <f t="shared" si="32"/>
        <v>757.50770481550785</v>
      </c>
    </row>
    <row r="543" spans="1:4" x14ac:dyDescent="0.15">
      <c r="A543" s="11">
        <v>537</v>
      </c>
      <c r="B543" s="5">
        <f t="shared" si="30"/>
        <v>26.805324459234608</v>
      </c>
      <c r="C543" s="6">
        <f t="shared" si="31"/>
        <v>28.226537060677487</v>
      </c>
      <c r="D543" s="6">
        <f t="shared" si="32"/>
        <v>756.62148427207035</v>
      </c>
    </row>
    <row r="544" spans="1:4" x14ac:dyDescent="0.15">
      <c r="A544" s="11">
        <v>538</v>
      </c>
      <c r="B544" s="5">
        <f t="shared" si="30"/>
        <v>26.855241264559066</v>
      </c>
      <c r="C544" s="6">
        <f t="shared" si="31"/>
        <v>28.140984217568551</v>
      </c>
      <c r="D544" s="6">
        <f t="shared" si="32"/>
        <v>755.73292058495235</v>
      </c>
    </row>
    <row r="545" spans="1:4" x14ac:dyDescent="0.15">
      <c r="A545" s="11">
        <v>539</v>
      </c>
      <c r="B545" s="5">
        <f t="shared" si="30"/>
        <v>26.905158069883527</v>
      </c>
      <c r="C545" s="6">
        <f t="shared" si="31"/>
        <v>28.055662639484684</v>
      </c>
      <c r="D545" s="6">
        <f t="shared" si="32"/>
        <v>754.84203807066115</v>
      </c>
    </row>
    <row r="546" spans="1:4" x14ac:dyDescent="0.15">
      <c r="A546" s="11">
        <v>540</v>
      </c>
      <c r="B546" s="5">
        <f t="shared" si="30"/>
        <v>26.955074875207984</v>
      </c>
      <c r="C546" s="6">
        <f t="shared" si="31"/>
        <v>27.970571939039672</v>
      </c>
      <c r="D546" s="6">
        <f t="shared" si="32"/>
        <v>753.94886091920569</v>
      </c>
    </row>
    <row r="547" spans="1:4" x14ac:dyDescent="0.15">
      <c r="A547" s="11">
        <v>541</v>
      </c>
      <c r="B547" s="5">
        <f t="shared" si="30"/>
        <v>27.004991680532445</v>
      </c>
      <c r="C547" s="6">
        <f t="shared" si="31"/>
        <v>27.885711727044971</v>
      </c>
      <c r="D547" s="6">
        <f t="shared" si="32"/>
        <v>753.05341319457546</v>
      </c>
    </row>
    <row r="548" spans="1:4" x14ac:dyDescent="0.15">
      <c r="A548" s="11">
        <v>542</v>
      </c>
      <c r="B548" s="5">
        <f t="shared" si="30"/>
        <v>27.054908485856902</v>
      </c>
      <c r="C548" s="6">
        <f t="shared" si="31"/>
        <v>27.801081612544206</v>
      </c>
      <c r="D548" s="6">
        <f t="shared" si="32"/>
        <v>752.1557188352225</v>
      </c>
    </row>
    <row r="549" spans="1:4" x14ac:dyDescent="0.15">
      <c r="A549" s="11">
        <v>543</v>
      </c>
      <c r="B549" s="5">
        <f t="shared" si="30"/>
        <v>27.104825291181363</v>
      </c>
      <c r="C549" s="6">
        <f t="shared" si="31"/>
        <v>27.716681202846967</v>
      </c>
      <c r="D549" s="6">
        <f t="shared" si="32"/>
        <v>751.25580165453755</v>
      </c>
    </row>
    <row r="550" spans="1:4" x14ac:dyDescent="0.15">
      <c r="A550" s="11">
        <v>544</v>
      </c>
      <c r="B550" s="5">
        <f t="shared" si="30"/>
        <v>27.154742096505821</v>
      </c>
      <c r="C550" s="6">
        <f t="shared" si="31"/>
        <v>27.63251010356252</v>
      </c>
      <c r="D550" s="6">
        <f t="shared" si="32"/>
        <v>750.35368534133158</v>
      </c>
    </row>
    <row r="551" spans="1:4" x14ac:dyDescent="0.15">
      <c r="A551" s="11">
        <v>545</v>
      </c>
      <c r="B551" s="5">
        <f t="shared" si="30"/>
        <v>27.204658901830282</v>
      </c>
      <c r="C551" s="6">
        <f t="shared" si="31"/>
        <v>27.548567918632791</v>
      </c>
      <c r="D551" s="6">
        <f t="shared" si="32"/>
        <v>749.44939346030969</v>
      </c>
    </row>
    <row r="552" spans="1:4" x14ac:dyDescent="0.15">
      <c r="A552" s="11">
        <v>546</v>
      </c>
      <c r="B552" s="5">
        <f t="shared" si="30"/>
        <v>27.254575707154739</v>
      </c>
      <c r="C552" s="6">
        <f t="shared" si="31"/>
        <v>27.464854250365267</v>
      </c>
      <c r="D552" s="6">
        <f t="shared" si="32"/>
        <v>748.54294945255083</v>
      </c>
    </row>
    <row r="553" spans="1:4" x14ac:dyDescent="0.15">
      <c r="A553" s="11">
        <v>547</v>
      </c>
      <c r="B553" s="5">
        <f t="shared" si="30"/>
        <v>27.3044925124792</v>
      </c>
      <c r="C553" s="6">
        <f t="shared" si="31"/>
        <v>27.381368699465224</v>
      </c>
      <c r="D553" s="6">
        <f t="shared" si="32"/>
        <v>747.63437663598052</v>
      </c>
    </row>
    <row r="554" spans="1:4" x14ac:dyDescent="0.15">
      <c r="A554" s="11">
        <v>548</v>
      </c>
      <c r="B554" s="5">
        <f t="shared" si="30"/>
        <v>27.354409317803658</v>
      </c>
      <c r="C554" s="6">
        <f t="shared" si="31"/>
        <v>27.298110865067837</v>
      </c>
      <c r="D554" s="6">
        <f t="shared" si="32"/>
        <v>746.7236982058489</v>
      </c>
    </row>
    <row r="555" spans="1:4" x14ac:dyDescent="0.15">
      <c r="A555" s="11">
        <v>549</v>
      </c>
      <c r="B555" s="5">
        <f t="shared" si="30"/>
        <v>27.404326123128119</v>
      </c>
      <c r="C555" s="6">
        <f t="shared" si="31"/>
        <v>27.215080344769635</v>
      </c>
      <c r="D555" s="6">
        <f t="shared" si="32"/>
        <v>745.8109372352011</v>
      </c>
    </row>
    <row r="556" spans="1:4" x14ac:dyDescent="0.15">
      <c r="A556" s="11">
        <v>550</v>
      </c>
      <c r="B556" s="5">
        <f t="shared" si="30"/>
        <v>27.454242928452576</v>
      </c>
      <c r="C556" s="6">
        <f t="shared" si="31"/>
        <v>27.132276734659868</v>
      </c>
      <c r="D556" s="6">
        <f t="shared" si="32"/>
        <v>744.89611667535405</v>
      </c>
    </row>
    <row r="557" spans="1:4" x14ac:dyDescent="0.15">
      <c r="A557" s="11">
        <v>551</v>
      </c>
      <c r="B557" s="5">
        <f t="shared" si="30"/>
        <v>27.504159733777037</v>
      </c>
      <c r="C557" s="6">
        <f t="shared" si="31"/>
        <v>27.04969962935121</v>
      </c>
      <c r="D557" s="6">
        <f t="shared" si="32"/>
        <v>743.97925935636522</v>
      </c>
    </row>
    <row r="558" spans="1:4" x14ac:dyDescent="0.15">
      <c r="A558" s="11">
        <v>552</v>
      </c>
      <c r="B558" s="5">
        <f t="shared" si="30"/>
        <v>27.554076539101494</v>
      </c>
      <c r="C558" s="6">
        <f t="shared" si="31"/>
        <v>26.967348622010377</v>
      </c>
      <c r="D558" s="6">
        <f t="shared" si="32"/>
        <v>743.06038798750717</v>
      </c>
    </row>
    <row r="559" spans="1:4" x14ac:dyDescent="0.15">
      <c r="A559" s="11">
        <v>553</v>
      </c>
      <c r="B559" s="5">
        <f t="shared" si="30"/>
        <v>27.603993344425955</v>
      </c>
      <c r="C559" s="6">
        <f t="shared" si="31"/>
        <v>26.88522330438812</v>
      </c>
      <c r="D559" s="6">
        <f t="shared" si="32"/>
        <v>742.13952515773531</v>
      </c>
    </row>
    <row r="560" spans="1:4" x14ac:dyDescent="0.15">
      <c r="A560" s="11">
        <v>554</v>
      </c>
      <c r="B560" s="5">
        <f t="shared" si="30"/>
        <v>27.653910149750413</v>
      </c>
      <c r="C560" s="6">
        <f t="shared" si="31"/>
        <v>26.80332326684908</v>
      </c>
      <c r="D560" s="6">
        <f t="shared" si="32"/>
        <v>741.21669333615921</v>
      </c>
    </row>
    <row r="561" spans="1:4" x14ac:dyDescent="0.15">
      <c r="A561" s="11">
        <v>555</v>
      </c>
      <c r="B561" s="5">
        <f t="shared" si="30"/>
        <v>27.703826955074874</v>
      </c>
      <c r="C561" s="6">
        <f t="shared" si="31"/>
        <v>26.721648098401101</v>
      </c>
      <c r="D561" s="6">
        <f t="shared" si="32"/>
        <v>740.29191487250966</v>
      </c>
    </row>
    <row r="562" spans="1:4" x14ac:dyDescent="0.15">
      <c r="A562" s="11">
        <v>556</v>
      </c>
      <c r="B562" s="5">
        <f t="shared" si="30"/>
        <v>27.753743760399335</v>
      </c>
      <c r="C562" s="6">
        <f t="shared" si="31"/>
        <v>26.640197386724374</v>
      </c>
      <c r="D562" s="6">
        <f t="shared" si="32"/>
        <v>739.3652119976083</v>
      </c>
    </row>
    <row r="563" spans="1:4" x14ac:dyDescent="0.15">
      <c r="A563" s="11">
        <v>557</v>
      </c>
      <c r="B563" s="5">
        <f t="shared" si="30"/>
        <v>27.803660565723792</v>
      </c>
      <c r="C563" s="6">
        <f t="shared" si="31"/>
        <v>26.558970718200058</v>
      </c>
      <c r="D563" s="6">
        <f t="shared" si="32"/>
        <v>738.43660682383188</v>
      </c>
    </row>
    <row r="564" spans="1:4" x14ac:dyDescent="0.15">
      <c r="A564" s="11">
        <v>558</v>
      </c>
      <c r="B564" s="5">
        <f t="shared" si="30"/>
        <v>27.853577371048253</v>
      </c>
      <c r="C564" s="6">
        <f t="shared" si="31"/>
        <v>26.477967677938672</v>
      </c>
      <c r="D564" s="6">
        <f t="shared" si="32"/>
        <v>737.50612134557969</v>
      </c>
    </row>
    <row r="565" spans="1:4" x14ac:dyDescent="0.15">
      <c r="A565" s="11">
        <v>559</v>
      </c>
      <c r="B565" s="5">
        <f t="shared" si="30"/>
        <v>27.90349417637271</v>
      </c>
      <c r="C565" s="6">
        <f t="shared" si="31"/>
        <v>26.397187849808155</v>
      </c>
      <c r="D565" s="6">
        <f t="shared" si="32"/>
        <v>736.57377743973836</v>
      </c>
    </row>
    <row r="566" spans="1:4" x14ac:dyDescent="0.15">
      <c r="A566" s="11">
        <v>560</v>
      </c>
      <c r="B566" s="5">
        <f t="shared" si="30"/>
        <v>27.953410981697171</v>
      </c>
      <c r="C566" s="6">
        <f t="shared" si="31"/>
        <v>26.316630816461483</v>
      </c>
      <c r="D566" s="6">
        <f t="shared" si="32"/>
        <v>735.63959686614464</v>
      </c>
    </row>
    <row r="567" spans="1:4" x14ac:dyDescent="0.15">
      <c r="A567" s="11">
        <v>561</v>
      </c>
      <c r="B567" s="5">
        <f t="shared" si="30"/>
        <v>28.003327787021629</v>
      </c>
      <c r="C567" s="6">
        <f t="shared" si="31"/>
        <v>26.236296159364073</v>
      </c>
      <c r="D567" s="6">
        <f t="shared" si="32"/>
        <v>734.70360126804883</v>
      </c>
    </row>
    <row r="568" spans="1:4" x14ac:dyDescent="0.15">
      <c r="A568" s="11">
        <v>562</v>
      </c>
      <c r="B568" s="5">
        <f t="shared" si="30"/>
        <v>28.05324459234609</v>
      </c>
      <c r="C568" s="6">
        <f t="shared" si="31"/>
        <v>26.156183458820806</v>
      </c>
      <c r="D568" s="6">
        <f t="shared" si="32"/>
        <v>733.76581217257706</v>
      </c>
    </row>
    <row r="569" spans="1:4" x14ac:dyDescent="0.15">
      <c r="A569" s="11">
        <v>563</v>
      </c>
      <c r="B569" s="5">
        <f t="shared" si="30"/>
        <v>28.103161397670547</v>
      </c>
      <c r="C569" s="6">
        <f t="shared" si="31"/>
        <v>26.076292294002705</v>
      </c>
      <c r="D569" s="6">
        <f t="shared" si="32"/>
        <v>732.82625099119082</v>
      </c>
    </row>
    <row r="570" spans="1:4" x14ac:dyDescent="0.15">
      <c r="A570" s="11">
        <v>564</v>
      </c>
      <c r="B570" s="5">
        <f t="shared" si="30"/>
        <v>28.153078202995008</v>
      </c>
      <c r="C570" s="6">
        <f t="shared" si="31"/>
        <v>25.996622242973352</v>
      </c>
      <c r="D570" s="6">
        <f t="shared" si="32"/>
        <v>731.88493902014829</v>
      </c>
    </row>
    <row r="571" spans="1:4" x14ac:dyDescent="0.15">
      <c r="A571" s="11">
        <v>565</v>
      </c>
      <c r="B571" s="5">
        <f t="shared" si="30"/>
        <v>28.202995008319466</v>
      </c>
      <c r="C571" s="6">
        <f t="shared" si="31"/>
        <v>25.917172882714933</v>
      </c>
      <c r="D571" s="6">
        <f t="shared" si="32"/>
        <v>730.94189744096184</v>
      </c>
    </row>
    <row r="572" spans="1:4" x14ac:dyDescent="0.15">
      <c r="A572" s="11">
        <v>566</v>
      </c>
      <c r="B572" s="5">
        <f t="shared" si="30"/>
        <v>28.252911813643927</v>
      </c>
      <c r="C572" s="6">
        <f t="shared" si="31"/>
        <v>25.837943789154007</v>
      </c>
      <c r="D572" s="6">
        <f t="shared" si="32"/>
        <v>729.99714732085693</v>
      </c>
    </row>
    <row r="573" spans="1:4" x14ac:dyDescent="0.15">
      <c r="A573" s="11">
        <v>567</v>
      </c>
      <c r="B573" s="5">
        <f t="shared" si="30"/>
        <v>28.302828618968384</v>
      </c>
      <c r="C573" s="6">
        <f t="shared" si="31"/>
        <v>25.758934537186967</v>
      </c>
      <c r="D573" s="6">
        <f t="shared" si="32"/>
        <v>729.05070961322838</v>
      </c>
    </row>
    <row r="574" spans="1:4" x14ac:dyDescent="0.15">
      <c r="A574" s="11">
        <v>568</v>
      </c>
      <c r="B574" s="5">
        <f t="shared" si="30"/>
        <v>28.352745424292845</v>
      </c>
      <c r="C574" s="6">
        <f t="shared" si="31"/>
        <v>25.680144700705142</v>
      </c>
      <c r="D574" s="6">
        <f t="shared" si="32"/>
        <v>728.10260515809591</v>
      </c>
    </row>
    <row r="575" spans="1:4" x14ac:dyDescent="0.15">
      <c r="A575" s="11">
        <v>569</v>
      </c>
      <c r="B575" s="5">
        <f t="shared" si="30"/>
        <v>28.402662229617302</v>
      </c>
      <c r="C575" s="6">
        <f t="shared" si="31"/>
        <v>25.601573852619676</v>
      </c>
      <c r="D575" s="6">
        <f t="shared" si="32"/>
        <v>727.15285468255877</v>
      </c>
    </row>
    <row r="576" spans="1:4" x14ac:dyDescent="0.15">
      <c r="A576" s="11">
        <v>570</v>
      </c>
      <c r="B576" s="5">
        <f t="shared" si="30"/>
        <v>28.452579034941763</v>
      </c>
      <c r="C576" s="6">
        <f t="shared" si="31"/>
        <v>25.523221564886075</v>
      </c>
      <c r="D576" s="6">
        <f t="shared" si="32"/>
        <v>726.20147880125103</v>
      </c>
    </row>
    <row r="577" spans="1:4" x14ac:dyDescent="0.15">
      <c r="A577" s="11">
        <v>571</v>
      </c>
      <c r="B577" s="5">
        <f t="shared" si="30"/>
        <v>28.502495840266221</v>
      </c>
      <c r="C577" s="6">
        <f t="shared" si="31"/>
        <v>25.445087408528394</v>
      </c>
      <c r="D577" s="6">
        <f t="shared" si="32"/>
        <v>725.2484980167909</v>
      </c>
    </row>
    <row r="578" spans="1:4" x14ac:dyDescent="0.15">
      <c r="A578" s="11">
        <v>572</v>
      </c>
      <c r="B578" s="5">
        <f t="shared" si="30"/>
        <v>28.552412645590682</v>
      </c>
      <c r="C578" s="6">
        <f t="shared" si="31"/>
        <v>25.367170953663269</v>
      </c>
      <c r="D578" s="6">
        <f t="shared" si="32"/>
        <v>724.29393272023572</v>
      </c>
    </row>
    <row r="579" spans="1:4" x14ac:dyDescent="0.15">
      <c r="A579" s="11">
        <v>573</v>
      </c>
      <c r="B579" s="5">
        <f t="shared" si="30"/>
        <v>28.602329450915139</v>
      </c>
      <c r="C579" s="6">
        <f t="shared" si="31"/>
        <v>25.289471769523534</v>
      </c>
      <c r="D579" s="6">
        <f t="shared" si="32"/>
        <v>723.33780319152993</v>
      </c>
    </row>
    <row r="580" spans="1:4" x14ac:dyDescent="0.15">
      <c r="A580" s="11">
        <v>574</v>
      </c>
      <c r="B580" s="5">
        <f t="shared" si="30"/>
        <v>28.6522462562396</v>
      </c>
      <c r="C580" s="6">
        <f t="shared" si="31"/>
        <v>25.211989424481626</v>
      </c>
      <c r="D580" s="6">
        <f t="shared" si="32"/>
        <v>722.38012959995604</v>
      </c>
    </row>
    <row r="581" spans="1:4" x14ac:dyDescent="0.15">
      <c r="A581" s="11">
        <v>575</v>
      </c>
      <c r="B581" s="5">
        <f t="shared" si="30"/>
        <v>28.702163061564058</v>
      </c>
      <c r="C581" s="6">
        <f t="shared" si="31"/>
        <v>25.134723486072691</v>
      </c>
      <c r="D581" s="6">
        <f t="shared" si="32"/>
        <v>721.42093200458214</v>
      </c>
    </row>
    <row r="582" spans="1:4" x14ac:dyDescent="0.15">
      <c r="A582" s="11">
        <v>576</v>
      </c>
      <c r="B582" s="5">
        <f t="shared" si="30"/>
        <v>28.752079866888518</v>
      </c>
      <c r="C582" s="6">
        <f t="shared" si="31"/>
        <v>25.057673521017371</v>
      </c>
      <c r="D582" s="6">
        <f t="shared" si="32"/>
        <v>720.4602303547091</v>
      </c>
    </row>
    <row r="583" spans="1:4" x14ac:dyDescent="0.15">
      <c r="A583" s="11">
        <v>577</v>
      </c>
      <c r="B583" s="5">
        <f t="shared" si="30"/>
        <v>28.801996672212976</v>
      </c>
      <c r="C583" s="6">
        <f t="shared" si="31"/>
        <v>24.980839095244399</v>
      </c>
      <c r="D583" s="6">
        <f t="shared" si="32"/>
        <v>719.49804449031694</v>
      </c>
    </row>
    <row r="584" spans="1:4" x14ac:dyDescent="0.15">
      <c r="A584" s="11">
        <v>578</v>
      </c>
      <c r="B584" s="5">
        <f t="shared" si="30"/>
        <v>28.851913477537437</v>
      </c>
      <c r="C584" s="6">
        <f t="shared" si="31"/>
        <v>24.904219773912864</v>
      </c>
      <c r="D584" s="6">
        <f t="shared" si="32"/>
        <v>718.53439414251091</v>
      </c>
    </row>
    <row r="585" spans="1:4" x14ac:dyDescent="0.15">
      <c r="A585" s="11">
        <v>579</v>
      </c>
      <c r="B585" s="5">
        <f t="shared" si="30"/>
        <v>28.901830282861894</v>
      </c>
      <c r="C585" s="6">
        <f t="shared" si="31"/>
        <v>24.827815121434167</v>
      </c>
      <c r="D585" s="6">
        <f t="shared" si="32"/>
        <v>717.5692989339625</v>
      </c>
    </row>
    <row r="586" spans="1:4" x14ac:dyDescent="0.15">
      <c r="A586" s="11">
        <v>580</v>
      </c>
      <c r="B586" s="5">
        <f t="shared" si="30"/>
        <v>28.951747088186355</v>
      </c>
      <c r="C586" s="6">
        <f t="shared" si="31"/>
        <v>24.751624701493828</v>
      </c>
      <c r="D586" s="6">
        <f t="shared" si="32"/>
        <v>716.60277837935541</v>
      </c>
    </row>
    <row r="587" spans="1:4" x14ac:dyDescent="0.15">
      <c r="A587" s="11">
        <v>581</v>
      </c>
      <c r="B587" s="5">
        <f t="shared" si="30"/>
        <v>29.001663893510813</v>
      </c>
      <c r="C587" s="6">
        <f t="shared" si="31"/>
        <v>24.675648077072932</v>
      </c>
      <c r="D587" s="6">
        <f t="shared" si="32"/>
        <v>715.63485188582558</v>
      </c>
    </row>
    <row r="588" spans="1:4" x14ac:dyDescent="0.15">
      <c r="A588" s="11">
        <v>582</v>
      </c>
      <c r="B588" s="5">
        <f t="shared" si="30"/>
        <v>29.051580698835274</v>
      </c>
      <c r="C588" s="6">
        <f t="shared" si="31"/>
        <v>24.599884810469351</v>
      </c>
      <c r="D588" s="6">
        <f t="shared" si="32"/>
        <v>714.66553875340242</v>
      </c>
    </row>
    <row r="589" spans="1:4" x14ac:dyDescent="0.15">
      <c r="A589" s="11">
        <v>583</v>
      </c>
      <c r="B589" s="5">
        <f t="shared" si="30"/>
        <v>29.101497504159731</v>
      </c>
      <c r="C589" s="6">
        <f t="shared" si="31"/>
        <v>24.524334463318716</v>
      </c>
      <c r="D589" s="6">
        <f t="shared" si="32"/>
        <v>713.69485817544808</v>
      </c>
    </row>
    <row r="590" spans="1:4" x14ac:dyDescent="0.15">
      <c r="A590" s="11">
        <v>584</v>
      </c>
      <c r="B590" s="5">
        <f t="shared" si="30"/>
        <v>29.151414309484192</v>
      </c>
      <c r="C590" s="6">
        <f t="shared" si="31"/>
        <v>24.448996596615089</v>
      </c>
      <c r="D590" s="6">
        <f t="shared" si="32"/>
        <v>712.7228292390954</v>
      </c>
    </row>
    <row r="591" spans="1:4" x14ac:dyDescent="0.15">
      <c r="A591" s="11">
        <v>585</v>
      </c>
      <c r="B591" s="5">
        <f t="shared" si="30"/>
        <v>29.201331114808649</v>
      </c>
      <c r="C591" s="6">
        <f t="shared" si="31"/>
        <v>24.373870770731472</v>
      </c>
      <c r="D591" s="6">
        <f t="shared" si="32"/>
        <v>711.74947092568596</v>
      </c>
    </row>
    <row r="592" spans="1:4" x14ac:dyDescent="0.15">
      <c r="A592" s="11">
        <v>586</v>
      </c>
      <c r="B592" s="5">
        <f t="shared" ref="B592:B607" si="33">$B$1/$B$2*A592</f>
        <v>29.25124792013311</v>
      </c>
      <c r="C592" s="6">
        <f t="shared" ref="C592:C607" si="34">200*(B592/(5+B592))*EXP(-2*B592/$B$1)</f>
        <v>24.298956545439975</v>
      </c>
      <c r="D592" s="6">
        <f t="shared" ref="D592:D607" si="35">B592*C592</f>
        <v>710.77480211120587</v>
      </c>
    </row>
    <row r="593" spans="1:4" x14ac:dyDescent="0.15">
      <c r="A593" s="11">
        <v>587</v>
      </c>
      <c r="B593" s="5">
        <f t="shared" si="33"/>
        <v>29.301164725457568</v>
      </c>
      <c r="C593" s="6">
        <f t="shared" si="34"/>
        <v>24.224253479931782</v>
      </c>
      <c r="D593" s="6">
        <f t="shared" si="35"/>
        <v>709.79884156671983</v>
      </c>
    </row>
    <row r="594" spans="1:4" x14ac:dyDescent="0.15">
      <c r="A594" s="11">
        <v>588</v>
      </c>
      <c r="B594" s="5">
        <f t="shared" si="33"/>
        <v>29.351081530782029</v>
      </c>
      <c r="C594" s="6">
        <f t="shared" si="34"/>
        <v>24.149761132836886</v>
      </c>
      <c r="D594" s="6">
        <f t="shared" si="35"/>
        <v>708.82160795880645</v>
      </c>
    </row>
    <row r="595" spans="1:4" x14ac:dyDescent="0.15">
      <c r="A595" s="11">
        <v>589</v>
      </c>
      <c r="B595" s="5">
        <f t="shared" si="33"/>
        <v>29.400998336106486</v>
      </c>
      <c r="C595" s="6">
        <f t="shared" si="34"/>
        <v>24.075479062243563</v>
      </c>
      <c r="D595" s="6">
        <f t="shared" si="35"/>
        <v>707.84311984998953</v>
      </c>
    </row>
    <row r="596" spans="1:4" x14ac:dyDescent="0.15">
      <c r="A596" s="11">
        <v>590</v>
      </c>
      <c r="B596" s="5">
        <f t="shared" si="33"/>
        <v>29.450915141430947</v>
      </c>
      <c r="C596" s="6">
        <f t="shared" si="34"/>
        <v>24.001406825717602</v>
      </c>
      <c r="D596" s="6">
        <f t="shared" si="35"/>
        <v>706.86339569917061</v>
      </c>
    </row>
    <row r="597" spans="1:4" x14ac:dyDescent="0.15">
      <c r="A597" s="11">
        <v>591</v>
      </c>
      <c r="B597" s="5">
        <f t="shared" si="33"/>
        <v>29.500831946755405</v>
      </c>
      <c r="C597" s="6">
        <f t="shared" si="34"/>
        <v>23.927543980321339</v>
      </c>
      <c r="D597" s="6">
        <f t="shared" si="35"/>
        <v>705.8824538620587</v>
      </c>
    </row>
    <row r="598" spans="1:4" x14ac:dyDescent="0.15">
      <c r="A598" s="11">
        <v>592</v>
      </c>
      <c r="B598" s="5">
        <f t="shared" si="33"/>
        <v>29.550748752079866</v>
      </c>
      <c r="C598" s="6">
        <f t="shared" si="34"/>
        <v>23.853890082632397</v>
      </c>
      <c r="D598" s="6">
        <f t="shared" si="35"/>
        <v>704.90031259159957</v>
      </c>
    </row>
    <row r="599" spans="1:4" x14ac:dyDescent="0.15">
      <c r="A599" s="11">
        <v>593</v>
      </c>
      <c r="B599" s="5">
        <f t="shared" si="33"/>
        <v>29.600665557404323</v>
      </c>
      <c r="C599" s="6">
        <f t="shared" si="34"/>
        <v>23.78044468876228</v>
      </c>
      <c r="D599" s="6">
        <f t="shared" si="35"/>
        <v>703.91699003840415</v>
      </c>
    </row>
    <row r="600" spans="1:4" x14ac:dyDescent="0.15">
      <c r="A600" s="11">
        <v>594</v>
      </c>
      <c r="B600" s="5">
        <f t="shared" si="33"/>
        <v>29.650582362728784</v>
      </c>
      <c r="C600" s="6">
        <f t="shared" si="34"/>
        <v>23.707207354374635</v>
      </c>
      <c r="D600" s="6">
        <f t="shared" si="35"/>
        <v>702.93250425117469</v>
      </c>
    </row>
    <row r="601" spans="1:4" x14ac:dyDescent="0.15">
      <c r="A601" s="11">
        <v>595</v>
      </c>
      <c r="B601" s="5">
        <f t="shared" si="33"/>
        <v>29.700499168053241</v>
      </c>
      <c r="C601" s="6">
        <f t="shared" si="34"/>
        <v>23.634177634703413</v>
      </c>
      <c r="D601" s="6">
        <f t="shared" si="35"/>
        <v>701.94687317713124</v>
      </c>
    </row>
    <row r="602" spans="1:4" x14ac:dyDescent="0.15">
      <c r="A602" s="11">
        <v>596</v>
      </c>
      <c r="B602" s="5">
        <f t="shared" si="33"/>
        <v>29.750415973377702</v>
      </c>
      <c r="C602" s="6">
        <f t="shared" si="34"/>
        <v>23.561355084570675</v>
      </c>
      <c r="D602" s="6">
        <f t="shared" si="35"/>
        <v>700.96011466243533</v>
      </c>
    </row>
    <row r="603" spans="1:4" x14ac:dyDescent="0.15">
      <c r="A603" s="11">
        <v>597</v>
      </c>
      <c r="B603" s="5">
        <f t="shared" si="33"/>
        <v>29.80033277870216</v>
      </c>
      <c r="C603" s="6">
        <f t="shared" si="34"/>
        <v>23.488739258404301</v>
      </c>
      <c r="D603" s="6">
        <f t="shared" si="35"/>
        <v>699.97224645261394</v>
      </c>
    </row>
    <row r="604" spans="1:4" x14ac:dyDescent="0.15">
      <c r="A604" s="11">
        <v>598</v>
      </c>
      <c r="B604" s="5">
        <f t="shared" si="33"/>
        <v>29.850249584026621</v>
      </c>
      <c r="C604" s="6">
        <f t="shared" si="34"/>
        <v>23.416329710255415</v>
      </c>
      <c r="D604" s="6">
        <f t="shared" si="35"/>
        <v>698.98328619298184</v>
      </c>
    </row>
    <row r="605" spans="1:4" x14ac:dyDescent="0.15">
      <c r="A605" s="11">
        <v>599</v>
      </c>
      <c r="B605" s="5">
        <f t="shared" si="33"/>
        <v>29.900166389351082</v>
      </c>
      <c r="C605" s="6">
        <f t="shared" si="34"/>
        <v>23.344125993815574</v>
      </c>
      <c r="D605" s="6">
        <f t="shared" si="35"/>
        <v>697.99325142906139</v>
      </c>
    </row>
    <row r="606" spans="1:4" x14ac:dyDescent="0.15">
      <c r="A606" s="11">
        <v>600</v>
      </c>
      <c r="B606" s="5">
        <f t="shared" si="33"/>
        <v>29.950083194675539</v>
      </c>
      <c r="C606" s="6">
        <f t="shared" si="34"/>
        <v>23.272127662433871</v>
      </c>
      <c r="D606" s="6">
        <f t="shared" si="35"/>
        <v>697.00215960700439</v>
      </c>
    </row>
    <row r="607" spans="1:4" x14ac:dyDescent="0.15">
      <c r="A607" s="11">
        <v>601</v>
      </c>
      <c r="B607" s="5">
        <f t="shared" si="33"/>
        <v>30</v>
      </c>
      <c r="C607" s="6">
        <f t="shared" si="34"/>
        <v>23.200334269133606</v>
      </c>
      <c r="D607" s="6">
        <f t="shared" si="35"/>
        <v>696.01002807400823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Hand Calculation</vt:lpstr>
      <vt:lpstr>Trapezoidal Rule</vt:lpstr>
      <vt:lpstr>Simpson 1_3</vt:lpstr>
      <vt:lpstr>Simpson 3_8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知花 チアゴ</dc:creator>
  <cp:lastModifiedBy>知花 チアゴ</cp:lastModifiedBy>
  <dcterms:created xsi:type="dcterms:W3CDTF">2025-11-26T05:48:14Z</dcterms:created>
  <dcterms:modified xsi:type="dcterms:W3CDTF">2025-11-27T10:27:25Z</dcterms:modified>
</cp:coreProperties>
</file>