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GitHub\Study_Area\C++\From_Calculus_to_Computer_Simulation\Notes\"/>
    </mc:Choice>
  </mc:AlternateContent>
  <xr:revisionPtr revIDLastSave="0" documentId="13_ncr:1_{0C8BF1A3-4F75-4BBF-AF22-82B86EA5DD3F}" xr6:coauthVersionLast="47" xr6:coauthVersionMax="47" xr10:uidLastSave="{00000000-0000-0000-0000-000000000000}"/>
  <bookViews>
    <workbookView xWindow="-120" yWindow="-120" windowWidth="29040" windowHeight="15720" xr2:uid="{D318638B-EF7E-428D-A060-CCE4DBE8E92D}"/>
  </bookViews>
  <sheets>
    <sheet name="Bisection" sheetId="1" r:id="rId1"/>
    <sheet name="False Position" sheetId="2" r:id="rId2"/>
    <sheet name="Modified False Position" sheetId="9" r:id="rId3"/>
    <sheet name="Newton-Raphson" sheetId="3" r:id="rId4"/>
    <sheet name="Modified Newton-Raphson" sheetId="12" r:id="rId5"/>
    <sheet name="Secant" sheetId="4" r:id="rId6"/>
    <sheet name="Muller" sheetId="5" r:id="rId7"/>
    <sheet name="Halley" sheetId="6" r:id="rId8"/>
  </sheets>
  <definedNames>
    <definedName name="Derivative">_xlfn.LAMBDA(_xlpm.x,3*_xlpm.x^2-1)</definedName>
    <definedName name="Derivative_2">_xlfn.LAMBDA(_xlpm.x,6*_xlpm.x)</definedName>
    <definedName name="Function">_xlfn.LAMBDA(_xlpm.x,_xlpm.x^3-_xlpm.x-2)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2" l="1"/>
  <c r="B107" i="12" a="1"/>
  <c r="B107" i="12" s="1"/>
  <c r="B106" i="12" a="1"/>
  <c r="B106" i="12" s="1"/>
  <c r="B105" i="12" a="1"/>
  <c r="B105" i="12" s="1"/>
  <c r="B104" i="12" a="1"/>
  <c r="B104" i="12" s="1"/>
  <c r="B103" i="12" a="1"/>
  <c r="B103" i="12" s="1"/>
  <c r="B102" i="12" a="1"/>
  <c r="B102" i="12" s="1"/>
  <c r="B101" i="12" a="1"/>
  <c r="B101" i="12" s="1"/>
  <c r="B100" i="12" a="1"/>
  <c r="B100" i="12" s="1"/>
  <c r="B99" i="12" a="1"/>
  <c r="B99" i="12" s="1"/>
  <c r="B98" i="12" a="1"/>
  <c r="B98" i="12" s="1"/>
  <c r="B97" i="12" a="1"/>
  <c r="B97" i="12" s="1"/>
  <c r="B96" i="12" a="1"/>
  <c r="B96" i="12" s="1"/>
  <c r="B95" i="12" a="1"/>
  <c r="B95" i="12" s="1"/>
  <c r="B94" i="12" a="1"/>
  <c r="B94" i="12" s="1"/>
  <c r="B93" i="12" a="1"/>
  <c r="B93" i="12" s="1"/>
  <c r="B92" i="12" a="1"/>
  <c r="B92" i="12" s="1"/>
  <c r="B91" i="12" a="1"/>
  <c r="B91" i="12" s="1"/>
  <c r="B90" i="12" a="1"/>
  <c r="B90" i="12" s="1"/>
  <c r="B89" i="12" a="1"/>
  <c r="B89" i="12" s="1"/>
  <c r="B88" i="12" a="1"/>
  <c r="B88" i="12" s="1"/>
  <c r="B87" i="12" a="1"/>
  <c r="B87" i="12" s="1"/>
  <c r="B86" i="12" a="1"/>
  <c r="B86" i="12" s="1"/>
  <c r="B85" i="12" a="1"/>
  <c r="B85" i="12" s="1"/>
  <c r="B84" i="12" a="1"/>
  <c r="B84" i="12" s="1"/>
  <c r="B83" i="12" a="1"/>
  <c r="B83" i="12" s="1"/>
  <c r="B82" i="12" a="1"/>
  <c r="B82" i="12" s="1"/>
  <c r="B81" i="12" a="1"/>
  <c r="B81" i="12" s="1"/>
  <c r="B80" i="12" a="1"/>
  <c r="B80" i="12" s="1"/>
  <c r="B79" i="12" a="1"/>
  <c r="B79" i="12" s="1"/>
  <c r="B78" i="12" a="1"/>
  <c r="B78" i="12" s="1"/>
  <c r="B77" i="12" a="1"/>
  <c r="B77" i="12" s="1"/>
  <c r="B76" i="12" a="1"/>
  <c r="B76" i="12" s="1"/>
  <c r="B75" i="12" a="1"/>
  <c r="B75" i="12" s="1"/>
  <c r="B74" i="12" a="1"/>
  <c r="B74" i="12" s="1"/>
  <c r="B73" i="12" a="1"/>
  <c r="B73" i="12" s="1"/>
  <c r="B72" i="12" a="1"/>
  <c r="B72" i="12" s="1"/>
  <c r="B71" i="12" a="1"/>
  <c r="B71" i="12" s="1"/>
  <c r="B70" i="12" a="1"/>
  <c r="B70" i="12" s="1"/>
  <c r="B69" i="12" a="1"/>
  <c r="B69" i="12" s="1"/>
  <c r="B68" i="12" a="1"/>
  <c r="B68" i="12" s="1"/>
  <c r="B67" i="12" a="1"/>
  <c r="B67" i="12" s="1"/>
  <c r="B66" i="12" a="1"/>
  <c r="B66" i="12" s="1"/>
  <c r="B65" i="12" a="1"/>
  <c r="B65" i="12" s="1"/>
  <c r="B64" i="12" a="1"/>
  <c r="B64" i="12" s="1"/>
  <c r="B63" i="12" a="1"/>
  <c r="B63" i="12" s="1"/>
  <c r="B62" i="12" a="1"/>
  <c r="B62" i="12" s="1"/>
  <c r="B61" i="12" a="1"/>
  <c r="B61" i="12" s="1"/>
  <c r="B60" i="12" a="1"/>
  <c r="B60" i="12" s="1"/>
  <c r="B59" i="12" a="1"/>
  <c r="B59" i="12" s="1"/>
  <c r="B58" i="12" a="1"/>
  <c r="B58" i="12" s="1"/>
  <c r="B57" i="12" a="1"/>
  <c r="B57" i="12" s="1"/>
  <c r="B56" i="12" a="1"/>
  <c r="B56" i="12" s="1"/>
  <c r="B55" i="12" a="1"/>
  <c r="B55" i="12" s="1"/>
  <c r="B54" i="12" a="1"/>
  <c r="B54" i="12" s="1"/>
  <c r="B53" i="12" a="1"/>
  <c r="B53" i="12" s="1"/>
  <c r="B52" i="12" a="1"/>
  <c r="B52" i="12" s="1"/>
  <c r="B51" i="12" a="1"/>
  <c r="B51" i="12" s="1"/>
  <c r="B50" i="12" a="1"/>
  <c r="B50" i="12" s="1"/>
  <c r="B49" i="12" a="1"/>
  <c r="B49" i="12" s="1"/>
  <c r="B48" i="12" a="1"/>
  <c r="B48" i="12" s="1"/>
  <c r="B47" i="12" a="1"/>
  <c r="B47" i="12" s="1"/>
  <c r="B46" i="12" a="1"/>
  <c r="B46" i="12" s="1"/>
  <c r="B45" i="12" a="1"/>
  <c r="B45" i="12" s="1"/>
  <c r="B44" i="12" a="1"/>
  <c r="B44" i="12" s="1"/>
  <c r="B43" i="12" a="1"/>
  <c r="B43" i="12" s="1"/>
  <c r="B42" i="12" a="1"/>
  <c r="B42" i="12" s="1"/>
  <c r="B41" i="12" a="1"/>
  <c r="B41" i="12" s="1"/>
  <c r="B40" i="12" a="1"/>
  <c r="B40" i="12" s="1"/>
  <c r="B39" i="12" a="1"/>
  <c r="B39" i="12" s="1"/>
  <c r="B38" i="12" a="1"/>
  <c r="B38" i="12" s="1"/>
  <c r="B37" i="12" a="1"/>
  <c r="B37" i="12" s="1"/>
  <c r="B36" i="12" a="1"/>
  <c r="B36" i="12" s="1"/>
  <c r="B35" i="12" a="1"/>
  <c r="B35" i="12" s="1"/>
  <c r="B34" i="12" a="1"/>
  <c r="B34" i="12" s="1"/>
  <c r="B33" i="12" a="1"/>
  <c r="B33" i="12" s="1"/>
  <c r="B32" i="12" a="1"/>
  <c r="B32" i="12" s="1"/>
  <c r="B31" i="12" a="1"/>
  <c r="B31" i="12" s="1"/>
  <c r="B30" i="12" a="1"/>
  <c r="B30" i="12" s="1"/>
  <c r="B29" i="12" a="1"/>
  <c r="B29" i="12" s="1"/>
  <c r="B28" i="12" a="1"/>
  <c r="B28" i="12" s="1"/>
  <c r="B27" i="12" a="1"/>
  <c r="B27" i="12" s="1"/>
  <c r="B26" i="12" a="1"/>
  <c r="B26" i="12" s="1"/>
  <c r="B25" i="12" a="1"/>
  <c r="B25" i="12" s="1"/>
  <c r="B24" i="12" a="1"/>
  <c r="B24" i="12" s="1"/>
  <c r="B23" i="12" a="1"/>
  <c r="B23" i="12" s="1"/>
  <c r="B22" i="12" a="1"/>
  <c r="B22" i="12" s="1"/>
  <c r="B21" i="12" a="1"/>
  <c r="B21" i="12" s="1"/>
  <c r="B20" i="12" a="1"/>
  <c r="B20" i="12" s="1"/>
  <c r="B19" i="12" a="1"/>
  <c r="B19" i="12" s="1"/>
  <c r="B18" i="12" a="1"/>
  <c r="B18" i="12" s="1"/>
  <c r="B17" i="12" a="1"/>
  <c r="B17" i="12" s="1"/>
  <c r="B16" i="12" a="1"/>
  <c r="B16" i="12" s="1"/>
  <c r="B15" i="12" a="1"/>
  <c r="B15" i="12" s="1"/>
  <c r="B14" i="12" a="1"/>
  <c r="B14" i="12" s="1"/>
  <c r="B13" i="12" a="1"/>
  <c r="B13" i="12" s="1"/>
  <c r="B12" i="12" a="1"/>
  <c r="B12" i="12" s="1"/>
  <c r="B11" i="12" a="1"/>
  <c r="B11" i="12" s="1"/>
  <c r="B10" i="12" a="1"/>
  <c r="B10" i="12" s="1"/>
  <c r="B9" i="12" a="1"/>
  <c r="B9" i="12" s="1"/>
  <c r="E8" i="12"/>
  <c r="B8" i="12" a="1"/>
  <c r="B8" i="12" s="1"/>
  <c r="B106" i="9" a="1"/>
  <c r="B106" i="9" s="1"/>
  <c r="B105" i="9" a="1"/>
  <c r="B105" i="9" s="1"/>
  <c r="B104" i="9" a="1"/>
  <c r="B104" i="9" s="1"/>
  <c r="B103" i="9" a="1"/>
  <c r="B103" i="9" s="1"/>
  <c r="B102" i="9" a="1"/>
  <c r="B102" i="9" s="1"/>
  <c r="B101" i="9" a="1"/>
  <c r="B101" i="9" s="1"/>
  <c r="B100" i="9" a="1"/>
  <c r="B100" i="9" s="1"/>
  <c r="B99" i="9" a="1"/>
  <c r="B99" i="9" s="1"/>
  <c r="B98" i="9" a="1"/>
  <c r="B98" i="9" s="1"/>
  <c r="B97" i="9" a="1"/>
  <c r="B97" i="9" s="1"/>
  <c r="B96" i="9" a="1"/>
  <c r="B96" i="9" s="1"/>
  <c r="B95" i="9" a="1"/>
  <c r="B95" i="9" s="1"/>
  <c r="B94" i="9" a="1"/>
  <c r="B94" i="9" s="1"/>
  <c r="B93" i="9" a="1"/>
  <c r="B93" i="9" s="1"/>
  <c r="B92" i="9" a="1"/>
  <c r="B92" i="9" s="1"/>
  <c r="B91" i="9" a="1"/>
  <c r="B91" i="9" s="1"/>
  <c r="B90" i="9" a="1"/>
  <c r="B90" i="9" s="1"/>
  <c r="B89" i="9"/>
  <c r="B89" i="9" a="1"/>
  <c r="B88" i="9" a="1"/>
  <c r="B88" i="9" s="1"/>
  <c r="B87" i="9"/>
  <c r="B87" i="9" a="1"/>
  <c r="B86" i="9" a="1"/>
  <c r="B86" i="9" s="1"/>
  <c r="B85" i="9" a="1"/>
  <c r="B85" i="9" s="1"/>
  <c r="B84" i="9" a="1"/>
  <c r="B84" i="9" s="1"/>
  <c r="B83" i="9" a="1"/>
  <c r="B83" i="9" s="1"/>
  <c r="B82" i="9" a="1"/>
  <c r="B82" i="9" s="1"/>
  <c r="B81" i="9" a="1"/>
  <c r="B81" i="9" s="1"/>
  <c r="B80" i="9" a="1"/>
  <c r="B80" i="9" s="1"/>
  <c r="B79" i="9" a="1"/>
  <c r="B79" i="9" s="1"/>
  <c r="B78" i="9" a="1"/>
  <c r="B78" i="9" s="1"/>
  <c r="B77" i="9" a="1"/>
  <c r="B77" i="9" s="1"/>
  <c r="B76" i="9" a="1"/>
  <c r="B76" i="9" s="1"/>
  <c r="B75" i="9" a="1"/>
  <c r="B75" i="9" s="1"/>
  <c r="B74" i="9" a="1"/>
  <c r="B74" i="9" s="1"/>
  <c r="B73" i="9" a="1"/>
  <c r="B73" i="9" s="1"/>
  <c r="B72" i="9" a="1"/>
  <c r="B72" i="9" s="1"/>
  <c r="B71" i="9" a="1"/>
  <c r="B71" i="9" s="1"/>
  <c r="B70" i="9" a="1"/>
  <c r="B70" i="9" s="1"/>
  <c r="B69" i="9" a="1"/>
  <c r="B69" i="9" s="1"/>
  <c r="B68" i="9" a="1"/>
  <c r="B68" i="9" s="1"/>
  <c r="B67" i="9" a="1"/>
  <c r="B67" i="9" s="1"/>
  <c r="B66" i="9" a="1"/>
  <c r="B66" i="9" s="1"/>
  <c r="B65" i="9" a="1"/>
  <c r="B65" i="9" s="1"/>
  <c r="B64" i="9" a="1"/>
  <c r="B64" i="9" s="1"/>
  <c r="B63" i="9" a="1"/>
  <c r="B63" i="9" s="1"/>
  <c r="B62" i="9" a="1"/>
  <c r="B62" i="9" s="1"/>
  <c r="B61" i="9" a="1"/>
  <c r="B61" i="9" s="1"/>
  <c r="B60" i="9" a="1"/>
  <c r="B60" i="9" s="1"/>
  <c r="B59" i="9" a="1"/>
  <c r="B59" i="9" s="1"/>
  <c r="B58" i="9" a="1"/>
  <c r="B58" i="9" s="1"/>
  <c r="B57" i="9" a="1"/>
  <c r="B57" i="9" s="1"/>
  <c r="B56" i="9" a="1"/>
  <c r="B56" i="9" s="1"/>
  <c r="B55" i="9" a="1"/>
  <c r="B55" i="9" s="1"/>
  <c r="B54" i="9" a="1"/>
  <c r="B54" i="9" s="1"/>
  <c r="B53" i="9" a="1"/>
  <c r="B53" i="9" s="1"/>
  <c r="B52" i="9" a="1"/>
  <c r="B52" i="9" s="1"/>
  <c r="B51" i="9" a="1"/>
  <c r="B51" i="9" s="1"/>
  <c r="B50" i="9" a="1"/>
  <c r="B50" i="9" s="1"/>
  <c r="B49" i="9" a="1"/>
  <c r="B49" i="9" s="1"/>
  <c r="B48" i="9" a="1"/>
  <c r="B48" i="9" s="1"/>
  <c r="B47" i="9" a="1"/>
  <c r="B47" i="9" s="1"/>
  <c r="B46" i="9" a="1"/>
  <c r="B46" i="9" s="1"/>
  <c r="B45" i="9" a="1"/>
  <c r="B45" i="9" s="1"/>
  <c r="B44" i="9" a="1"/>
  <c r="B44" i="9" s="1"/>
  <c r="B43" i="9" a="1"/>
  <c r="B43" i="9" s="1"/>
  <c r="B42" i="9" a="1"/>
  <c r="B42" i="9" s="1"/>
  <c r="B41" i="9" a="1"/>
  <c r="B41" i="9" s="1"/>
  <c r="B40" i="9" a="1"/>
  <c r="B40" i="9" s="1"/>
  <c r="B39" i="9" a="1"/>
  <c r="B39" i="9" s="1"/>
  <c r="B38" i="9" a="1"/>
  <c r="B38" i="9" s="1"/>
  <c r="B37" i="9" a="1"/>
  <c r="B37" i="9" s="1"/>
  <c r="B36" i="9" a="1"/>
  <c r="B36" i="9" s="1"/>
  <c r="B35" i="9" a="1"/>
  <c r="B35" i="9" s="1"/>
  <c r="B34" i="9" a="1"/>
  <c r="B34" i="9" s="1"/>
  <c r="B33" i="9" a="1"/>
  <c r="B33" i="9" s="1"/>
  <c r="B32" i="9" a="1"/>
  <c r="B32" i="9" s="1"/>
  <c r="B31" i="9" a="1"/>
  <c r="B31" i="9" s="1"/>
  <c r="B30" i="9" a="1"/>
  <c r="B30" i="9" s="1"/>
  <c r="B29" i="9" a="1"/>
  <c r="B29" i="9" s="1"/>
  <c r="B28" i="9" a="1"/>
  <c r="B28" i="9" s="1"/>
  <c r="B27" i="9" a="1"/>
  <c r="B27" i="9" s="1"/>
  <c r="B26" i="9" a="1"/>
  <c r="B26" i="9" s="1"/>
  <c r="B25" i="9" a="1"/>
  <c r="B25" i="9" s="1"/>
  <c r="B24" i="9" a="1"/>
  <c r="B24" i="9" s="1"/>
  <c r="B23" i="9" a="1"/>
  <c r="B23" i="9" s="1"/>
  <c r="B22" i="9" a="1"/>
  <c r="B22" i="9" s="1"/>
  <c r="B21" i="9" a="1"/>
  <c r="B21" i="9" s="1"/>
  <c r="B20" i="9" a="1"/>
  <c r="B20" i="9" s="1"/>
  <c r="B19" i="9" a="1"/>
  <c r="B19" i="9" s="1"/>
  <c r="B18" i="9" a="1"/>
  <c r="B18" i="9" s="1"/>
  <c r="B17" i="9" a="1"/>
  <c r="B17" i="9" s="1"/>
  <c r="B16" i="9" a="1"/>
  <c r="B16" i="9" s="1"/>
  <c r="B15" i="9" a="1"/>
  <c r="B15" i="9" s="1"/>
  <c r="B14" i="9" a="1"/>
  <c r="B14" i="9" s="1"/>
  <c r="B13" i="9" a="1"/>
  <c r="B13" i="9" s="1"/>
  <c r="B12" i="9" a="1"/>
  <c r="B12" i="9" s="1"/>
  <c r="B11" i="9" a="1"/>
  <c r="B11" i="9" s="1"/>
  <c r="B10" i="9" a="1"/>
  <c r="B10" i="9" s="1"/>
  <c r="B9" i="9" a="1"/>
  <c r="B9" i="9" s="1"/>
  <c r="B8" i="9"/>
  <c r="B8" i="9" a="1"/>
  <c r="G7" i="9" a="1"/>
  <c r="G7" i="9" s="1"/>
  <c r="F7" i="9"/>
  <c r="H7" i="9" s="1" a="1"/>
  <c r="H7" i="9" s="1"/>
  <c r="E7" i="9"/>
  <c r="B7" i="9" a="1"/>
  <c r="B7" i="9" s="1"/>
  <c r="F6" i="9"/>
  <c r="E6" i="9"/>
  <c r="E8" i="6"/>
  <c r="E11" i="5"/>
  <c r="H11" i="5" s="1" a="1"/>
  <c r="H11" i="5" s="1"/>
  <c r="F11" i="5"/>
  <c r="E12" i="5" s="1"/>
  <c r="H12" i="5" s="1" a="1"/>
  <c r="H12" i="5" s="1"/>
  <c r="G11" i="5"/>
  <c r="J11" i="5" s="1" a="1"/>
  <c r="J11" i="5" s="1"/>
  <c r="J10" i="5" a="1"/>
  <c r="J10" i="5" s="1"/>
  <c r="I10" i="5" a="1"/>
  <c r="I10" i="5" s="1"/>
  <c r="H10" i="5" a="1"/>
  <c r="H10" i="5"/>
  <c r="G10" i="5"/>
  <c r="F10" i="5"/>
  <c r="E10" i="5"/>
  <c r="H9" i="5" a="1"/>
  <c r="H9" i="5" s="1"/>
  <c r="G9" i="5"/>
  <c r="J9" i="5" s="1" a="1"/>
  <c r="J9" i="5" s="1"/>
  <c r="F9" i="5"/>
  <c r="I9" i="5" s="1" a="1"/>
  <c r="I9" i="5" s="1"/>
  <c r="E9" i="5"/>
  <c r="E9" i="4"/>
  <c r="F9" i="4"/>
  <c r="H9" i="4" s="1" a="1"/>
  <c r="H9" i="4" s="1"/>
  <c r="G9" i="4" a="1"/>
  <c r="G9" i="4" s="1"/>
  <c r="G8" i="4" a="1"/>
  <c r="G8" i="4" s="1"/>
  <c r="H8" i="4" a="1"/>
  <c r="H8" i="4" s="1"/>
  <c r="I8" i="4" s="1"/>
  <c r="J8" i="4" s="1"/>
  <c r="F8" i="4"/>
  <c r="E8" i="4"/>
  <c r="J7" i="4"/>
  <c r="I7" i="4"/>
  <c r="H7" i="4" a="1"/>
  <c r="H7" i="4" s="1"/>
  <c r="G7" i="4" a="1"/>
  <c r="G7" i="4" s="1"/>
  <c r="F7" i="4"/>
  <c r="E7" i="4"/>
  <c r="E7" i="3"/>
  <c r="E10" i="3"/>
  <c r="G10" i="3" s="1" a="1"/>
  <c r="G10" i="3" s="1"/>
  <c r="F10" i="3" a="1"/>
  <c r="F10" i="3" s="1"/>
  <c r="E9" i="3"/>
  <c r="F9" i="3" a="1"/>
  <c r="F9" i="3" s="1"/>
  <c r="G9" i="3" a="1"/>
  <c r="G9" i="3" s="1"/>
  <c r="F8" i="3" a="1"/>
  <c r="F8" i="3" s="1"/>
  <c r="H8" i="3" s="1"/>
  <c r="I8" i="3" s="1"/>
  <c r="G8" i="3" a="1"/>
  <c r="G8" i="3" s="1"/>
  <c r="E8" i="3"/>
  <c r="I7" i="3"/>
  <c r="H7" i="3"/>
  <c r="G7" i="3" a="1"/>
  <c r="G7" i="3" s="1"/>
  <c r="F7" i="3" a="1"/>
  <c r="F7" i="3" s="1"/>
  <c r="B106" i="3" a="1"/>
  <c r="B106" i="3" s="1"/>
  <c r="B105" i="3" a="1"/>
  <c r="B105" i="3" s="1"/>
  <c r="B104" i="3" a="1"/>
  <c r="B104" i="3" s="1"/>
  <c r="B103" i="3" a="1"/>
  <c r="B103" i="3" s="1"/>
  <c r="B102" i="3" a="1"/>
  <c r="B102" i="3" s="1"/>
  <c r="B101" i="3" a="1"/>
  <c r="B101" i="3" s="1"/>
  <c r="B100" i="3" a="1"/>
  <c r="B100" i="3" s="1"/>
  <c r="B99" i="3" a="1"/>
  <c r="B99" i="3" s="1"/>
  <c r="B98" i="3" a="1"/>
  <c r="B98" i="3" s="1"/>
  <c r="B97" i="3" a="1"/>
  <c r="B97" i="3" s="1"/>
  <c r="B96" i="3" a="1"/>
  <c r="B96" i="3" s="1"/>
  <c r="B95" i="3" a="1"/>
  <c r="B95" i="3" s="1"/>
  <c r="B94" i="3" a="1"/>
  <c r="B94" i="3" s="1"/>
  <c r="B93" i="3" a="1"/>
  <c r="B93" i="3" s="1"/>
  <c r="B92" i="3" a="1"/>
  <c r="B92" i="3" s="1"/>
  <c r="B91" i="3" a="1"/>
  <c r="B91" i="3" s="1"/>
  <c r="B90" i="3" a="1"/>
  <c r="B90" i="3" s="1"/>
  <c r="B89" i="3" a="1"/>
  <c r="B89" i="3" s="1"/>
  <c r="B88" i="3" a="1"/>
  <c r="B88" i="3" s="1"/>
  <c r="B87" i="3" a="1"/>
  <c r="B87" i="3" s="1"/>
  <c r="B86" i="3" a="1"/>
  <c r="B86" i="3" s="1"/>
  <c r="B85" i="3" a="1"/>
  <c r="B85" i="3" s="1"/>
  <c r="B84" i="3" a="1"/>
  <c r="B84" i="3" s="1"/>
  <c r="B83" i="3" a="1"/>
  <c r="B83" i="3" s="1"/>
  <c r="B82" i="3" a="1"/>
  <c r="B82" i="3" s="1"/>
  <c r="B81" i="3" a="1"/>
  <c r="B81" i="3" s="1"/>
  <c r="B80" i="3" a="1"/>
  <c r="B80" i="3" s="1"/>
  <c r="B79" i="3" a="1"/>
  <c r="B79" i="3" s="1"/>
  <c r="B78" i="3" a="1"/>
  <c r="B78" i="3" s="1"/>
  <c r="B77" i="3" a="1"/>
  <c r="B77" i="3" s="1"/>
  <c r="B76" i="3" a="1"/>
  <c r="B76" i="3" s="1"/>
  <c r="B75" i="3" a="1"/>
  <c r="B75" i="3" s="1"/>
  <c r="B74" i="3" a="1"/>
  <c r="B74" i="3" s="1"/>
  <c r="B73" i="3" a="1"/>
  <c r="B73" i="3" s="1"/>
  <c r="B72" i="3" a="1"/>
  <c r="B72" i="3" s="1"/>
  <c r="B71" i="3" a="1"/>
  <c r="B71" i="3" s="1"/>
  <c r="B70" i="3" a="1"/>
  <c r="B70" i="3" s="1"/>
  <c r="B69" i="3" a="1"/>
  <c r="B69" i="3" s="1"/>
  <c r="B68" i="3" a="1"/>
  <c r="B68" i="3" s="1"/>
  <c r="B67" i="3" a="1"/>
  <c r="B67" i="3" s="1"/>
  <c r="B66" i="3" a="1"/>
  <c r="B66" i="3" s="1"/>
  <c r="B65" i="3" a="1"/>
  <c r="B65" i="3" s="1"/>
  <c r="B64" i="3" a="1"/>
  <c r="B64" i="3" s="1"/>
  <c r="B63" i="3" a="1"/>
  <c r="B63" i="3" s="1"/>
  <c r="B62" i="3" a="1"/>
  <c r="B62" i="3" s="1"/>
  <c r="B61" i="3" a="1"/>
  <c r="B61" i="3" s="1"/>
  <c r="B60" i="3" a="1"/>
  <c r="B60" i="3" s="1"/>
  <c r="B59" i="3" a="1"/>
  <c r="B59" i="3" s="1"/>
  <c r="B58" i="3" a="1"/>
  <c r="B58" i="3" s="1"/>
  <c r="B57" i="3" a="1"/>
  <c r="B57" i="3" s="1"/>
  <c r="B56" i="3" a="1"/>
  <c r="B56" i="3" s="1"/>
  <c r="B55" i="3" a="1"/>
  <c r="B55" i="3" s="1"/>
  <c r="B54" i="3" a="1"/>
  <c r="B54" i="3" s="1"/>
  <c r="B53" i="3" a="1"/>
  <c r="B53" i="3" s="1"/>
  <c r="B52" i="3" a="1"/>
  <c r="B52" i="3" s="1"/>
  <c r="B51" i="3" a="1"/>
  <c r="B51" i="3" s="1"/>
  <c r="B50" i="3" a="1"/>
  <c r="B50" i="3" s="1"/>
  <c r="B49" i="3" a="1"/>
  <c r="B49" i="3" s="1"/>
  <c r="B48" i="3" a="1"/>
  <c r="B48" i="3" s="1"/>
  <c r="B47" i="3" a="1"/>
  <c r="B47" i="3" s="1"/>
  <c r="B46" i="3" a="1"/>
  <c r="B46" i="3" s="1"/>
  <c r="B45" i="3" a="1"/>
  <c r="B45" i="3" s="1"/>
  <c r="B44" i="3" a="1"/>
  <c r="B44" i="3" s="1"/>
  <c r="B43" i="3" a="1"/>
  <c r="B43" i="3" s="1"/>
  <c r="B42" i="3" a="1"/>
  <c r="B42" i="3" s="1"/>
  <c r="B41" i="3" a="1"/>
  <c r="B41" i="3" s="1"/>
  <c r="B40" i="3" a="1"/>
  <c r="B40" i="3" s="1"/>
  <c r="B39" i="3" a="1"/>
  <c r="B39" i="3" s="1"/>
  <c r="B38" i="3" a="1"/>
  <c r="B38" i="3" s="1"/>
  <c r="B37" i="3" a="1"/>
  <c r="B37" i="3" s="1"/>
  <c r="B36" i="3" a="1"/>
  <c r="B36" i="3" s="1"/>
  <c r="B35" i="3" a="1"/>
  <c r="B35" i="3" s="1"/>
  <c r="B34" i="3" a="1"/>
  <c r="B34" i="3" s="1"/>
  <c r="B33" i="3" a="1"/>
  <c r="B33" i="3" s="1"/>
  <c r="B32" i="3" a="1"/>
  <c r="B32" i="3" s="1"/>
  <c r="B31" i="3" a="1"/>
  <c r="B31" i="3" s="1"/>
  <c r="B30" i="3" a="1"/>
  <c r="B30" i="3" s="1"/>
  <c r="B29" i="3" a="1"/>
  <c r="B29" i="3" s="1"/>
  <c r="B28" i="3" a="1"/>
  <c r="B28" i="3" s="1"/>
  <c r="B27" i="3" a="1"/>
  <c r="B27" i="3" s="1"/>
  <c r="B26" i="3" a="1"/>
  <c r="B26" i="3" s="1"/>
  <c r="B25" i="3" a="1"/>
  <c r="B25" i="3" s="1"/>
  <c r="B24" i="3" a="1"/>
  <c r="B24" i="3" s="1"/>
  <c r="B23" i="3" a="1"/>
  <c r="B23" i="3" s="1"/>
  <c r="B22" i="3" a="1"/>
  <c r="B22" i="3" s="1"/>
  <c r="B21" i="3" a="1"/>
  <c r="B21" i="3" s="1"/>
  <c r="B20" i="3" a="1"/>
  <c r="B20" i="3" s="1"/>
  <c r="B19" i="3" a="1"/>
  <c r="B19" i="3" s="1"/>
  <c r="B18" i="3" a="1"/>
  <c r="B18" i="3" s="1"/>
  <c r="B17" i="3" a="1"/>
  <c r="B17" i="3" s="1"/>
  <c r="B16" i="3" a="1"/>
  <c r="B16" i="3" s="1"/>
  <c r="B15" i="3" a="1"/>
  <c r="B15" i="3" s="1"/>
  <c r="B14" i="3" a="1"/>
  <c r="B14" i="3" s="1"/>
  <c r="B13" i="3" a="1"/>
  <c r="B13" i="3" s="1"/>
  <c r="B12" i="3" a="1"/>
  <c r="B12" i="3" s="1"/>
  <c r="B11" i="3" a="1"/>
  <c r="B11" i="3" s="1"/>
  <c r="B10" i="3" a="1"/>
  <c r="B10" i="3" s="1"/>
  <c r="B9" i="3" a="1"/>
  <c r="B9" i="3" s="1"/>
  <c r="B8" i="3" a="1"/>
  <c r="B8" i="3" s="1"/>
  <c r="B7" i="3" a="1"/>
  <c r="B7" i="3" s="1"/>
  <c r="B106" i="2" a="1"/>
  <c r="B106" i="2" s="1"/>
  <c r="B105" i="2" a="1"/>
  <c r="B105" i="2" s="1"/>
  <c r="B104" i="2" a="1"/>
  <c r="B104" i="2" s="1"/>
  <c r="B103" i="2" a="1"/>
  <c r="B103" i="2" s="1"/>
  <c r="B102" i="2" a="1"/>
  <c r="B102" i="2" s="1"/>
  <c r="B101" i="2" a="1"/>
  <c r="B101" i="2" s="1"/>
  <c r="B100" i="2" a="1"/>
  <c r="B100" i="2" s="1"/>
  <c r="B99" i="2" a="1"/>
  <c r="B99" i="2" s="1"/>
  <c r="B98" i="2" a="1"/>
  <c r="B98" i="2" s="1"/>
  <c r="B97" i="2" a="1"/>
  <c r="B97" i="2" s="1"/>
  <c r="B96" i="2" a="1"/>
  <c r="B96" i="2" s="1"/>
  <c r="B95" i="2" a="1"/>
  <c r="B95" i="2" s="1"/>
  <c r="B94" i="2" a="1"/>
  <c r="B94" i="2" s="1"/>
  <c r="B93" i="2" a="1"/>
  <c r="B93" i="2" s="1"/>
  <c r="B92" i="2" a="1"/>
  <c r="B92" i="2" s="1"/>
  <c r="B91" i="2" a="1"/>
  <c r="B91" i="2" s="1"/>
  <c r="B90" i="2" a="1"/>
  <c r="B90" i="2" s="1"/>
  <c r="B89" i="2" a="1"/>
  <c r="B89" i="2" s="1"/>
  <c r="B88" i="2" a="1"/>
  <c r="B88" i="2" s="1"/>
  <c r="B87" i="2" a="1"/>
  <c r="B87" i="2" s="1"/>
  <c r="B86" i="2" a="1"/>
  <c r="B86" i="2" s="1"/>
  <c r="B85" i="2" a="1"/>
  <c r="B85" i="2" s="1"/>
  <c r="B84" i="2" a="1"/>
  <c r="B84" i="2" s="1"/>
  <c r="B83" i="2" a="1"/>
  <c r="B83" i="2" s="1"/>
  <c r="B82" i="2" a="1"/>
  <c r="B82" i="2" s="1"/>
  <c r="B81" i="2" a="1"/>
  <c r="B81" i="2" s="1"/>
  <c r="B80" i="2" a="1"/>
  <c r="B80" i="2" s="1"/>
  <c r="B79" i="2" a="1"/>
  <c r="B79" i="2" s="1"/>
  <c r="B78" i="2" a="1"/>
  <c r="B78" i="2" s="1"/>
  <c r="B77" i="2" a="1"/>
  <c r="B77" i="2" s="1"/>
  <c r="B76" i="2" a="1"/>
  <c r="B76" i="2" s="1"/>
  <c r="B75" i="2" a="1"/>
  <c r="B75" i="2" s="1"/>
  <c r="B74" i="2" a="1"/>
  <c r="B74" i="2" s="1"/>
  <c r="B73" i="2" a="1"/>
  <c r="B73" i="2" s="1"/>
  <c r="B72" i="2" a="1"/>
  <c r="B72" i="2" s="1"/>
  <c r="B71" i="2" a="1"/>
  <c r="B71" i="2" s="1"/>
  <c r="B70" i="2" a="1"/>
  <c r="B70" i="2" s="1"/>
  <c r="B69" i="2" a="1"/>
  <c r="B69" i="2" s="1"/>
  <c r="B68" i="2" a="1"/>
  <c r="B68" i="2" s="1"/>
  <c r="B67" i="2" a="1"/>
  <c r="B67" i="2" s="1"/>
  <c r="B66" i="2" a="1"/>
  <c r="B66" i="2" s="1"/>
  <c r="B65" i="2" a="1"/>
  <c r="B65" i="2" s="1"/>
  <c r="B64" i="2" a="1"/>
  <c r="B64" i="2" s="1"/>
  <c r="B63" i="2" a="1"/>
  <c r="B63" i="2" s="1"/>
  <c r="B62" i="2" a="1"/>
  <c r="B62" i="2" s="1"/>
  <c r="B61" i="2" a="1"/>
  <c r="B61" i="2" s="1"/>
  <c r="B60" i="2" a="1"/>
  <c r="B60" i="2" s="1"/>
  <c r="B59" i="2" a="1"/>
  <c r="B59" i="2" s="1"/>
  <c r="B58" i="2" a="1"/>
  <c r="B58" i="2" s="1"/>
  <c r="B57" i="2" a="1"/>
  <c r="B57" i="2" s="1"/>
  <c r="B56" i="2" a="1"/>
  <c r="B56" i="2" s="1"/>
  <c r="B55" i="2" a="1"/>
  <c r="B55" i="2" s="1"/>
  <c r="B54" i="2" a="1"/>
  <c r="B54" i="2" s="1"/>
  <c r="B53" i="2" a="1"/>
  <c r="B53" i="2" s="1"/>
  <c r="B52" i="2" a="1"/>
  <c r="B52" i="2" s="1"/>
  <c r="B51" i="2" a="1"/>
  <c r="B51" i="2" s="1"/>
  <c r="B50" i="2" a="1"/>
  <c r="B50" i="2" s="1"/>
  <c r="B49" i="2" a="1"/>
  <c r="B49" i="2" s="1"/>
  <c r="B48" i="2" a="1"/>
  <c r="B48" i="2" s="1"/>
  <c r="B47" i="2" a="1"/>
  <c r="B47" i="2" s="1"/>
  <c r="B46" i="2" a="1"/>
  <c r="B46" i="2" s="1"/>
  <c r="B45" i="2" a="1"/>
  <c r="B45" i="2" s="1"/>
  <c r="B44" i="2" a="1"/>
  <c r="B44" i="2" s="1"/>
  <c r="B43" i="2" a="1"/>
  <c r="B43" i="2" s="1"/>
  <c r="B42" i="2" a="1"/>
  <c r="B42" i="2" s="1"/>
  <c r="B41" i="2" a="1"/>
  <c r="B41" i="2" s="1"/>
  <c r="B40" i="2" a="1"/>
  <c r="B40" i="2" s="1"/>
  <c r="B39" i="2" a="1"/>
  <c r="B39" i="2" s="1"/>
  <c r="B38" i="2" a="1"/>
  <c r="B38" i="2" s="1"/>
  <c r="B37" i="2" a="1"/>
  <c r="B37" i="2" s="1"/>
  <c r="B36" i="2" a="1"/>
  <c r="B36" i="2" s="1"/>
  <c r="B35" i="2" a="1"/>
  <c r="B35" i="2" s="1"/>
  <c r="B34" i="2" a="1"/>
  <c r="B34" i="2" s="1"/>
  <c r="B33" i="2" a="1"/>
  <c r="B33" i="2" s="1"/>
  <c r="B32" i="2" a="1"/>
  <c r="B32" i="2" s="1"/>
  <c r="B31" i="2" a="1"/>
  <c r="B31" i="2" s="1"/>
  <c r="B30" i="2" a="1"/>
  <c r="B30" i="2" s="1"/>
  <c r="B29" i="2" a="1"/>
  <c r="B29" i="2" s="1"/>
  <c r="B28" i="2" a="1"/>
  <c r="B28" i="2" s="1"/>
  <c r="B27" i="2" a="1"/>
  <c r="B27" i="2" s="1"/>
  <c r="B26" i="2" a="1"/>
  <c r="B26" i="2" s="1"/>
  <c r="B25" i="2" a="1"/>
  <c r="B25" i="2" s="1"/>
  <c r="B24" i="2" a="1"/>
  <c r="B24" i="2" s="1"/>
  <c r="B23" i="2" a="1"/>
  <c r="B23" i="2" s="1"/>
  <c r="B22" i="2" a="1"/>
  <c r="B22" i="2" s="1"/>
  <c r="B21" i="2" a="1"/>
  <c r="B21" i="2" s="1"/>
  <c r="B20" i="2" a="1"/>
  <c r="B20" i="2" s="1"/>
  <c r="B19" i="2" a="1"/>
  <c r="B19" i="2" s="1"/>
  <c r="B18" i="2" a="1"/>
  <c r="B18" i="2" s="1"/>
  <c r="B17" i="2" a="1"/>
  <c r="B17" i="2" s="1"/>
  <c r="B16" i="2" a="1"/>
  <c r="B16" i="2" s="1"/>
  <c r="B15" i="2" a="1"/>
  <c r="B15" i="2" s="1"/>
  <c r="B14" i="2" a="1"/>
  <c r="B14" i="2" s="1"/>
  <c r="B13" i="2" a="1"/>
  <c r="B13" i="2" s="1"/>
  <c r="B12" i="2" a="1"/>
  <c r="B12" i="2" s="1"/>
  <c r="B11" i="2" a="1"/>
  <c r="B11" i="2" s="1"/>
  <c r="B10" i="2" a="1"/>
  <c r="B10" i="2" s="1"/>
  <c r="B9" i="2" a="1"/>
  <c r="B9" i="2" s="1"/>
  <c r="B8" i="2" a="1"/>
  <c r="B8" i="2" s="1"/>
  <c r="F7" i="2"/>
  <c r="H7" i="2" s="1" a="1"/>
  <c r="H7" i="2" s="1"/>
  <c r="I7" i="2" s="1"/>
  <c r="J7" i="2" s="1" a="1"/>
  <c r="J7" i="2" s="1"/>
  <c r="E7" i="2"/>
  <c r="G7" i="2" s="1" a="1"/>
  <c r="G7" i="2" s="1"/>
  <c r="B7" i="2" a="1"/>
  <c r="B7" i="2" s="1"/>
  <c r="F6" i="2"/>
  <c r="E6" i="2"/>
  <c r="B8" i="1" a="1"/>
  <c r="B8" i="1" s="1"/>
  <c r="B9" i="1" a="1"/>
  <c r="B9" i="1"/>
  <c r="B10" i="1" a="1"/>
  <c r="B10" i="1" s="1"/>
  <c r="B11" i="1" a="1"/>
  <c r="B11" i="1" s="1"/>
  <c r="B12" i="1" a="1"/>
  <c r="B12" i="1"/>
  <c r="B13" i="1" a="1"/>
  <c r="B13" i="1"/>
  <c r="B14" i="1" a="1"/>
  <c r="B14" i="1"/>
  <c r="B15" i="1" a="1"/>
  <c r="B15" i="1"/>
  <c r="B16" i="1" a="1"/>
  <c r="B16" i="1"/>
  <c r="B17" i="1" a="1"/>
  <c r="B17" i="1"/>
  <c r="B18" i="1" a="1"/>
  <c r="B18" i="1"/>
  <c r="B19" i="1" a="1"/>
  <c r="B19" i="1" s="1"/>
  <c r="B20" i="1" a="1"/>
  <c r="B20" i="1" s="1"/>
  <c r="B21" i="1" a="1"/>
  <c r="B21" i="1"/>
  <c r="B22" i="1" a="1"/>
  <c r="B22" i="1"/>
  <c r="B23" i="1" a="1"/>
  <c r="B23" i="1"/>
  <c r="B24" i="1" a="1"/>
  <c r="B24" i="1" s="1"/>
  <c r="B25" i="1" a="1"/>
  <c r="B25" i="1"/>
  <c r="B26" i="1" a="1"/>
  <c r="B26" i="1"/>
  <c r="B27" i="1" a="1"/>
  <c r="B27" i="1"/>
  <c r="B28" i="1" a="1"/>
  <c r="B28" i="1" s="1"/>
  <c r="B29" i="1" a="1"/>
  <c r="B29" i="1" s="1"/>
  <c r="B30" i="1" a="1"/>
  <c r="B30" i="1" s="1"/>
  <c r="B31" i="1" a="1"/>
  <c r="B31" i="1"/>
  <c r="B32" i="1" a="1"/>
  <c r="B32" i="1" s="1"/>
  <c r="B33" i="1" a="1"/>
  <c r="B33" i="1"/>
  <c r="B34" i="1" a="1"/>
  <c r="B34" i="1"/>
  <c r="B35" i="1" a="1"/>
  <c r="B35" i="1"/>
  <c r="B36" i="1" a="1"/>
  <c r="B36" i="1"/>
  <c r="B37" i="1" a="1"/>
  <c r="B37" i="1"/>
  <c r="B38" i="1" a="1"/>
  <c r="B38" i="1"/>
  <c r="B39" i="1" a="1"/>
  <c r="B39" i="1"/>
  <c r="B40" i="1" a="1"/>
  <c r="B40" i="1" s="1"/>
  <c r="B41" i="1" a="1"/>
  <c r="B41" i="1" s="1"/>
  <c r="B42" i="1" a="1"/>
  <c r="B42" i="1"/>
  <c r="B43" i="1" a="1"/>
  <c r="B43" i="1"/>
  <c r="B44" i="1" a="1"/>
  <c r="B44" i="1"/>
  <c r="B45" i="1" a="1"/>
  <c r="B45" i="1" s="1"/>
  <c r="B46" i="1" a="1"/>
  <c r="B46" i="1"/>
  <c r="B47" i="1" a="1"/>
  <c r="B47" i="1" s="1"/>
  <c r="B48" i="1" a="1"/>
  <c r="B48" i="1"/>
  <c r="B49" i="1" a="1"/>
  <c r="B49" i="1" s="1"/>
  <c r="B50" i="1" a="1"/>
  <c r="B50" i="1" s="1"/>
  <c r="B51" i="1" a="1"/>
  <c r="B51" i="1" s="1"/>
  <c r="B52" i="1" a="1"/>
  <c r="B52" i="1"/>
  <c r="B53" i="1" a="1"/>
  <c r="B53" i="1" s="1"/>
  <c r="B54" i="1" a="1"/>
  <c r="B54" i="1"/>
  <c r="B55" i="1" a="1"/>
  <c r="B55" i="1"/>
  <c r="B56" i="1" a="1"/>
  <c r="B56" i="1"/>
  <c r="B57" i="1" a="1"/>
  <c r="B57" i="1"/>
  <c r="B58" i="1" a="1"/>
  <c r="B58" i="1"/>
  <c r="B59" i="1" a="1"/>
  <c r="B59" i="1"/>
  <c r="B60" i="1" a="1"/>
  <c r="B60" i="1" s="1"/>
  <c r="B61" i="1" a="1"/>
  <c r="B61" i="1" s="1"/>
  <c r="B62" i="1" a="1"/>
  <c r="B62" i="1" s="1"/>
  <c r="B63" i="1" a="1"/>
  <c r="B63" i="1"/>
  <c r="B64" i="1" a="1"/>
  <c r="B64" i="1"/>
  <c r="B65" i="1" a="1"/>
  <c r="B65" i="1"/>
  <c r="B66" i="1" a="1"/>
  <c r="B66" i="1" s="1"/>
  <c r="B67" i="1" a="1"/>
  <c r="B67" i="1"/>
  <c r="B68" i="1" a="1"/>
  <c r="B68" i="1"/>
  <c r="B69" i="1" a="1"/>
  <c r="B69" i="1"/>
  <c r="B70" i="1" a="1"/>
  <c r="B70" i="1" s="1"/>
  <c r="B71" i="1" a="1"/>
  <c r="B71" i="1"/>
  <c r="B72" i="1" a="1"/>
  <c r="B72" i="1" s="1"/>
  <c r="B73" i="1" a="1"/>
  <c r="B73" i="1"/>
  <c r="B74" i="1" a="1"/>
  <c r="B74" i="1" s="1"/>
  <c r="B75" i="1" a="1"/>
  <c r="B75" i="1"/>
  <c r="B76" i="1" a="1"/>
  <c r="B76" i="1"/>
  <c r="B77" i="1" a="1"/>
  <c r="B77" i="1"/>
  <c r="B78" i="1" a="1"/>
  <c r="B78" i="1"/>
  <c r="B79" i="1" a="1"/>
  <c r="B79" i="1"/>
  <c r="B80" i="1" a="1"/>
  <c r="B80" i="1" s="1"/>
  <c r="B81" i="1" a="1"/>
  <c r="B81" i="1" s="1"/>
  <c r="B82" i="1" a="1"/>
  <c r="B82" i="1" s="1"/>
  <c r="B83" i="1" a="1"/>
  <c r="B83" i="1" s="1"/>
  <c r="B84" i="1" a="1"/>
  <c r="B84" i="1"/>
  <c r="B85" i="1" a="1"/>
  <c r="B85" i="1"/>
  <c r="B86" i="1" a="1"/>
  <c r="B86" i="1"/>
  <c r="B87" i="1" a="1"/>
  <c r="B87" i="1"/>
  <c r="B88" i="1" a="1"/>
  <c r="B88" i="1"/>
  <c r="B89" i="1" a="1"/>
  <c r="B89" i="1"/>
  <c r="B90" i="1" a="1"/>
  <c r="B90" i="1" s="1"/>
  <c r="B91" i="1" a="1"/>
  <c r="B91" i="1"/>
  <c r="B92" i="1" a="1"/>
  <c r="B92" i="1"/>
  <c r="B93" i="1" a="1"/>
  <c r="B93" i="1" s="1"/>
  <c r="B94" i="1" a="1"/>
  <c r="B94" i="1"/>
  <c r="B95" i="1" a="1"/>
  <c r="B95" i="1" s="1"/>
  <c r="B96" i="1" a="1"/>
  <c r="B96" i="1"/>
  <c r="B97" i="1" a="1"/>
  <c r="B97" i="1"/>
  <c r="B98" i="1" a="1"/>
  <c r="B98" i="1"/>
  <c r="B99" i="1" a="1"/>
  <c r="B99" i="1"/>
  <c r="B100" i="1" a="1"/>
  <c r="B100" i="1" s="1"/>
  <c r="B101" i="1" a="1"/>
  <c r="B101" i="1"/>
  <c r="B102" i="1" a="1"/>
  <c r="B102" i="1" s="1"/>
  <c r="B103" i="1" a="1"/>
  <c r="B103" i="1" s="1"/>
  <c r="B104" i="1" a="1"/>
  <c r="B104" i="1" s="1"/>
  <c r="B105" i="1" a="1"/>
  <c r="B105" i="1"/>
  <c r="B106" i="1" a="1"/>
  <c r="B106" i="1"/>
  <c r="J7" i="1" a="1"/>
  <c r="J7" i="1" s="1"/>
  <c r="I7" i="1" a="1"/>
  <c r="I7" i="1" s="1"/>
  <c r="H7" i="1" a="1"/>
  <c r="H7" i="1"/>
  <c r="B7" i="1" a="1"/>
  <c r="B7" i="1" s="1"/>
  <c r="E7" i="1"/>
  <c r="F7" i="1"/>
  <c r="F6" i="1"/>
  <c r="E6" i="1"/>
  <c r="G8" i="12" l="1" a="1"/>
  <c r="G8" i="12" s="1"/>
  <c r="F8" i="12" a="1"/>
  <c r="F8" i="12" s="1"/>
  <c r="I7" i="9"/>
  <c r="J7" i="9" a="1"/>
  <c r="J7" i="9" s="1"/>
  <c r="F8" i="9" s="1"/>
  <c r="F8" i="6" a="1"/>
  <c r="F8" i="6" s="1"/>
  <c r="I8" i="6" s="1"/>
  <c r="H8" i="6" a="1"/>
  <c r="H8" i="6" s="1"/>
  <c r="G8" i="6" a="1"/>
  <c r="G8" i="6" s="1"/>
  <c r="I11" i="5" a="1"/>
  <c r="I11" i="5" s="1"/>
  <c r="K11" i="5" s="1"/>
  <c r="L11" i="5" s="1"/>
  <c r="M11" i="5" s="1"/>
  <c r="F12" i="5"/>
  <c r="K9" i="5"/>
  <c r="L9" i="5" s="1"/>
  <c r="M9" i="5" s="1"/>
  <c r="K10" i="5" s="1"/>
  <c r="L10" i="5" s="1"/>
  <c r="E10" i="4"/>
  <c r="G10" i="4" s="1" a="1"/>
  <c r="G10" i="4" s="1"/>
  <c r="I9" i="4"/>
  <c r="H10" i="3"/>
  <c r="I10" i="3" s="1"/>
  <c r="H9" i="3"/>
  <c r="I9" i="3" s="1"/>
  <c r="F8" i="2"/>
  <c r="E8" i="2"/>
  <c r="K7" i="1"/>
  <c r="G7" i="1"/>
  <c r="F8" i="1" s="1"/>
  <c r="I8" i="1" s="1" a="1"/>
  <c r="I8" i="1" s="1"/>
  <c r="E9" i="12" l="1"/>
  <c r="I8" i="12"/>
  <c r="H8" i="9" a="1"/>
  <c r="H8" i="9" s="1"/>
  <c r="I8" i="9" s="1"/>
  <c r="E8" i="9"/>
  <c r="G8" i="9" s="1" a="1"/>
  <c r="G8" i="9" s="1"/>
  <c r="E9" i="6"/>
  <c r="J8" i="6"/>
  <c r="N11" i="5"/>
  <c r="G12" i="5"/>
  <c r="E13" i="5"/>
  <c r="H13" i="5" s="1" a="1"/>
  <c r="H13" i="5" s="1"/>
  <c r="I12" i="5" a="1"/>
  <c r="I12" i="5" s="1"/>
  <c r="N9" i="5"/>
  <c r="M10" i="5"/>
  <c r="J9" i="4"/>
  <c r="F10" i="4"/>
  <c r="G8" i="2" a="1"/>
  <c r="G8" i="2" s="1"/>
  <c r="E8" i="1"/>
  <c r="F9" i="12" l="1" a="1"/>
  <c r="F9" i="12" s="1"/>
  <c r="G9" i="12" a="1"/>
  <c r="G9" i="12" s="1"/>
  <c r="K8" i="9"/>
  <c r="J8" i="9" a="1"/>
  <c r="J8" i="9" s="1"/>
  <c r="E9" i="9" s="1"/>
  <c r="G9" i="9" s="1" a="1"/>
  <c r="G9" i="9" s="1"/>
  <c r="F9" i="6" a="1"/>
  <c r="F9" i="6" s="1"/>
  <c r="G9" i="6" a="1"/>
  <c r="G9" i="6" s="1"/>
  <c r="H9" i="6" a="1"/>
  <c r="H9" i="6" s="1"/>
  <c r="I9" i="6"/>
  <c r="J12" i="5" a="1"/>
  <c r="J12" i="5" s="1"/>
  <c r="K12" i="5" s="1"/>
  <c r="L12" i="5" s="1"/>
  <c r="M12" i="5" s="1"/>
  <c r="F13" i="5"/>
  <c r="N10" i="5"/>
  <c r="H10" i="4" a="1"/>
  <c r="H10" i="4" s="1"/>
  <c r="I10" i="4"/>
  <c r="E11" i="4"/>
  <c r="G11" i="4" s="1" a="1"/>
  <c r="G11" i="4" s="1"/>
  <c r="H8" i="2" a="1"/>
  <c r="H8" i="2" s="1"/>
  <c r="I8" i="2" s="1"/>
  <c r="K8" i="2" s="1"/>
  <c r="K8" i="1"/>
  <c r="H8" i="1" a="1"/>
  <c r="H8" i="1" s="1"/>
  <c r="G8" i="1"/>
  <c r="J8" i="1" s="1" a="1"/>
  <c r="J8" i="1" s="1"/>
  <c r="H9" i="12" l="1"/>
  <c r="I9" i="12" s="1"/>
  <c r="E10" i="12"/>
  <c r="F9" i="9"/>
  <c r="J9" i="6"/>
  <c r="E10" i="6"/>
  <c r="N12" i="5"/>
  <c r="G13" i="5"/>
  <c r="I13" i="5" a="1"/>
  <c r="I13" i="5" s="1"/>
  <c r="E14" i="5"/>
  <c r="H14" i="5" s="1" a="1"/>
  <c r="H14" i="5" s="1"/>
  <c r="F11" i="4"/>
  <c r="J10" i="4"/>
  <c r="J8" i="2" a="1"/>
  <c r="J8" i="2" s="1"/>
  <c r="E9" i="1"/>
  <c r="H9" i="1" s="1" a="1"/>
  <c r="H9" i="1" s="1"/>
  <c r="F9" i="1"/>
  <c r="I9" i="1" s="1" a="1"/>
  <c r="I9" i="1" s="1"/>
  <c r="F10" i="12" l="1" a="1"/>
  <c r="F10" i="12" s="1"/>
  <c r="G10" i="12" a="1"/>
  <c r="G10" i="12" s="1"/>
  <c r="H9" i="9" a="1"/>
  <c r="H9" i="9" s="1"/>
  <c r="F10" i="6" a="1"/>
  <c r="F10" i="6" s="1"/>
  <c r="H10" i="6" a="1"/>
  <c r="H10" i="6" s="1"/>
  <c r="G10" i="6" a="1"/>
  <c r="G10" i="6" s="1"/>
  <c r="F14" i="5"/>
  <c r="J13" i="5" a="1"/>
  <c r="J13" i="5" s="1"/>
  <c r="H11" i="4" a="1"/>
  <c r="H11" i="4" s="1"/>
  <c r="I11" i="4" s="1"/>
  <c r="E12" i="4"/>
  <c r="G12" i="4" s="1" a="1"/>
  <c r="G12" i="4" s="1"/>
  <c r="F9" i="2"/>
  <c r="H9" i="2" s="1" a="1"/>
  <c r="H9" i="2" s="1"/>
  <c r="E9" i="2"/>
  <c r="K9" i="1"/>
  <c r="G9" i="1"/>
  <c r="J9" i="1" s="1" a="1"/>
  <c r="J9" i="1" s="1"/>
  <c r="H10" i="12" l="1"/>
  <c r="I10" i="12" s="1"/>
  <c r="I9" i="9"/>
  <c r="I10" i="6"/>
  <c r="I14" i="5" a="1"/>
  <c r="I14" i="5" s="1"/>
  <c r="E15" i="5"/>
  <c r="H15" i="5" s="1" a="1"/>
  <c r="H15" i="5" s="1"/>
  <c r="K13" i="5"/>
  <c r="L13" i="5" s="1"/>
  <c r="M13" i="5" s="1"/>
  <c r="J11" i="4"/>
  <c r="F12" i="4"/>
  <c r="G9" i="2" a="1"/>
  <c r="G9" i="2" s="1"/>
  <c r="I9" i="2" s="1"/>
  <c r="E10" i="1"/>
  <c r="H10" i="1" s="1" a="1"/>
  <c r="H10" i="1" s="1"/>
  <c r="F10" i="1"/>
  <c r="I10" i="1" s="1" a="1"/>
  <c r="I10" i="1" s="1"/>
  <c r="E11" i="12" l="1"/>
  <c r="G11" i="12" s="1" a="1"/>
  <c r="G11" i="12" s="1"/>
  <c r="K9" i="9"/>
  <c r="J9" i="9" a="1"/>
  <c r="J9" i="9" s="1"/>
  <c r="J10" i="6"/>
  <c r="E11" i="6"/>
  <c r="G14" i="5"/>
  <c r="N13" i="5"/>
  <c r="E13" i="4"/>
  <c r="G13" i="4" s="1" a="1"/>
  <c r="G13" i="4" s="1"/>
  <c r="H12" i="4" a="1"/>
  <c r="H12" i="4" s="1"/>
  <c r="I12" i="4" s="1"/>
  <c r="J9" i="2" a="1"/>
  <c r="J9" i="2" s="1"/>
  <c r="F10" i="2" s="1"/>
  <c r="H10" i="2" s="1" a="1"/>
  <c r="H10" i="2" s="1"/>
  <c r="K9" i="2"/>
  <c r="K10" i="1"/>
  <c r="G10" i="1"/>
  <c r="J10" i="1" s="1" a="1"/>
  <c r="J10" i="1" s="1"/>
  <c r="F11" i="12" l="1" a="1"/>
  <c r="F11" i="12" s="1"/>
  <c r="H11" i="12" s="1"/>
  <c r="E10" i="9"/>
  <c r="G10" i="9" s="1" a="1"/>
  <c r="G10" i="9" s="1"/>
  <c r="F10" i="9"/>
  <c r="F11" i="6" a="1"/>
  <c r="F11" i="6" s="1"/>
  <c r="G11" i="6" a="1"/>
  <c r="G11" i="6" s="1"/>
  <c r="H11" i="6" a="1"/>
  <c r="H11" i="6" s="1"/>
  <c r="J14" i="5" a="1"/>
  <c r="J14" i="5" s="1"/>
  <c r="K14" i="5" s="1"/>
  <c r="L14" i="5" s="1"/>
  <c r="F15" i="5"/>
  <c r="J12" i="4"/>
  <c r="F13" i="4"/>
  <c r="E10" i="2"/>
  <c r="F11" i="1"/>
  <c r="I11" i="1" s="1" a="1"/>
  <c r="I11" i="1" s="1"/>
  <c r="I11" i="12" l="1"/>
  <c r="H10" i="9" a="1"/>
  <c r="H10" i="9" s="1"/>
  <c r="I10" i="9" s="1"/>
  <c r="I11" i="6"/>
  <c r="M14" i="5"/>
  <c r="I15" i="5" a="1"/>
  <c r="I15" i="5" s="1"/>
  <c r="E14" i="4"/>
  <c r="G14" i="4" s="1" a="1"/>
  <c r="G14" i="4" s="1"/>
  <c r="H13" i="4" a="1"/>
  <c r="H13" i="4" s="1"/>
  <c r="I13" i="4" s="1"/>
  <c r="G10" i="2" a="1"/>
  <c r="G10" i="2" s="1"/>
  <c r="I10" i="2" s="1"/>
  <c r="E11" i="1"/>
  <c r="H11" i="1" s="1" a="1"/>
  <c r="H11" i="1" s="1"/>
  <c r="K10" i="9" l="1"/>
  <c r="J10" i="9" a="1"/>
  <c r="J10" i="9" s="1"/>
  <c r="E11" i="9" s="1"/>
  <c r="G11" i="9" s="1" a="1"/>
  <c r="G11" i="9" s="1"/>
  <c r="E12" i="6"/>
  <c r="J11" i="6"/>
  <c r="G15" i="5"/>
  <c r="N14" i="5"/>
  <c r="F14" i="4"/>
  <c r="J13" i="4"/>
  <c r="J10" i="2" a="1"/>
  <c r="J10" i="2" s="1"/>
  <c r="E11" i="2" s="1"/>
  <c r="K10" i="2"/>
  <c r="G11" i="1"/>
  <c r="J11" i="1" s="1" a="1"/>
  <c r="J11" i="1" s="1"/>
  <c r="K11" i="1"/>
  <c r="F11" i="9" l="1"/>
  <c r="G12" i="6" a="1"/>
  <c r="G12" i="6" s="1"/>
  <c r="F12" i="6" a="1"/>
  <c r="F12" i="6" s="1"/>
  <c r="H12" i="6" a="1"/>
  <c r="H12" i="6" s="1"/>
  <c r="I12" i="6" s="1"/>
  <c r="J12" i="6" s="1"/>
  <c r="J15" i="5" a="1"/>
  <c r="J15" i="5" s="1"/>
  <c r="K15" i="5" s="1"/>
  <c r="L15" i="5" s="1"/>
  <c r="H14" i="4" a="1"/>
  <c r="H14" i="4" s="1"/>
  <c r="I14" i="4" s="1"/>
  <c r="E15" i="4"/>
  <c r="G15" i="4" s="1" a="1"/>
  <c r="G15" i="4" s="1"/>
  <c r="G11" i="2" a="1"/>
  <c r="G11" i="2" s="1"/>
  <c r="F11" i="2"/>
  <c r="H11" i="2" s="1" a="1"/>
  <c r="H11" i="2" s="1"/>
  <c r="I11" i="2" s="1"/>
  <c r="E12" i="1"/>
  <c r="H12" i="1" s="1" a="1"/>
  <c r="H12" i="1" s="1"/>
  <c r="H11" i="9" l="1" a="1"/>
  <c r="H11" i="9" s="1"/>
  <c r="I11" i="9" s="1"/>
  <c r="M15" i="5"/>
  <c r="J14" i="4"/>
  <c r="F15" i="4"/>
  <c r="K11" i="2"/>
  <c r="J11" i="2" a="1"/>
  <c r="J11" i="2" s="1"/>
  <c r="E12" i="2"/>
  <c r="G12" i="2" s="1" a="1"/>
  <c r="G12" i="2" s="1"/>
  <c r="F12" i="2"/>
  <c r="H12" i="2" s="1" a="1"/>
  <c r="H12" i="2" s="1"/>
  <c r="F12" i="1"/>
  <c r="I12" i="1" s="1" a="1"/>
  <c r="I12" i="1" s="1"/>
  <c r="K11" i="9" l="1"/>
  <c r="J11" i="9" a="1"/>
  <c r="J11" i="9" s="1"/>
  <c r="E12" i="9" s="1"/>
  <c r="G12" i="9" s="1" a="1"/>
  <c r="G12" i="9" s="1"/>
  <c r="N15" i="5"/>
  <c r="H15" i="4" a="1"/>
  <c r="H15" i="4" s="1"/>
  <c r="I15" i="4" s="1"/>
  <c r="I12" i="2"/>
  <c r="K12" i="1"/>
  <c r="G12" i="1"/>
  <c r="J12" i="1" s="1" a="1"/>
  <c r="J12" i="1" s="1"/>
  <c r="F12" i="9" l="1"/>
  <c r="J15" i="4"/>
  <c r="K12" i="2"/>
  <c r="J12" i="2" a="1"/>
  <c r="J12" i="2" s="1"/>
  <c r="E13" i="1"/>
  <c r="H13" i="1" s="1" a="1"/>
  <c r="H13" i="1" s="1"/>
  <c r="F13" i="1"/>
  <c r="I13" i="1" s="1" a="1"/>
  <c r="I13" i="1" s="1"/>
  <c r="H12" i="9" l="1" a="1"/>
  <c r="H12" i="9" s="1"/>
  <c r="I12" i="9" s="1"/>
  <c r="E13" i="2"/>
  <c r="G13" i="2" s="1" a="1"/>
  <c r="G13" i="2" s="1"/>
  <c r="F13" i="2"/>
  <c r="H13" i="2" s="1" a="1"/>
  <c r="H13" i="2" s="1"/>
  <c r="I13" i="2" s="1"/>
  <c r="K13" i="1"/>
  <c r="G13" i="1"/>
  <c r="J13" i="1" s="1" a="1"/>
  <c r="J13" i="1" s="1"/>
  <c r="K12" i="9" l="1"/>
  <c r="J12" i="9" a="1"/>
  <c r="J12" i="9" s="1"/>
  <c r="E13" i="9" s="1"/>
  <c r="G13" i="9" s="1" a="1"/>
  <c r="G13" i="9" s="1"/>
  <c r="K13" i="2"/>
  <c r="J13" i="2" a="1"/>
  <c r="J13" i="2" s="1"/>
  <c r="F14" i="2" s="1"/>
  <c r="H14" i="2" s="1" a="1"/>
  <c r="H14" i="2" s="1"/>
  <c r="E14" i="2"/>
  <c r="G14" i="2" s="1" a="1"/>
  <c r="G14" i="2" s="1"/>
  <c r="E14" i="1"/>
  <c r="H14" i="1" s="1" a="1"/>
  <c r="H14" i="1" s="1"/>
  <c r="F13" i="9" l="1"/>
  <c r="I14" i="2"/>
  <c r="F14" i="1"/>
  <c r="I14" i="1" s="1" a="1"/>
  <c r="I14" i="1" s="1"/>
  <c r="K14" i="1"/>
  <c r="G14" i="1"/>
  <c r="J14" i="1" s="1" a="1"/>
  <c r="J14" i="1" s="1"/>
  <c r="H13" i="9" l="1" a="1"/>
  <c r="H13" i="9" s="1"/>
  <c r="I13" i="9" s="1"/>
  <c r="K14" i="2"/>
  <c r="J14" i="2" a="1"/>
  <c r="J14" i="2" s="1"/>
  <c r="E15" i="1"/>
  <c r="H15" i="1" s="1" a="1"/>
  <c r="H15" i="1" s="1"/>
  <c r="K13" i="9" l="1"/>
  <c r="J13" i="9" a="1"/>
  <c r="J13" i="9" s="1"/>
  <c r="E14" i="9" s="1"/>
  <c r="G14" i="9" s="1" a="1"/>
  <c r="G14" i="9" s="1"/>
  <c r="E15" i="2"/>
  <c r="G15" i="2" s="1" a="1"/>
  <c r="G15" i="2" s="1"/>
  <c r="F15" i="2"/>
  <c r="H15" i="2" s="1" a="1"/>
  <c r="H15" i="2" s="1"/>
  <c r="I15" i="2" s="1"/>
  <c r="F15" i="1"/>
  <c r="G15" i="1"/>
  <c r="J15" i="1" s="1" a="1"/>
  <c r="J15" i="1" s="1"/>
  <c r="F14" i="9" l="1"/>
  <c r="K15" i="2"/>
  <c r="J15" i="2" a="1"/>
  <c r="J15" i="2" s="1"/>
  <c r="E16" i="2" s="1"/>
  <c r="G16" i="2" s="1" a="1"/>
  <c r="G16" i="2" s="1"/>
  <c r="K15" i="1"/>
  <c r="I15" i="1" a="1"/>
  <c r="I15" i="1" s="1"/>
  <c r="E16" i="1"/>
  <c r="H16" i="1" s="1" a="1"/>
  <c r="H16" i="1" s="1"/>
  <c r="H14" i="9" l="1" a="1"/>
  <c r="H14" i="9" s="1"/>
  <c r="I14" i="9" s="1"/>
  <c r="F16" i="2"/>
  <c r="H16" i="2" s="1" a="1"/>
  <c r="H16" i="2" s="1"/>
  <c r="I16" i="2" s="1"/>
  <c r="F16" i="1"/>
  <c r="I16" i="1" s="1" a="1"/>
  <c r="I16" i="1" s="1"/>
  <c r="K14" i="9" l="1"/>
  <c r="J14" i="9" a="1"/>
  <c r="J14" i="9" s="1"/>
  <c r="E15" i="9" s="1"/>
  <c r="G15" i="9" s="1" a="1"/>
  <c r="G15" i="9" s="1"/>
  <c r="J16" i="2" a="1"/>
  <c r="J16" i="2" s="1"/>
  <c r="K16" i="2"/>
  <c r="K16" i="1"/>
  <c r="G16" i="1"/>
  <c r="J16" i="1" s="1" a="1"/>
  <c r="J16" i="1" s="1"/>
  <c r="F15" i="9" l="1"/>
  <c r="E17" i="2"/>
  <c r="G17" i="2" s="1" a="1"/>
  <c r="G17" i="2" s="1"/>
  <c r="F17" i="2"/>
  <c r="H17" i="2" s="1" a="1"/>
  <c r="H17" i="2" s="1"/>
  <c r="I17" i="2" s="1"/>
  <c r="E17" i="1"/>
  <c r="H17" i="1" s="1" a="1"/>
  <c r="H17" i="1" s="1"/>
  <c r="F17" i="1"/>
  <c r="I17" i="1" s="1" a="1"/>
  <c r="I17" i="1" s="1"/>
  <c r="H15" i="9" l="1" a="1"/>
  <c r="H15" i="9" s="1"/>
  <c r="J17" i="2" a="1"/>
  <c r="J17" i="2" s="1"/>
  <c r="F18" i="2" s="1"/>
  <c r="H18" i="2" s="1" a="1"/>
  <c r="H18" i="2" s="1"/>
  <c r="K17" i="2"/>
  <c r="K17" i="1"/>
  <c r="G17" i="1"/>
  <c r="J17" i="1" s="1" a="1"/>
  <c r="J17" i="1" s="1"/>
  <c r="I15" i="9" l="1"/>
  <c r="E18" i="2"/>
  <c r="G18" i="2" s="1" a="1"/>
  <c r="G18" i="2" s="1"/>
  <c r="F18" i="1"/>
  <c r="I18" i="1" s="1" a="1"/>
  <c r="I18" i="1" s="1"/>
  <c r="K15" i="9" l="1"/>
  <c r="J15" i="9" a="1"/>
  <c r="J15" i="9" s="1"/>
  <c r="I18" i="2"/>
  <c r="E18" i="1"/>
  <c r="H18" i="1" s="1" a="1"/>
  <c r="H18" i="1" s="1"/>
  <c r="E16" i="9" l="1"/>
  <c r="G16" i="9" s="1" a="1"/>
  <c r="G16" i="9" s="1"/>
  <c r="F16" i="9"/>
  <c r="J18" i="2" a="1"/>
  <c r="J18" i="2" s="1"/>
  <c r="K18" i="2"/>
  <c r="K18" i="1"/>
  <c r="G18" i="1"/>
  <c r="J18" i="1" s="1" a="1"/>
  <c r="J18" i="1" s="1"/>
  <c r="E19" i="1" s="1"/>
  <c r="H19" i="1" s="1" a="1"/>
  <c r="H19" i="1" s="1"/>
  <c r="H16" i="9" l="1" a="1"/>
  <c r="H16" i="9" s="1"/>
  <c r="I16" i="9" s="1"/>
  <c r="F19" i="2"/>
  <c r="H19" i="2" s="1" a="1"/>
  <c r="H19" i="2" s="1"/>
  <c r="E19" i="2"/>
  <c r="F19" i="1"/>
  <c r="I19" i="1" s="1" a="1"/>
  <c r="I19" i="1" s="1"/>
  <c r="K16" i="9" l="1"/>
  <c r="J16" i="9" a="1"/>
  <c r="J16" i="9" s="1"/>
  <c r="E17" i="9" s="1"/>
  <c r="G17" i="9" s="1" a="1"/>
  <c r="G17" i="9" s="1"/>
  <c r="G19" i="2" a="1"/>
  <c r="G19" i="2" s="1"/>
  <c r="I19" i="2" s="1"/>
  <c r="K19" i="1"/>
  <c r="G19" i="1"/>
  <c r="J19" i="1" s="1" a="1"/>
  <c r="J19" i="1" s="1"/>
  <c r="F17" i="9" l="1"/>
  <c r="K19" i="2"/>
  <c r="J19" i="2" a="1"/>
  <c r="J19" i="2" s="1"/>
  <c r="F20" i="2" s="1"/>
  <c r="H20" i="2" s="1" a="1"/>
  <c r="H20" i="2" s="1"/>
  <c r="E20" i="1"/>
  <c r="H20" i="1" s="1" a="1"/>
  <c r="H20" i="1" s="1"/>
  <c r="F20" i="1"/>
  <c r="I20" i="1" s="1" a="1"/>
  <c r="I20" i="1" s="1"/>
  <c r="H17" i="9" l="1" a="1"/>
  <c r="H17" i="9" s="1"/>
  <c r="I17" i="9" s="1"/>
  <c r="E20" i="2"/>
  <c r="K20" i="1"/>
  <c r="G20" i="1"/>
  <c r="J20" i="1" s="1" a="1"/>
  <c r="J20" i="1" s="1"/>
  <c r="K17" i="9" l="1"/>
  <c r="J17" i="9" a="1"/>
  <c r="J17" i="9" s="1"/>
  <c r="E18" i="9" s="1"/>
  <c r="G18" i="9" s="1" a="1"/>
  <c r="G18" i="9" s="1"/>
  <c r="G20" i="2" a="1"/>
  <c r="G20" i="2" s="1"/>
  <c r="I20" i="2" s="1"/>
  <c r="F21" i="1"/>
  <c r="I21" i="1" s="1" a="1"/>
  <c r="I21" i="1" s="1"/>
  <c r="F18" i="9" l="1"/>
  <c r="J20" i="2" a="1"/>
  <c r="J20" i="2" s="1"/>
  <c r="E21" i="2" s="1"/>
  <c r="K20" i="2"/>
  <c r="E21" i="1"/>
  <c r="H21" i="1" s="1" a="1"/>
  <c r="H21" i="1" s="1"/>
  <c r="G21" i="1"/>
  <c r="J21" i="1" s="1" a="1"/>
  <c r="J21" i="1" s="1"/>
  <c r="H18" i="9" l="1" a="1"/>
  <c r="H18" i="9" s="1"/>
  <c r="I18" i="9" s="1"/>
  <c r="G21" i="2" a="1"/>
  <c r="G21" i="2" s="1"/>
  <c r="K21" i="1"/>
  <c r="F21" i="2"/>
  <c r="H21" i="2" s="1" a="1"/>
  <c r="H21" i="2" s="1"/>
  <c r="I21" i="2" s="1"/>
  <c r="E22" i="1"/>
  <c r="H22" i="1" s="1" a="1"/>
  <c r="H22" i="1" s="1"/>
  <c r="K18" i="9" l="1"/>
  <c r="J18" i="9" a="1"/>
  <c r="J18" i="9" s="1"/>
  <c r="E19" i="9" s="1"/>
  <c r="G19" i="9" s="1" a="1"/>
  <c r="G19" i="9" s="1"/>
  <c r="J21" i="2" a="1"/>
  <c r="J21" i="2" s="1"/>
  <c r="K21" i="2"/>
  <c r="F22" i="1"/>
  <c r="I22" i="1" s="1" a="1"/>
  <c r="I22" i="1" s="1"/>
  <c r="F19" i="9" l="1"/>
  <c r="K22" i="1"/>
  <c r="G22" i="1"/>
  <c r="J22" i="1" s="1" a="1"/>
  <c r="J22" i="1" s="1"/>
  <c r="H19" i="9" l="1" a="1"/>
  <c r="H19" i="9" s="1"/>
  <c r="I19" i="9" s="1"/>
  <c r="E23" i="1"/>
  <c r="H23" i="1" s="1" a="1"/>
  <c r="H23" i="1" s="1"/>
  <c r="F23" i="1"/>
  <c r="I23" i="1" s="1" a="1"/>
  <c r="I23" i="1" s="1"/>
  <c r="K19" i="9" l="1"/>
  <c r="J19" i="9" a="1"/>
  <c r="J19" i="9" s="1"/>
  <c r="E20" i="9" s="1"/>
  <c r="G20" i="9" s="1" a="1"/>
  <c r="G20" i="9" s="1"/>
  <c r="K23" i="1"/>
  <c r="G23" i="1"/>
  <c r="J23" i="1" s="1" a="1"/>
  <c r="J23" i="1" s="1"/>
  <c r="F20" i="9" l="1"/>
  <c r="F24" i="1"/>
  <c r="I24" i="1" s="1" a="1"/>
  <c r="I24" i="1" s="1"/>
  <c r="H20" i="9" l="1" a="1"/>
  <c r="H20" i="9" s="1"/>
  <c r="I20" i="9" s="1"/>
  <c r="E24" i="1"/>
  <c r="H24" i="1" s="1" a="1"/>
  <c r="H24" i="1" s="1"/>
  <c r="G24" i="1"/>
  <c r="J24" i="1" s="1" a="1"/>
  <c r="J24" i="1" s="1"/>
  <c r="K24" i="1"/>
  <c r="K20" i="9" l="1"/>
  <c r="J20" i="9" a="1"/>
  <c r="J20" i="9" s="1"/>
  <c r="E21" i="9" s="1"/>
  <c r="G21" i="9" s="1" a="1"/>
  <c r="G21" i="9" s="1"/>
  <c r="E25" i="1"/>
  <c r="H25" i="1" s="1" a="1"/>
  <c r="H25" i="1" s="1"/>
  <c r="F21" i="9" l="1"/>
  <c r="F25" i="1"/>
  <c r="I25" i="1" s="1" a="1"/>
  <c r="I25" i="1" s="1"/>
  <c r="H21" i="9" l="1" a="1"/>
  <c r="H21" i="9" s="1"/>
  <c r="I21" i="9" s="1"/>
  <c r="K25" i="1"/>
  <c r="G25" i="1"/>
  <c r="J25" i="1" s="1" a="1"/>
  <c r="J25" i="1" s="1"/>
  <c r="K21" i="9" l="1"/>
  <c r="J21" i="9" a="1"/>
  <c r="J21" i="9" s="1"/>
  <c r="E26" i="1"/>
  <c r="H26" i="1" s="1" a="1"/>
  <c r="H26" i="1" s="1"/>
  <c r="F26" i="1"/>
  <c r="I26" i="1" s="1" a="1"/>
  <c r="I26" i="1" s="1"/>
  <c r="K26" i="1" l="1"/>
  <c r="G26" i="1"/>
  <c r="J26" i="1" s="1" a="1"/>
  <c r="J26" i="1" s="1"/>
  <c r="F27" i="1" l="1"/>
  <c r="I27" i="1" s="1" a="1"/>
  <c r="I27" i="1" s="1"/>
  <c r="E27" i="1"/>
  <c r="H27" i="1" s="1" a="1"/>
  <c r="H27" i="1" s="1"/>
  <c r="G27" i="1" l="1"/>
  <c r="J27" i="1" s="1" a="1"/>
  <c r="J27" i="1" s="1"/>
  <c r="K27" i="1"/>
  <c r="E28" i="1" l="1"/>
  <c r="H28" i="1" s="1" a="1"/>
  <c r="H28" i="1" s="1"/>
  <c r="F28" i="1"/>
  <c r="I28" i="1" s="1" a="1"/>
  <c r="I28" i="1" s="1"/>
  <c r="K28" i="1" l="1"/>
  <c r="G28" i="1"/>
  <c r="J28" i="1" s="1" a="1"/>
  <c r="J2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<sst xmlns="http://schemas.openxmlformats.org/spreadsheetml/2006/main" count="118" uniqueCount="38">
  <si>
    <t>Function</t>
    <phoneticPr fontId="1"/>
  </si>
  <si>
    <t>Upper</t>
    <phoneticPr fontId="1"/>
  </si>
  <si>
    <t>Lower</t>
    <phoneticPr fontId="1"/>
  </si>
  <si>
    <t>Tolerance</t>
    <phoneticPr fontId="1"/>
  </si>
  <si>
    <t>Middle</t>
    <phoneticPr fontId="1"/>
  </si>
  <si>
    <t>x</t>
    <phoneticPr fontId="1"/>
  </si>
  <si>
    <t>f(x)</t>
    <phoneticPr fontId="1"/>
  </si>
  <si>
    <t>a</t>
    <phoneticPr fontId="1"/>
  </si>
  <si>
    <t>b</t>
    <phoneticPr fontId="1"/>
  </si>
  <si>
    <t>m</t>
    <phoneticPr fontId="1"/>
  </si>
  <si>
    <t>Error</t>
    <phoneticPr fontId="1"/>
  </si>
  <si>
    <t>Iteration</t>
    <phoneticPr fontId="1"/>
  </si>
  <si>
    <t>f(lower)</t>
    <phoneticPr fontId="1"/>
  </si>
  <si>
    <t>f(upper)</t>
    <phoneticPr fontId="1"/>
  </si>
  <si>
    <t>f(middle)</t>
    <phoneticPr fontId="1"/>
  </si>
  <si>
    <t>x^3 -  x - 2</t>
    <phoneticPr fontId="1"/>
  </si>
  <si>
    <t>False Position</t>
    <phoneticPr fontId="1"/>
  </si>
  <si>
    <t>f(false position)</t>
    <phoneticPr fontId="1"/>
  </si>
  <si>
    <t>Derivative</t>
    <phoneticPr fontId="1"/>
  </si>
  <si>
    <t>3x^2 - 1</t>
    <phoneticPr fontId="1"/>
  </si>
  <si>
    <t>dy/dx</t>
    <phoneticPr fontId="1"/>
  </si>
  <si>
    <t>x_n+1</t>
    <phoneticPr fontId="1"/>
  </si>
  <si>
    <t>x_0</t>
    <phoneticPr fontId="1"/>
  </si>
  <si>
    <t>x_n-1</t>
    <phoneticPr fontId="1"/>
  </si>
  <si>
    <t>x_n</t>
    <phoneticPr fontId="1"/>
  </si>
  <si>
    <t>f(x_n-1)</t>
    <phoneticPr fontId="1"/>
  </si>
  <si>
    <t>f(x_n)</t>
    <phoneticPr fontId="1"/>
  </si>
  <si>
    <t>x_1</t>
    <phoneticPr fontId="1"/>
  </si>
  <si>
    <t>x_2</t>
    <phoneticPr fontId="1"/>
  </si>
  <si>
    <t>f(x_0)</t>
    <phoneticPr fontId="1"/>
  </si>
  <si>
    <t>f(x_1)</t>
    <phoneticPr fontId="1"/>
  </si>
  <si>
    <t>f(x_2)</t>
    <phoneticPr fontId="1"/>
  </si>
  <si>
    <t>x_3</t>
    <phoneticPr fontId="1"/>
  </si>
  <si>
    <t>Derivative_2</t>
    <phoneticPr fontId="1"/>
  </si>
  <si>
    <t>6x</t>
    <phoneticPr fontId="1"/>
  </si>
  <si>
    <t>d2y/dx2</t>
    <phoneticPr fontId="1"/>
  </si>
  <si>
    <t>x_new</t>
    <phoneticPr fontId="1"/>
  </si>
  <si>
    <t>f(x_new)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</si>
</sst>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charset val="128"/>
    </font>
    <font>
      <sz val="6"/>
      <name val="ＭＳ Ｐゴシック"/>
      <family val="2"/>
      <charset val="128"/>
    </font>
    <font>
      <sz val="11"/>
      <color theme="1"/>
      <name val="Arial Unicode MS"/>
      <family val="3"/>
      <charset val="128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11" fontId="2" fillId="0" borderId="1" xfId="0" applyNumberFormat="1" applyFont="1" applyBorder="1">
      <alignment vertical="center"/>
    </xf>
    <xf numFmtId="0" fontId="2" fillId="0" borderId="3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4" xfId="0" applyFont="1" applyBorder="1">
      <alignment vertical="center"/>
    </xf>
    <xf numFmtId="0" fontId="2" fillId="0" borderId="18" xfId="0" applyFont="1" applyBorder="1">
      <alignment vertical="center"/>
    </xf>
    <xf numFmtId="0" fontId="2" fillId="0" borderId="15" xfId="0" applyFont="1" applyBorder="1">
      <alignment vertical="center"/>
    </xf>
    <xf numFmtId="0" fontId="2" fillId="0" borderId="19" xfId="0" applyFont="1" applyBorder="1">
      <alignment vertical="center"/>
    </xf>
    <xf numFmtId="0" fontId="2" fillId="0" borderId="27" xfId="0" applyFont="1" applyBorder="1">
      <alignment vertical="center"/>
    </xf>
    <xf numFmtId="0" fontId="2" fillId="0" borderId="23" xfId="0" applyFont="1" applyBorder="1">
      <alignment vertical="center"/>
    </xf>
    <xf numFmtId="0" fontId="2" fillId="0" borderId="24" xfId="0" applyFont="1" applyBorder="1">
      <alignment vertical="center"/>
    </xf>
    <xf numFmtId="0" fontId="2" fillId="0" borderId="22" xfId="0" applyFont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1">
    <cellStyle name="標準" xfId="0" builtinId="0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1600" b="1"/>
              <a:t>Convergence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Bisection!$E$6</c:f>
              <c:strCache>
                <c:ptCount val="1"/>
                <c:pt idx="0">
                  <c:v>Lower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Bisection!$D$7:$D$36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Bisection!$E$7:$E$28</c:f>
              <c:numCache>
                <c:formatCode>General</c:formatCode>
                <c:ptCount val="22"/>
                <c:pt idx="0">
                  <c:v>1</c:v>
                </c:pt>
                <c:pt idx="1">
                  <c:v>1.5</c:v>
                </c:pt>
                <c:pt idx="2">
                  <c:v>1.5</c:v>
                </c:pt>
                <c:pt idx="3">
                  <c:v>1.5</c:v>
                </c:pt>
                <c:pt idx="4">
                  <c:v>1.5</c:v>
                </c:pt>
                <c:pt idx="5">
                  <c:v>1.5</c:v>
                </c:pt>
                <c:pt idx="6">
                  <c:v>1.515625</c:v>
                </c:pt>
                <c:pt idx="7">
                  <c:v>1.515625</c:v>
                </c:pt>
                <c:pt idx="8">
                  <c:v>1.51953125</c:v>
                </c:pt>
                <c:pt idx="9">
                  <c:v>1.51953125</c:v>
                </c:pt>
                <c:pt idx="10">
                  <c:v>1.5205078125</c:v>
                </c:pt>
                <c:pt idx="11">
                  <c:v>1.52099609375</c:v>
                </c:pt>
                <c:pt idx="12">
                  <c:v>1.521240234375</c:v>
                </c:pt>
                <c:pt idx="13">
                  <c:v>1.5213623046875</c:v>
                </c:pt>
                <c:pt idx="14">
                  <c:v>1.5213623046875</c:v>
                </c:pt>
                <c:pt idx="15">
                  <c:v>1.5213623046875</c:v>
                </c:pt>
                <c:pt idx="16">
                  <c:v>1.5213775634765625</c:v>
                </c:pt>
                <c:pt idx="17">
                  <c:v>1.5213775634765625</c:v>
                </c:pt>
                <c:pt idx="18">
                  <c:v>1.5213775634765625</c:v>
                </c:pt>
                <c:pt idx="19">
                  <c:v>1.5213794708251953</c:v>
                </c:pt>
                <c:pt idx="20">
                  <c:v>1.5213794708251953</c:v>
                </c:pt>
                <c:pt idx="21">
                  <c:v>1.5213794708251953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12A-4CE7-8A6C-DF534AA98820}"/>
            </c:ext>
          </c:extLst>
        </c:ser>
        <c:ser>
          <c:idx val="1"/>
          <c:order val="1"/>
          <c:tx>
            <c:strRef>
              <c:f>Bisection!$F$6</c:f>
              <c:strCache>
                <c:ptCount val="1"/>
                <c:pt idx="0">
                  <c:v>Upper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Bisection!$D$7:$D$36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Bisection!$F$7:$F$28</c:f>
              <c:numCache>
                <c:formatCode>General</c:formatCode>
                <c:ptCount val="22"/>
                <c:pt idx="0">
                  <c:v>2</c:v>
                </c:pt>
                <c:pt idx="1">
                  <c:v>2</c:v>
                </c:pt>
                <c:pt idx="2">
                  <c:v>1.75</c:v>
                </c:pt>
                <c:pt idx="3">
                  <c:v>1.625</c:v>
                </c:pt>
                <c:pt idx="4">
                  <c:v>1.5625</c:v>
                </c:pt>
                <c:pt idx="5">
                  <c:v>1.53125</c:v>
                </c:pt>
                <c:pt idx="6">
                  <c:v>1.53125</c:v>
                </c:pt>
                <c:pt idx="7">
                  <c:v>1.5234375</c:v>
                </c:pt>
                <c:pt idx="8">
                  <c:v>1.5234375</c:v>
                </c:pt>
                <c:pt idx="9">
                  <c:v>1.521484375</c:v>
                </c:pt>
                <c:pt idx="10">
                  <c:v>1.521484375</c:v>
                </c:pt>
                <c:pt idx="11">
                  <c:v>1.521484375</c:v>
                </c:pt>
                <c:pt idx="12">
                  <c:v>1.521484375</c:v>
                </c:pt>
                <c:pt idx="13">
                  <c:v>1.521484375</c:v>
                </c:pt>
                <c:pt idx="14">
                  <c:v>1.52142333984375</c:v>
                </c:pt>
                <c:pt idx="15">
                  <c:v>1.521392822265625</c:v>
                </c:pt>
                <c:pt idx="16">
                  <c:v>1.521392822265625</c:v>
                </c:pt>
                <c:pt idx="17">
                  <c:v>1.5213851928710938</c:v>
                </c:pt>
                <c:pt idx="18">
                  <c:v>1.5213813781738281</c:v>
                </c:pt>
                <c:pt idx="19">
                  <c:v>1.5213813781738281</c:v>
                </c:pt>
                <c:pt idx="20">
                  <c:v>1.5213804244995117</c:v>
                </c:pt>
                <c:pt idx="21">
                  <c:v>1.5213799476623535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12A-4CE7-8A6C-DF534AA98820}"/>
            </c:ext>
          </c:extLst>
        </c:ser>
        <c:ser>
          <c:idx val="2"/>
          <c:order val="2"/>
          <c:tx>
            <c:strRef>
              <c:f>Bisection!$G$6</c:f>
              <c:strCache>
                <c:ptCount val="1"/>
                <c:pt idx="0">
                  <c:v>Middle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Bisection!$D$7:$D$36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Bisection!$G$7:$G$28</c:f>
              <c:numCache>
                <c:formatCode>General</c:formatCode>
                <c:ptCount val="22"/>
                <c:pt idx="0">
                  <c:v>1.5</c:v>
                </c:pt>
                <c:pt idx="1">
                  <c:v>1.75</c:v>
                </c:pt>
                <c:pt idx="2">
                  <c:v>1.625</c:v>
                </c:pt>
                <c:pt idx="3">
                  <c:v>1.5625</c:v>
                </c:pt>
                <c:pt idx="4">
                  <c:v>1.53125</c:v>
                </c:pt>
                <c:pt idx="5">
                  <c:v>1.515625</c:v>
                </c:pt>
                <c:pt idx="6">
                  <c:v>1.5234375</c:v>
                </c:pt>
                <c:pt idx="7">
                  <c:v>1.51953125</c:v>
                </c:pt>
                <c:pt idx="8">
                  <c:v>1.521484375</c:v>
                </c:pt>
                <c:pt idx="9">
                  <c:v>1.5205078125</c:v>
                </c:pt>
                <c:pt idx="10">
                  <c:v>1.52099609375</c:v>
                </c:pt>
                <c:pt idx="11">
                  <c:v>1.521240234375</c:v>
                </c:pt>
                <c:pt idx="12">
                  <c:v>1.5213623046875</c:v>
                </c:pt>
                <c:pt idx="13">
                  <c:v>1.52142333984375</c:v>
                </c:pt>
                <c:pt idx="14">
                  <c:v>1.521392822265625</c:v>
                </c:pt>
                <c:pt idx="15">
                  <c:v>1.5213775634765625</c:v>
                </c:pt>
                <c:pt idx="16">
                  <c:v>1.5213851928710938</c:v>
                </c:pt>
                <c:pt idx="17">
                  <c:v>1.5213813781738281</c:v>
                </c:pt>
                <c:pt idx="18">
                  <c:v>1.5213794708251953</c:v>
                </c:pt>
                <c:pt idx="19">
                  <c:v>1.5213804244995117</c:v>
                </c:pt>
                <c:pt idx="20">
                  <c:v>1.5213799476623535</c:v>
                </c:pt>
                <c:pt idx="21">
                  <c:v>1.5213797092437744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612A-4CE7-8A6C-DF534AA98820}"/>
            </c:ext>
          </c:extLst>
        </c:ser>
        <c:ser>
          <c:idx val="3"/>
          <c:order val="3"/>
          <c:tx>
            <c:strRef>
              <c:f>Bisection!$K$6</c:f>
              <c:strCache>
                <c:ptCount val="1"/>
                <c:pt idx="0">
                  <c:v>Error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Bisection!$D$7:$D$28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Bisection!$K$7:$K$28</c:f>
              <c:numCache>
                <c:formatCode>General</c:formatCode>
                <c:ptCount val="22"/>
                <c:pt idx="0">
                  <c:v>1</c:v>
                </c:pt>
                <c:pt idx="1">
                  <c:v>0.5</c:v>
                </c:pt>
                <c:pt idx="2">
                  <c:v>0.25</c:v>
                </c:pt>
                <c:pt idx="3">
                  <c:v>0.125</c:v>
                </c:pt>
                <c:pt idx="4">
                  <c:v>6.25E-2</c:v>
                </c:pt>
                <c:pt idx="5">
                  <c:v>3.125E-2</c:v>
                </c:pt>
                <c:pt idx="6">
                  <c:v>1.5625E-2</c:v>
                </c:pt>
                <c:pt idx="7">
                  <c:v>7.8125E-3</c:v>
                </c:pt>
                <c:pt idx="8">
                  <c:v>3.90625E-3</c:v>
                </c:pt>
                <c:pt idx="9">
                  <c:v>1.953125E-3</c:v>
                </c:pt>
                <c:pt idx="10">
                  <c:v>9.765625E-4</c:v>
                </c:pt>
                <c:pt idx="11">
                  <c:v>4.8828125E-4</c:v>
                </c:pt>
                <c:pt idx="12">
                  <c:v>2.44140625E-4</c:v>
                </c:pt>
                <c:pt idx="13">
                  <c:v>1.220703125E-4</c:v>
                </c:pt>
                <c:pt idx="14">
                  <c:v>6.103515625E-5</c:v>
                </c:pt>
                <c:pt idx="15">
                  <c:v>3.0517578125E-5</c:v>
                </c:pt>
                <c:pt idx="16">
                  <c:v>1.52587890625E-5</c:v>
                </c:pt>
                <c:pt idx="17">
                  <c:v>7.62939453125E-6</c:v>
                </c:pt>
                <c:pt idx="18">
                  <c:v>3.814697265625E-6</c:v>
                </c:pt>
                <c:pt idx="19">
                  <c:v>1.9073486328125E-6</c:v>
                </c:pt>
                <c:pt idx="20">
                  <c:v>9.5367431640625E-7</c:v>
                </c:pt>
                <c:pt idx="21">
                  <c:v>4.76837158203125E-7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612A-4CE7-8A6C-DF534AA98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9839392"/>
        <c:axId val="1329840112"/>
      </c:scatterChart>
      <c:valAx>
        <c:axId val="1329839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title>
          <c:tx>
            <c:strRef>
              <c:f>Bisection!$D$6</c:f>
              <c:strCache>
                <c:ptCount val="1"/>
                <c:pt idx="0">
                  <c:v>Iteration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29840112"/>
        <c:crosses val="autoZero"/>
        <c:crossBetween val="midCat"/>
      </c:valAx>
      <c:valAx>
        <c:axId val="132984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Value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29839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>
          <a:lumMod val="7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Bisection</a:t>
            </a:r>
            <a:endParaRPr 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Bisection!$E$6</c:f>
              <c:strCache>
                <c:ptCount val="1"/>
                <c:pt idx="0">
                  <c:v>Lower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  <a:round/>
              </a:ln>
              <a:effectLst/>
            </c:spPr>
          </c:marker>
          <c:xVal>
            <c:numRef>
              <c:f>Bisection!$E$7:$E$28</c:f>
              <c:numCache>
                <c:formatCode>General</c:formatCode>
                <c:ptCount val="22"/>
                <c:pt idx="0">
                  <c:v>1</c:v>
                </c:pt>
                <c:pt idx="1">
                  <c:v>1.5</c:v>
                </c:pt>
                <c:pt idx="2">
                  <c:v>1.5</c:v>
                </c:pt>
                <c:pt idx="3">
                  <c:v>1.5</c:v>
                </c:pt>
                <c:pt idx="4">
                  <c:v>1.5</c:v>
                </c:pt>
                <c:pt idx="5">
                  <c:v>1.5</c:v>
                </c:pt>
                <c:pt idx="6">
                  <c:v>1.515625</c:v>
                </c:pt>
                <c:pt idx="7">
                  <c:v>1.515625</c:v>
                </c:pt>
                <c:pt idx="8">
                  <c:v>1.51953125</c:v>
                </c:pt>
                <c:pt idx="9">
                  <c:v>1.51953125</c:v>
                </c:pt>
                <c:pt idx="10">
                  <c:v>1.5205078125</c:v>
                </c:pt>
                <c:pt idx="11">
                  <c:v>1.52099609375</c:v>
                </c:pt>
                <c:pt idx="12">
                  <c:v>1.521240234375</c:v>
                </c:pt>
                <c:pt idx="13">
                  <c:v>1.5213623046875</c:v>
                </c:pt>
                <c:pt idx="14">
                  <c:v>1.5213623046875</c:v>
                </c:pt>
                <c:pt idx="15">
                  <c:v>1.5213623046875</c:v>
                </c:pt>
                <c:pt idx="16">
                  <c:v>1.5213775634765625</c:v>
                </c:pt>
                <c:pt idx="17">
                  <c:v>1.5213775634765625</c:v>
                </c:pt>
                <c:pt idx="18">
                  <c:v>1.5213775634765625</c:v>
                </c:pt>
                <c:pt idx="19">
                  <c:v>1.5213794708251953</c:v>
                </c:pt>
                <c:pt idx="20">
                  <c:v>1.5213794708251953</c:v>
                </c:pt>
                <c:pt idx="21">
                  <c:v>1.5213794708251953</c:v>
                </c:pt>
              </c:numCache>
            </c:numRef>
          </c:xVal>
          <c:yVal>
            <c:numRef>
              <c:f>Bisection!$H$7:$H$28</c:f>
              <c:numCache>
                <c:formatCode>General</c:formatCode>
                <c:ptCount val="22"/>
                <c:pt idx="0">
                  <c:v>-2</c:v>
                </c:pt>
                <c:pt idx="1">
                  <c:v>-0.125</c:v>
                </c:pt>
                <c:pt idx="2">
                  <c:v>-0.125</c:v>
                </c:pt>
                <c:pt idx="3">
                  <c:v>-0.125</c:v>
                </c:pt>
                <c:pt idx="4">
                  <c:v>-0.125</c:v>
                </c:pt>
                <c:pt idx="5">
                  <c:v>-0.125</c:v>
                </c:pt>
                <c:pt idx="6">
                  <c:v>-3.4053802490234375E-2</c:v>
                </c:pt>
                <c:pt idx="7">
                  <c:v>-3.4053802490234375E-2</c:v>
                </c:pt>
                <c:pt idx="8">
                  <c:v>-1.0971248149871826E-2</c:v>
                </c:pt>
                <c:pt idx="9">
                  <c:v>-1.0971248149871826E-2</c:v>
                </c:pt>
                <c:pt idx="10">
                  <c:v>-5.1788864657282829E-3</c:v>
                </c:pt>
                <c:pt idx="11">
                  <c:v>-2.2794433170929551E-3</c:v>
                </c:pt>
                <c:pt idx="12">
                  <c:v>-8.2890586054418236E-4</c:v>
                </c:pt>
                <c:pt idx="13">
                  <c:v>-1.034331235132413E-4</c:v>
                </c:pt>
                <c:pt idx="14">
                  <c:v>-1.034331235132413E-4</c:v>
                </c:pt>
                <c:pt idx="15">
                  <c:v>-1.034331235132413E-4</c:v>
                </c:pt>
                <c:pt idx="16">
                  <c:v>-1.2739467674549587E-5</c:v>
                </c:pt>
                <c:pt idx="17">
                  <c:v>-1.2739467674549587E-5</c:v>
                </c:pt>
                <c:pt idx="18">
                  <c:v>-1.2739467674549587E-5</c:v>
                </c:pt>
                <c:pt idx="19">
                  <c:v>-1.4026112573617411E-6</c:v>
                </c:pt>
                <c:pt idx="20">
                  <c:v>-1.4026112573617411E-6</c:v>
                </c:pt>
                <c:pt idx="21">
                  <c:v>-1.4026112573617411E-6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2B-4818-A7DA-CFB9A93090F4}"/>
            </c:ext>
          </c:extLst>
        </c:ser>
        <c:ser>
          <c:idx val="1"/>
          <c:order val="1"/>
          <c:tx>
            <c:strRef>
              <c:f>Bisection!$F$6</c:f>
              <c:strCache>
                <c:ptCount val="1"/>
                <c:pt idx="0">
                  <c:v>Upper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  <a:round/>
              </a:ln>
              <a:effectLst/>
            </c:spPr>
          </c:marker>
          <c:xVal>
            <c:numRef>
              <c:f>Bisection!$F$7:$F$28</c:f>
              <c:numCache>
                <c:formatCode>General</c:formatCode>
                <c:ptCount val="22"/>
                <c:pt idx="0">
                  <c:v>2</c:v>
                </c:pt>
                <c:pt idx="1">
                  <c:v>2</c:v>
                </c:pt>
                <c:pt idx="2">
                  <c:v>1.75</c:v>
                </c:pt>
                <c:pt idx="3">
                  <c:v>1.625</c:v>
                </c:pt>
                <c:pt idx="4">
                  <c:v>1.5625</c:v>
                </c:pt>
                <c:pt idx="5">
                  <c:v>1.53125</c:v>
                </c:pt>
                <c:pt idx="6">
                  <c:v>1.53125</c:v>
                </c:pt>
                <c:pt idx="7">
                  <c:v>1.5234375</c:v>
                </c:pt>
                <c:pt idx="8">
                  <c:v>1.5234375</c:v>
                </c:pt>
                <c:pt idx="9">
                  <c:v>1.521484375</c:v>
                </c:pt>
                <c:pt idx="10">
                  <c:v>1.521484375</c:v>
                </c:pt>
                <c:pt idx="11">
                  <c:v>1.521484375</c:v>
                </c:pt>
                <c:pt idx="12">
                  <c:v>1.521484375</c:v>
                </c:pt>
                <c:pt idx="13">
                  <c:v>1.521484375</c:v>
                </c:pt>
                <c:pt idx="14">
                  <c:v>1.52142333984375</c:v>
                </c:pt>
                <c:pt idx="15">
                  <c:v>1.521392822265625</c:v>
                </c:pt>
                <c:pt idx="16">
                  <c:v>1.521392822265625</c:v>
                </c:pt>
                <c:pt idx="17">
                  <c:v>1.5213851928710938</c:v>
                </c:pt>
                <c:pt idx="18">
                  <c:v>1.5213813781738281</c:v>
                </c:pt>
                <c:pt idx="19">
                  <c:v>1.5213813781738281</c:v>
                </c:pt>
                <c:pt idx="20">
                  <c:v>1.5213804244995117</c:v>
                </c:pt>
                <c:pt idx="21">
                  <c:v>1.5213799476623535</c:v>
                </c:pt>
              </c:numCache>
            </c:numRef>
          </c:xVal>
          <c:yVal>
            <c:numRef>
              <c:f>Bisection!$I$7:$I$28</c:f>
              <c:numCache>
                <c:formatCode>General</c:formatCode>
                <c:ptCount val="22"/>
                <c:pt idx="0">
                  <c:v>4</c:v>
                </c:pt>
                <c:pt idx="1">
                  <c:v>4</c:v>
                </c:pt>
                <c:pt idx="2">
                  <c:v>1.609375</c:v>
                </c:pt>
                <c:pt idx="3">
                  <c:v>0.666015625</c:v>
                </c:pt>
                <c:pt idx="4">
                  <c:v>0.252197265625</c:v>
                </c:pt>
                <c:pt idx="5">
                  <c:v>5.9112548828125E-2</c:v>
                </c:pt>
                <c:pt idx="6">
                  <c:v>5.9112548828125E-2</c:v>
                </c:pt>
                <c:pt idx="7">
                  <c:v>1.2250423431396484E-2</c:v>
                </c:pt>
                <c:pt idx="8">
                  <c:v>1.2250423431396484E-2</c:v>
                </c:pt>
                <c:pt idx="9">
                  <c:v>6.2217563390731812E-4</c:v>
                </c:pt>
                <c:pt idx="10">
                  <c:v>6.2217563390731812E-4</c:v>
                </c:pt>
                <c:pt idx="11">
                  <c:v>6.2217563390731812E-4</c:v>
                </c:pt>
                <c:pt idx="12">
                  <c:v>6.2217563390731812E-4</c:v>
                </c:pt>
                <c:pt idx="13">
                  <c:v>6.2217563390731812E-4</c:v>
                </c:pt>
                <c:pt idx="14">
                  <c:v>2.5935425196621509E-4</c:v>
                </c:pt>
                <c:pt idx="15">
                  <c:v>7.7956313504046193E-5</c:v>
                </c:pt>
                <c:pt idx="16">
                  <c:v>7.7956313504046193E-5</c:v>
                </c:pt>
                <c:pt idx="17">
                  <c:v>3.2608157245928027E-5</c:v>
                </c:pt>
                <c:pt idx="18">
                  <c:v>9.9342783688172176E-6</c:v>
                </c:pt>
                <c:pt idx="19">
                  <c:v>9.9342783688172176E-6</c:v>
                </c:pt>
                <c:pt idx="20">
                  <c:v>4.2658294048258938E-6</c:v>
                </c:pt>
                <c:pt idx="21">
                  <c:v>1.4316080361176375E-6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02B-4818-A7DA-CFB9A93090F4}"/>
            </c:ext>
          </c:extLst>
        </c:ser>
        <c:ser>
          <c:idx val="3"/>
          <c:order val="2"/>
          <c:tx>
            <c:strRef>
              <c:f>Bisection!$B$6</c:f>
              <c:strCache>
                <c:ptCount val="1"/>
                <c:pt idx="0">
                  <c:v>f(x)</c:v>
                </c:pt>
              </c:strCache>
            </c:strRef>
          </c:tx>
          <c:spPr>
            <a:ln w="952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  <a:round/>
              </a:ln>
              <a:effectLst/>
            </c:spPr>
          </c:marker>
          <c:xVal>
            <c:numRef>
              <c:f>Bisection!$A$7:$A$106</c:f>
              <c:numCache>
                <c:formatCode>General</c:formatCode>
                <c:ptCount val="100"/>
                <c:pt idx="0">
                  <c:v>-5</c:v>
                </c:pt>
                <c:pt idx="1">
                  <c:v>-4.9000000000000004</c:v>
                </c:pt>
                <c:pt idx="2">
                  <c:v>-4.8</c:v>
                </c:pt>
                <c:pt idx="3">
                  <c:v>-4.7</c:v>
                </c:pt>
                <c:pt idx="4">
                  <c:v>-4.5999999999999996</c:v>
                </c:pt>
                <c:pt idx="5">
                  <c:v>-4.5</c:v>
                </c:pt>
                <c:pt idx="6">
                  <c:v>-4.4000000000000004</c:v>
                </c:pt>
                <c:pt idx="7">
                  <c:v>-4.3</c:v>
                </c:pt>
                <c:pt idx="8">
                  <c:v>-4.2</c:v>
                </c:pt>
                <c:pt idx="9">
                  <c:v>-4.0999999999999996</c:v>
                </c:pt>
                <c:pt idx="10">
                  <c:v>-4</c:v>
                </c:pt>
                <c:pt idx="11">
                  <c:v>-3.9</c:v>
                </c:pt>
                <c:pt idx="12">
                  <c:v>-3.8</c:v>
                </c:pt>
                <c:pt idx="13">
                  <c:v>-3.7</c:v>
                </c:pt>
                <c:pt idx="14">
                  <c:v>-3.6</c:v>
                </c:pt>
                <c:pt idx="15">
                  <c:v>-3.5000000000000102</c:v>
                </c:pt>
                <c:pt idx="16">
                  <c:v>-3.4000000000000101</c:v>
                </c:pt>
                <c:pt idx="17">
                  <c:v>-3.30000000000001</c:v>
                </c:pt>
                <c:pt idx="18">
                  <c:v>-3.2000000000000099</c:v>
                </c:pt>
                <c:pt idx="19">
                  <c:v>-3.1000000000000099</c:v>
                </c:pt>
                <c:pt idx="20">
                  <c:v>-3.0000000000000102</c:v>
                </c:pt>
                <c:pt idx="21">
                  <c:v>-2.9000000000000101</c:v>
                </c:pt>
                <c:pt idx="22">
                  <c:v>-2.80000000000001</c:v>
                </c:pt>
                <c:pt idx="23">
                  <c:v>-2.7000000000000099</c:v>
                </c:pt>
                <c:pt idx="24">
                  <c:v>-2.6000000000000099</c:v>
                </c:pt>
                <c:pt idx="25">
                  <c:v>-2.5000000000000102</c:v>
                </c:pt>
                <c:pt idx="26">
                  <c:v>-2.4000000000000101</c:v>
                </c:pt>
                <c:pt idx="27">
                  <c:v>-2.30000000000001</c:v>
                </c:pt>
                <c:pt idx="28">
                  <c:v>-2.2000000000000099</c:v>
                </c:pt>
                <c:pt idx="29">
                  <c:v>-2.1000000000000099</c:v>
                </c:pt>
                <c:pt idx="30">
                  <c:v>-2.0000000000000102</c:v>
                </c:pt>
                <c:pt idx="31">
                  <c:v>-1.9000000000000099</c:v>
                </c:pt>
                <c:pt idx="32">
                  <c:v>-1.80000000000001</c:v>
                </c:pt>
                <c:pt idx="33">
                  <c:v>-1.7000000000000099</c:v>
                </c:pt>
                <c:pt idx="34">
                  <c:v>-1.6000000000000101</c:v>
                </c:pt>
                <c:pt idx="35">
                  <c:v>-1.50000000000001</c:v>
                </c:pt>
                <c:pt idx="36">
                  <c:v>-1.4000000000000099</c:v>
                </c:pt>
                <c:pt idx="37">
                  <c:v>-1.30000000000001</c:v>
                </c:pt>
                <c:pt idx="38">
                  <c:v>-1.2000000000000099</c:v>
                </c:pt>
                <c:pt idx="39">
                  <c:v>-1.1000000000000101</c:v>
                </c:pt>
                <c:pt idx="40">
                  <c:v>-1.00000000000001</c:v>
                </c:pt>
                <c:pt idx="41">
                  <c:v>-0.90000000000001001</c:v>
                </c:pt>
                <c:pt idx="42">
                  <c:v>-0.80000000000001004</c:v>
                </c:pt>
                <c:pt idx="43">
                  <c:v>-0.70000000000002005</c:v>
                </c:pt>
                <c:pt idx="44">
                  <c:v>-0.60000000000001996</c:v>
                </c:pt>
                <c:pt idx="45">
                  <c:v>-0.50000000000001998</c:v>
                </c:pt>
                <c:pt idx="46">
                  <c:v>-0.40000000000002001</c:v>
                </c:pt>
                <c:pt idx="47">
                  <c:v>-0.30000000000001997</c:v>
                </c:pt>
                <c:pt idx="48">
                  <c:v>-0.20000000000002</c:v>
                </c:pt>
                <c:pt idx="49">
                  <c:v>-0.10000000000002</c:v>
                </c:pt>
                <c:pt idx="50">
                  <c:v>-2.0428103653102899E-14</c:v>
                </c:pt>
                <c:pt idx="51">
                  <c:v>9.9999999999980105E-2</c:v>
                </c:pt>
                <c:pt idx="52">
                  <c:v>0.19999999999998</c:v>
                </c:pt>
                <c:pt idx="53">
                  <c:v>0.29999999999998</c:v>
                </c:pt>
                <c:pt idx="54">
                  <c:v>0.39999999999997998</c:v>
                </c:pt>
                <c:pt idx="55">
                  <c:v>0.49999999999998002</c:v>
                </c:pt>
                <c:pt idx="56">
                  <c:v>0.59999999999997999</c:v>
                </c:pt>
                <c:pt idx="57">
                  <c:v>0.69999999999997997</c:v>
                </c:pt>
                <c:pt idx="58">
                  <c:v>0.79999999999997995</c:v>
                </c:pt>
                <c:pt idx="59">
                  <c:v>0.89999999999998004</c:v>
                </c:pt>
                <c:pt idx="60">
                  <c:v>0.99999999999998002</c:v>
                </c:pt>
                <c:pt idx="61">
                  <c:v>1.0999999999999801</c:v>
                </c:pt>
                <c:pt idx="62">
                  <c:v>1.19999999999998</c:v>
                </c:pt>
                <c:pt idx="63">
                  <c:v>1.2999999999999801</c:v>
                </c:pt>
                <c:pt idx="64">
                  <c:v>1.3999999999999799</c:v>
                </c:pt>
                <c:pt idx="65">
                  <c:v>1.49999999999998</c:v>
                </c:pt>
                <c:pt idx="66">
                  <c:v>1.5999999999999801</c:v>
                </c:pt>
                <c:pt idx="67">
                  <c:v>1.69999999999998</c:v>
                </c:pt>
                <c:pt idx="68">
                  <c:v>1.7999999999999801</c:v>
                </c:pt>
                <c:pt idx="69">
                  <c:v>1.8999999999999799</c:v>
                </c:pt>
                <c:pt idx="70">
                  <c:v>1.99999999999998</c:v>
                </c:pt>
                <c:pt idx="71">
                  <c:v>2.0999999999999699</c:v>
                </c:pt>
                <c:pt idx="72">
                  <c:v>2.19999999999997</c:v>
                </c:pt>
                <c:pt idx="73">
                  <c:v>2.2999999999999701</c:v>
                </c:pt>
                <c:pt idx="74">
                  <c:v>2.3999999999999702</c:v>
                </c:pt>
                <c:pt idx="75">
                  <c:v>2.4999999999999698</c:v>
                </c:pt>
                <c:pt idx="76">
                  <c:v>2.5999999999999699</c:v>
                </c:pt>
                <c:pt idx="77">
                  <c:v>2.69999999999997</c:v>
                </c:pt>
                <c:pt idx="78">
                  <c:v>2.7999999999999701</c:v>
                </c:pt>
                <c:pt idx="79">
                  <c:v>2.8999999999999702</c:v>
                </c:pt>
                <c:pt idx="80">
                  <c:v>2.9999999999999698</c:v>
                </c:pt>
                <c:pt idx="81">
                  <c:v>3.0999999999999699</c:v>
                </c:pt>
                <c:pt idx="82">
                  <c:v>3.19999999999997</c:v>
                </c:pt>
                <c:pt idx="83">
                  <c:v>3.2999999999999701</c:v>
                </c:pt>
                <c:pt idx="84">
                  <c:v>3.3999999999999702</c:v>
                </c:pt>
                <c:pt idx="85">
                  <c:v>3.4999999999999698</c:v>
                </c:pt>
                <c:pt idx="86">
                  <c:v>3.5999999999999699</c:v>
                </c:pt>
                <c:pt idx="87">
                  <c:v>3.69999999999997</c:v>
                </c:pt>
                <c:pt idx="88">
                  <c:v>3.7999999999999701</c:v>
                </c:pt>
                <c:pt idx="89">
                  <c:v>3.8999999999999702</c:v>
                </c:pt>
                <c:pt idx="90">
                  <c:v>3.9999999999999698</c:v>
                </c:pt>
                <c:pt idx="91">
                  <c:v>4.0999999999999703</c:v>
                </c:pt>
                <c:pt idx="92">
                  <c:v>4.19999999999997</c:v>
                </c:pt>
                <c:pt idx="93">
                  <c:v>4.2999999999999696</c:v>
                </c:pt>
                <c:pt idx="94">
                  <c:v>4.3999999999999702</c:v>
                </c:pt>
                <c:pt idx="95">
                  <c:v>4.4999999999999698</c:v>
                </c:pt>
                <c:pt idx="96">
                  <c:v>4.5999999999999703</c:v>
                </c:pt>
                <c:pt idx="97">
                  <c:v>4.69999999999997</c:v>
                </c:pt>
                <c:pt idx="98">
                  <c:v>4.7999999999999696</c:v>
                </c:pt>
                <c:pt idx="99">
                  <c:v>4.8999999999999604</c:v>
                </c:pt>
              </c:numCache>
            </c:numRef>
          </c:xVal>
          <c:yVal>
            <c:numRef>
              <c:f>Bisection!$B$7:$B$106</c:f>
              <c:numCache>
                <c:formatCode>General</c:formatCode>
                <c:ptCount val="100"/>
                <c:pt idx="0">
                  <c:v>-122</c:v>
                </c:pt>
                <c:pt idx="1">
                  <c:v>-114.74900000000002</c:v>
                </c:pt>
                <c:pt idx="2">
                  <c:v>-107.792</c:v>
                </c:pt>
                <c:pt idx="3">
                  <c:v>-101.12300000000002</c:v>
                </c:pt>
                <c:pt idx="4">
                  <c:v>-94.735999999999976</c:v>
                </c:pt>
                <c:pt idx="5">
                  <c:v>-88.625</c:v>
                </c:pt>
                <c:pt idx="6">
                  <c:v>-82.78400000000002</c:v>
                </c:pt>
                <c:pt idx="7">
                  <c:v>-77.206999999999994</c:v>
                </c:pt>
                <c:pt idx="8">
                  <c:v>-71.888000000000005</c:v>
                </c:pt>
                <c:pt idx="9">
                  <c:v>-66.820999999999998</c:v>
                </c:pt>
                <c:pt idx="10">
                  <c:v>-62</c:v>
                </c:pt>
                <c:pt idx="11">
                  <c:v>-57.418999999999997</c:v>
                </c:pt>
                <c:pt idx="12">
                  <c:v>-53.071999999999996</c:v>
                </c:pt>
                <c:pt idx="13">
                  <c:v>-48.953000000000003</c:v>
                </c:pt>
                <c:pt idx="14">
                  <c:v>-45.056000000000004</c:v>
                </c:pt>
                <c:pt idx="15">
                  <c:v>-41.375000000000369</c:v>
                </c:pt>
                <c:pt idx="16">
                  <c:v>-37.904000000000337</c:v>
                </c:pt>
                <c:pt idx="17">
                  <c:v>-34.63700000000032</c:v>
                </c:pt>
                <c:pt idx="18">
                  <c:v>-31.568000000000296</c:v>
                </c:pt>
                <c:pt idx="19">
                  <c:v>-28.691000000000276</c:v>
                </c:pt>
                <c:pt idx="20">
                  <c:v>-26.000000000000263</c:v>
                </c:pt>
                <c:pt idx="21">
                  <c:v>-23.489000000000246</c:v>
                </c:pt>
                <c:pt idx="22">
                  <c:v>-21.152000000000225</c:v>
                </c:pt>
                <c:pt idx="23">
                  <c:v>-18.983000000000207</c:v>
                </c:pt>
                <c:pt idx="24">
                  <c:v>-16.976000000000191</c:v>
                </c:pt>
                <c:pt idx="25">
                  <c:v>-15.125000000000181</c:v>
                </c:pt>
                <c:pt idx="26">
                  <c:v>-13.424000000000166</c:v>
                </c:pt>
                <c:pt idx="27">
                  <c:v>-11.86700000000015</c:v>
                </c:pt>
                <c:pt idx="28">
                  <c:v>-10.448000000000134</c:v>
                </c:pt>
                <c:pt idx="29">
                  <c:v>-9.1610000000001186</c:v>
                </c:pt>
                <c:pt idx="30">
                  <c:v>-8.0000000000001119</c:v>
                </c:pt>
                <c:pt idx="31">
                  <c:v>-6.9590000000000973</c:v>
                </c:pt>
                <c:pt idx="32">
                  <c:v>-6.0320000000000871</c:v>
                </c:pt>
                <c:pt idx="33">
                  <c:v>-5.2130000000000765</c:v>
                </c:pt>
                <c:pt idx="34">
                  <c:v>-4.4960000000000671</c:v>
                </c:pt>
                <c:pt idx="35">
                  <c:v>-3.8750000000000577</c:v>
                </c:pt>
                <c:pt idx="36">
                  <c:v>-3.3440000000000483</c:v>
                </c:pt>
                <c:pt idx="37">
                  <c:v>-2.8970000000000411</c:v>
                </c:pt>
                <c:pt idx="38">
                  <c:v>-2.5280000000000333</c:v>
                </c:pt>
                <c:pt idx="39">
                  <c:v>-2.2310000000000265</c:v>
                </c:pt>
                <c:pt idx="40">
                  <c:v>-2.00000000000002</c:v>
                </c:pt>
                <c:pt idx="41">
                  <c:v>-1.8290000000000144</c:v>
                </c:pt>
                <c:pt idx="42">
                  <c:v>-1.7120000000000093</c:v>
                </c:pt>
                <c:pt idx="43">
                  <c:v>-1.6430000000000096</c:v>
                </c:pt>
                <c:pt idx="44">
                  <c:v>-1.6160000000000017</c:v>
                </c:pt>
                <c:pt idx="45">
                  <c:v>-1.6249999999999951</c:v>
                </c:pt>
                <c:pt idx="46">
                  <c:v>-1.6639999999999895</c:v>
                </c:pt>
                <c:pt idx="47">
                  <c:v>-1.7269999999999854</c:v>
                </c:pt>
                <c:pt idx="48">
                  <c:v>-1.8079999999999825</c:v>
                </c:pt>
                <c:pt idx="49">
                  <c:v>-1.9009999999999807</c:v>
                </c:pt>
                <c:pt idx="50">
                  <c:v>-1.9999999999999796</c:v>
                </c:pt>
                <c:pt idx="51">
                  <c:v>-2.0989999999999807</c:v>
                </c:pt>
                <c:pt idx="52">
                  <c:v>-2.1919999999999824</c:v>
                </c:pt>
                <c:pt idx="53">
                  <c:v>-2.2729999999999855</c:v>
                </c:pt>
                <c:pt idx="54">
                  <c:v>-2.3359999999999896</c:v>
                </c:pt>
                <c:pt idx="55">
                  <c:v>-2.3749999999999951</c:v>
                </c:pt>
                <c:pt idx="56">
                  <c:v>-2.3840000000000017</c:v>
                </c:pt>
                <c:pt idx="57">
                  <c:v>-2.3570000000000095</c:v>
                </c:pt>
                <c:pt idx="58">
                  <c:v>-2.2880000000000185</c:v>
                </c:pt>
                <c:pt idx="59">
                  <c:v>-2.1710000000000287</c:v>
                </c:pt>
                <c:pt idx="60">
                  <c:v>-2.00000000000004</c:v>
                </c:pt>
                <c:pt idx="61">
                  <c:v>-1.7690000000000523</c:v>
                </c:pt>
                <c:pt idx="62">
                  <c:v>-1.4720000000000664</c:v>
                </c:pt>
                <c:pt idx="63">
                  <c:v>-1.1030000000000812</c:v>
                </c:pt>
                <c:pt idx="64">
                  <c:v>-0.65600000000009784</c:v>
                </c:pt>
                <c:pt idx="65">
                  <c:v>-0.12500000000011502</c:v>
                </c:pt>
                <c:pt idx="66">
                  <c:v>0.49599999999986721</c:v>
                </c:pt>
                <c:pt idx="67">
                  <c:v>1.2129999999998464</c:v>
                </c:pt>
                <c:pt idx="68">
                  <c:v>2.0319999999998259</c:v>
                </c:pt>
                <c:pt idx="69">
                  <c:v>2.9589999999998033</c:v>
                </c:pt>
                <c:pt idx="70">
                  <c:v>3.9999999999997797</c:v>
                </c:pt>
                <c:pt idx="71">
                  <c:v>5.1609999999996319</c:v>
                </c:pt>
                <c:pt idx="72">
                  <c:v>6.4479999999995918</c:v>
                </c:pt>
                <c:pt idx="73">
                  <c:v>7.866999999999555</c:v>
                </c:pt>
                <c:pt idx="74">
                  <c:v>9.4239999999995145</c:v>
                </c:pt>
                <c:pt idx="75">
                  <c:v>11.124999999999464</c:v>
                </c:pt>
                <c:pt idx="76">
                  <c:v>12.97599999999942</c:v>
                </c:pt>
                <c:pt idx="77">
                  <c:v>14.982999999999372</c:v>
                </c:pt>
                <c:pt idx="78">
                  <c:v>17.151999999999326</c:v>
                </c:pt>
                <c:pt idx="79">
                  <c:v>19.488999999999276</c:v>
                </c:pt>
                <c:pt idx="80">
                  <c:v>21.999999999999211</c:v>
                </c:pt>
                <c:pt idx="81">
                  <c:v>24.690999999999161</c:v>
                </c:pt>
                <c:pt idx="82">
                  <c:v>27.567999999999106</c:v>
                </c:pt>
                <c:pt idx="83">
                  <c:v>30.636999999999048</c:v>
                </c:pt>
                <c:pt idx="84">
                  <c:v>33.903999999998994</c:v>
                </c:pt>
                <c:pt idx="85">
                  <c:v>37.37499999999892</c:v>
                </c:pt>
                <c:pt idx="86">
                  <c:v>41.055999999998853</c:v>
                </c:pt>
                <c:pt idx="87">
                  <c:v>44.952999999998795</c:v>
                </c:pt>
                <c:pt idx="88">
                  <c:v>49.071999999998731</c:v>
                </c:pt>
                <c:pt idx="89">
                  <c:v>53.418999999998668</c:v>
                </c:pt>
                <c:pt idx="90">
                  <c:v>57.999999999998579</c:v>
                </c:pt>
                <c:pt idx="91">
                  <c:v>62.820999999998534</c:v>
                </c:pt>
                <c:pt idx="92">
                  <c:v>67.887999999998442</c:v>
                </c:pt>
                <c:pt idx="93">
                  <c:v>73.206999999998345</c:v>
                </c:pt>
                <c:pt idx="94">
                  <c:v>78.783999999998287</c:v>
                </c:pt>
                <c:pt idx="95">
                  <c:v>84.624999999998195</c:v>
                </c:pt>
                <c:pt idx="96">
                  <c:v>90.735999999998143</c:v>
                </c:pt>
                <c:pt idx="97">
                  <c:v>97.122999999998044</c:v>
                </c:pt>
                <c:pt idx="98">
                  <c:v>103.79199999999793</c:v>
                </c:pt>
                <c:pt idx="99">
                  <c:v>110.74899999999718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02B-4818-A7DA-CFB9A9309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9839392"/>
        <c:axId val="1329840112"/>
      </c:scatterChart>
      <c:valAx>
        <c:axId val="1329839392"/>
        <c:scaling>
          <c:orientation val="minMax"/>
          <c:max val="3"/>
          <c:min val="-1"/>
        </c:scaling>
        <c:delete val="0"/>
        <c:axPos val="b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29840112"/>
        <c:crosses val="autoZero"/>
        <c:crossBetween val="midCat"/>
      </c:valAx>
      <c:valAx>
        <c:axId val="1329840112"/>
        <c:scaling>
          <c:orientation val="minMax"/>
          <c:max val="5"/>
          <c:min val="-5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29839392"/>
        <c:crosses val="autoZero"/>
        <c:crossBetween val="midCat"/>
      </c:valAx>
      <c:spPr>
        <a:noFill/>
        <a:ln>
          <a:solidFill>
            <a:schemeClr val="bg2">
              <a:lumMod val="75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>
          <a:lumMod val="7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1600" b="1"/>
              <a:t>Convergence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'False Position'!$E$6</c:f>
              <c:strCache>
                <c:ptCount val="1"/>
                <c:pt idx="0">
                  <c:v>Lower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'False Position'!$D$7:$D$21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'False Position'!$E$7:$E$21</c:f>
              <c:numCache>
                <c:formatCode>General</c:formatCode>
                <c:ptCount val="15"/>
                <c:pt idx="0">
                  <c:v>1</c:v>
                </c:pt>
                <c:pt idx="1">
                  <c:v>1.3333333333333333</c:v>
                </c:pt>
                <c:pt idx="2">
                  <c:v>1.4626865671641791</c:v>
                </c:pt>
                <c:pt idx="3">
                  <c:v>1.504019003949949</c:v>
                </c:pt>
                <c:pt idx="4">
                  <c:v>1.5163305647602632</c:v>
                </c:pt>
                <c:pt idx="5">
                  <c:v>1.5199185500233559</c:v>
                </c:pt>
                <c:pt idx="6">
                  <c:v>1.5209574813719307</c:v>
                </c:pt>
                <c:pt idx="7">
                  <c:v>1.5212577491262858</c:v>
                </c:pt>
                <c:pt idx="8">
                  <c:v>1.5213444842315231</c:v>
                </c:pt>
                <c:pt idx="9">
                  <c:v>1.5213695345376017</c:v>
                </c:pt>
                <c:pt idx="10">
                  <c:v>1.521376769087182</c:v>
                </c:pt>
                <c:pt idx="11">
                  <c:v>1.5213788584038939</c:v>
                </c:pt>
                <c:pt idx="12">
                  <c:v>1.5213794617901568</c:v>
                </c:pt>
                <c:pt idx="13">
                  <c:v>1.5213796360454928</c:v>
                </c:pt>
                <c:pt idx="14">
                  <c:v>1.521379686369662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111-41D2-A60D-8327A07AB9C7}"/>
            </c:ext>
          </c:extLst>
        </c:ser>
        <c:ser>
          <c:idx val="1"/>
          <c:order val="1"/>
          <c:tx>
            <c:strRef>
              <c:f>'False Position'!$F$6</c:f>
              <c:strCache>
                <c:ptCount val="1"/>
                <c:pt idx="0">
                  <c:v>Upper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'False Position'!$D$7:$D$21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'False Position'!$F$7:$F$21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111-41D2-A60D-8327A07AB9C7}"/>
            </c:ext>
          </c:extLst>
        </c:ser>
        <c:ser>
          <c:idx val="2"/>
          <c:order val="2"/>
          <c:tx>
            <c:strRef>
              <c:f>'False Position'!$I$6</c:f>
              <c:strCache>
                <c:ptCount val="1"/>
                <c:pt idx="0">
                  <c:v>False Position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'False Position'!$D$7:$D$21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'False Position'!$I$7:$I$21</c:f>
              <c:numCache>
                <c:formatCode>General</c:formatCode>
                <c:ptCount val="15"/>
                <c:pt idx="0">
                  <c:v>1.3333333333333333</c:v>
                </c:pt>
                <c:pt idx="1">
                  <c:v>1.4626865671641791</c:v>
                </c:pt>
                <c:pt idx="2">
                  <c:v>1.504019003949949</c:v>
                </c:pt>
                <c:pt idx="3">
                  <c:v>1.5163305647602632</c:v>
                </c:pt>
                <c:pt idx="4">
                  <c:v>1.5199185500233559</c:v>
                </c:pt>
                <c:pt idx="5">
                  <c:v>1.5209574813719307</c:v>
                </c:pt>
                <c:pt idx="6">
                  <c:v>1.5212577491262858</c:v>
                </c:pt>
                <c:pt idx="7">
                  <c:v>1.5213444842315231</c:v>
                </c:pt>
                <c:pt idx="8">
                  <c:v>1.5213695345376017</c:v>
                </c:pt>
                <c:pt idx="9">
                  <c:v>1.521376769087182</c:v>
                </c:pt>
                <c:pt idx="10">
                  <c:v>1.5213788584038939</c:v>
                </c:pt>
                <c:pt idx="11">
                  <c:v>1.5213794617901568</c:v>
                </c:pt>
                <c:pt idx="12">
                  <c:v>1.5213796360454928</c:v>
                </c:pt>
                <c:pt idx="13">
                  <c:v>1.521379686369662</c:v>
                </c:pt>
                <c:pt idx="14">
                  <c:v>1.5213797009030581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111-41D2-A60D-8327A07AB9C7}"/>
            </c:ext>
          </c:extLst>
        </c:ser>
        <c:ser>
          <c:idx val="3"/>
          <c:order val="3"/>
          <c:tx>
            <c:strRef>
              <c:f>'False Position'!$K$6</c:f>
              <c:strCache>
                <c:ptCount val="1"/>
                <c:pt idx="0">
                  <c:v>Error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'False Position'!$D$7:$D$21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'False Position'!$K$7:$K$21</c:f>
              <c:numCache>
                <c:formatCode>General</c:formatCode>
                <c:ptCount val="15"/>
                <c:pt idx="0">
                  <c:v>1</c:v>
                </c:pt>
                <c:pt idx="1">
                  <c:v>0.12935323383084585</c:v>
                </c:pt>
                <c:pt idx="2">
                  <c:v>4.1332436785769922E-2</c:v>
                </c:pt>
                <c:pt idx="3">
                  <c:v>1.2311560810314148E-2</c:v>
                </c:pt>
                <c:pt idx="4">
                  <c:v>3.5879852630926745E-3</c:v>
                </c:pt>
                <c:pt idx="5">
                  <c:v>1.0389313485748009E-3</c:v>
                </c:pt>
                <c:pt idx="6">
                  <c:v>3.0026775435509911E-4</c:v>
                </c:pt>
                <c:pt idx="7">
                  <c:v>8.6735105237378818E-5</c:v>
                </c:pt>
                <c:pt idx="8">
                  <c:v>2.5050306078577833E-5</c:v>
                </c:pt>
                <c:pt idx="9">
                  <c:v>7.2345495802927928E-6</c:v>
                </c:pt>
                <c:pt idx="10">
                  <c:v>2.089316711861855E-6</c:v>
                </c:pt>
                <c:pt idx="11">
                  <c:v>6.0338626295397546E-7</c:v>
                </c:pt>
                <c:pt idx="12">
                  <c:v>1.7425533593851128E-7</c:v>
                </c:pt>
                <c:pt idx="13">
                  <c:v>5.0324169276194652E-8</c:v>
                </c:pt>
                <c:pt idx="14">
                  <c:v>1.4533396042182289E-8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111-41D2-A60D-8327A07AB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9839392"/>
        <c:axId val="1329840112"/>
      </c:scatterChart>
      <c:valAx>
        <c:axId val="1329839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title>
          <c:tx>
            <c:strRef>
              <c:f>Bisection!$D$6</c:f>
              <c:strCache>
                <c:ptCount val="1"/>
                <c:pt idx="0">
                  <c:v>Iteration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29840112"/>
        <c:crosses val="autoZero"/>
        <c:crossBetween val="midCat"/>
      </c:valAx>
      <c:valAx>
        <c:axId val="132984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Value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29839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>
          <a:lumMod val="7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False Position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'False Position'!$E$6</c:f>
              <c:strCache>
                <c:ptCount val="1"/>
                <c:pt idx="0">
                  <c:v>Lower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'False Position'!$E$7:$E$21</c:f>
              <c:numCache>
                <c:formatCode>General</c:formatCode>
                <c:ptCount val="15"/>
                <c:pt idx="0">
                  <c:v>1</c:v>
                </c:pt>
                <c:pt idx="1">
                  <c:v>1.3333333333333333</c:v>
                </c:pt>
                <c:pt idx="2">
                  <c:v>1.4626865671641791</c:v>
                </c:pt>
                <c:pt idx="3">
                  <c:v>1.504019003949949</c:v>
                </c:pt>
                <c:pt idx="4">
                  <c:v>1.5163305647602632</c:v>
                </c:pt>
                <c:pt idx="5">
                  <c:v>1.5199185500233559</c:v>
                </c:pt>
                <c:pt idx="6">
                  <c:v>1.5209574813719307</c:v>
                </c:pt>
                <c:pt idx="7">
                  <c:v>1.5212577491262858</c:v>
                </c:pt>
                <c:pt idx="8">
                  <c:v>1.5213444842315231</c:v>
                </c:pt>
                <c:pt idx="9">
                  <c:v>1.5213695345376017</c:v>
                </c:pt>
                <c:pt idx="10">
                  <c:v>1.521376769087182</c:v>
                </c:pt>
                <c:pt idx="11">
                  <c:v>1.5213788584038939</c:v>
                </c:pt>
                <c:pt idx="12">
                  <c:v>1.5213794617901568</c:v>
                </c:pt>
                <c:pt idx="13">
                  <c:v>1.5213796360454928</c:v>
                </c:pt>
                <c:pt idx="14">
                  <c:v>1.521379686369662</c:v>
                </c:pt>
              </c:numCache>
            </c:numRef>
          </c:xVal>
          <c:yVal>
            <c:numRef>
              <c:f>'False Position'!$G$7:$G$21</c:f>
              <c:numCache>
                <c:formatCode>General</c:formatCode>
                <c:ptCount val="15"/>
                <c:pt idx="0">
                  <c:v>-2</c:v>
                </c:pt>
                <c:pt idx="1">
                  <c:v>-0.96296296296296302</c:v>
                </c:pt>
                <c:pt idx="2">
                  <c:v>-0.33333887479510449</c:v>
                </c:pt>
                <c:pt idx="3">
                  <c:v>-0.10181797660388914</c:v>
                </c:pt>
                <c:pt idx="4">
                  <c:v>-2.9894804419271059E-2</c:v>
                </c:pt>
                <c:pt idx="5">
                  <c:v>-8.6750658505221345E-3</c:v>
                </c:pt>
                <c:pt idx="6">
                  <c:v>-2.5088051351807028E-3</c:v>
                </c:pt>
                <c:pt idx="7">
                  <c:v>-7.2482277863672451E-4</c:v>
                </c:pt>
                <c:pt idx="8">
                  <c:v>-2.093498670585614E-4</c:v>
                </c:pt>
                <c:pt idx="9">
                  <c:v>-6.0461332529460066E-5</c:v>
                </c:pt>
                <c:pt idx="10">
                  <c:v>-1.7461131825324827E-5</c:v>
                </c:pt>
                <c:pt idx="11">
                  <c:v>-5.0427109987705165E-6</c:v>
                </c:pt>
                <c:pt idx="12">
                  <c:v>-1.4563135968259644E-6</c:v>
                </c:pt>
                <c:pt idx="13">
                  <c:v>-4.2057696170161307E-7</c:v>
                </c:pt>
                <c:pt idx="14">
                  <c:v>-1.2146075789587485E-7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AE0-4387-BF5A-99A8F507BDEB}"/>
            </c:ext>
          </c:extLst>
        </c:ser>
        <c:ser>
          <c:idx val="1"/>
          <c:order val="1"/>
          <c:tx>
            <c:strRef>
              <c:f>'False Position'!$F$6</c:f>
              <c:strCache>
                <c:ptCount val="1"/>
                <c:pt idx="0">
                  <c:v>Upper</c:v>
                </c:pt>
              </c:strCache>
            </c:strRef>
          </c:tx>
          <c:spPr>
            <a:ln w="158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'False Position'!$F$7:$F$21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</c:numCache>
            </c:numRef>
          </c:xVal>
          <c:yVal>
            <c:numRef>
              <c:f>'False Position'!$H$7:$H$21</c:f>
              <c:numCache>
                <c:formatCode>General</c:formatCode>
                <c:ptCount val="15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AE0-4387-BF5A-99A8F507BDEB}"/>
            </c:ext>
          </c:extLst>
        </c:ser>
        <c:ser>
          <c:idx val="2"/>
          <c:order val="2"/>
          <c:tx>
            <c:strRef>
              <c:f>'False Position'!$I$6</c:f>
              <c:strCache>
                <c:ptCount val="1"/>
                <c:pt idx="0">
                  <c:v>False Position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'False Position'!$I$7:$I$21</c:f>
              <c:numCache>
                <c:formatCode>General</c:formatCode>
                <c:ptCount val="15"/>
                <c:pt idx="0">
                  <c:v>1.3333333333333333</c:v>
                </c:pt>
                <c:pt idx="1">
                  <c:v>1.4626865671641791</c:v>
                </c:pt>
                <c:pt idx="2">
                  <c:v>1.504019003949949</c:v>
                </c:pt>
                <c:pt idx="3">
                  <c:v>1.5163305647602632</c:v>
                </c:pt>
                <c:pt idx="4">
                  <c:v>1.5199185500233559</c:v>
                </c:pt>
                <c:pt idx="5">
                  <c:v>1.5209574813719307</c:v>
                </c:pt>
                <c:pt idx="6">
                  <c:v>1.5212577491262858</c:v>
                </c:pt>
                <c:pt idx="7">
                  <c:v>1.5213444842315231</c:v>
                </c:pt>
                <c:pt idx="8">
                  <c:v>1.5213695345376017</c:v>
                </c:pt>
                <c:pt idx="9">
                  <c:v>1.521376769087182</c:v>
                </c:pt>
                <c:pt idx="10">
                  <c:v>1.5213788584038939</c:v>
                </c:pt>
                <c:pt idx="11">
                  <c:v>1.5213794617901568</c:v>
                </c:pt>
                <c:pt idx="12">
                  <c:v>1.5213796360454928</c:v>
                </c:pt>
                <c:pt idx="13">
                  <c:v>1.521379686369662</c:v>
                </c:pt>
                <c:pt idx="14">
                  <c:v>1.5213797009030581</c:v>
                </c:pt>
              </c:numCache>
            </c:numRef>
          </c:xVal>
          <c:yVal>
            <c:numRef>
              <c:f>'False Position'!$J$7:$J$21</c:f>
              <c:numCache>
                <c:formatCode>General</c:formatCode>
                <c:ptCount val="15"/>
                <c:pt idx="0">
                  <c:v>-0.96296296296296302</c:v>
                </c:pt>
                <c:pt idx="1">
                  <c:v>-0.33333887479510449</c:v>
                </c:pt>
                <c:pt idx="2">
                  <c:v>-0.10181797660388914</c:v>
                </c:pt>
                <c:pt idx="3">
                  <c:v>-2.9894804419271059E-2</c:v>
                </c:pt>
                <c:pt idx="4">
                  <c:v>-8.6750658505221345E-3</c:v>
                </c:pt>
                <c:pt idx="5">
                  <c:v>-2.5088051351807028E-3</c:v>
                </c:pt>
                <c:pt idx="6">
                  <c:v>-7.2482277863672451E-4</c:v>
                </c:pt>
                <c:pt idx="7">
                  <c:v>-2.093498670585614E-4</c:v>
                </c:pt>
                <c:pt idx="8">
                  <c:v>-6.0461332529460066E-5</c:v>
                </c:pt>
                <c:pt idx="9">
                  <c:v>-1.7461131825324827E-5</c:v>
                </c:pt>
                <c:pt idx="10">
                  <c:v>-5.0427109987705165E-6</c:v>
                </c:pt>
                <c:pt idx="11">
                  <c:v>-1.4563135968259644E-6</c:v>
                </c:pt>
                <c:pt idx="12">
                  <c:v>-4.2057696170161307E-7</c:v>
                </c:pt>
                <c:pt idx="13">
                  <c:v>-1.2146075789587485E-7</c:v>
                </c:pt>
                <c:pt idx="14">
                  <c:v>-3.5077325266641424E-8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AE0-4387-BF5A-99A8F507BDEB}"/>
            </c:ext>
          </c:extLst>
        </c:ser>
        <c:ser>
          <c:idx val="3"/>
          <c:order val="3"/>
          <c:tx>
            <c:strRef>
              <c:f>'False Position'!$B$6</c:f>
              <c:strCache>
                <c:ptCount val="1"/>
                <c:pt idx="0">
                  <c:v>f(x)</c:v>
                </c:pt>
              </c:strCache>
            </c:strRef>
          </c:tx>
          <c:spPr>
            <a:ln w="952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  <a:round/>
              </a:ln>
              <a:effectLst/>
            </c:spPr>
          </c:marker>
          <c:xVal>
            <c:numRef>
              <c:f>Bisection!$A$7:$A$106</c:f>
              <c:numCache>
                <c:formatCode>General</c:formatCode>
                <c:ptCount val="100"/>
                <c:pt idx="0">
                  <c:v>-5</c:v>
                </c:pt>
                <c:pt idx="1">
                  <c:v>-4.9000000000000004</c:v>
                </c:pt>
                <c:pt idx="2">
                  <c:v>-4.8</c:v>
                </c:pt>
                <c:pt idx="3">
                  <c:v>-4.7</c:v>
                </c:pt>
                <c:pt idx="4">
                  <c:v>-4.5999999999999996</c:v>
                </c:pt>
                <c:pt idx="5">
                  <c:v>-4.5</c:v>
                </c:pt>
                <c:pt idx="6">
                  <c:v>-4.4000000000000004</c:v>
                </c:pt>
                <c:pt idx="7">
                  <c:v>-4.3</c:v>
                </c:pt>
                <c:pt idx="8">
                  <c:v>-4.2</c:v>
                </c:pt>
                <c:pt idx="9">
                  <c:v>-4.0999999999999996</c:v>
                </c:pt>
                <c:pt idx="10">
                  <c:v>-4</c:v>
                </c:pt>
                <c:pt idx="11">
                  <c:v>-3.9</c:v>
                </c:pt>
                <c:pt idx="12">
                  <c:v>-3.8</c:v>
                </c:pt>
                <c:pt idx="13">
                  <c:v>-3.7</c:v>
                </c:pt>
                <c:pt idx="14">
                  <c:v>-3.6</c:v>
                </c:pt>
                <c:pt idx="15">
                  <c:v>-3.5000000000000102</c:v>
                </c:pt>
                <c:pt idx="16">
                  <c:v>-3.4000000000000101</c:v>
                </c:pt>
                <c:pt idx="17">
                  <c:v>-3.30000000000001</c:v>
                </c:pt>
                <c:pt idx="18">
                  <c:v>-3.2000000000000099</c:v>
                </c:pt>
                <c:pt idx="19">
                  <c:v>-3.1000000000000099</c:v>
                </c:pt>
                <c:pt idx="20">
                  <c:v>-3.0000000000000102</c:v>
                </c:pt>
                <c:pt idx="21">
                  <c:v>-2.9000000000000101</c:v>
                </c:pt>
                <c:pt idx="22">
                  <c:v>-2.80000000000001</c:v>
                </c:pt>
                <c:pt idx="23">
                  <c:v>-2.7000000000000099</c:v>
                </c:pt>
                <c:pt idx="24">
                  <c:v>-2.6000000000000099</c:v>
                </c:pt>
                <c:pt idx="25">
                  <c:v>-2.5000000000000102</c:v>
                </c:pt>
                <c:pt idx="26">
                  <c:v>-2.4000000000000101</c:v>
                </c:pt>
                <c:pt idx="27">
                  <c:v>-2.30000000000001</c:v>
                </c:pt>
                <c:pt idx="28">
                  <c:v>-2.2000000000000099</c:v>
                </c:pt>
                <c:pt idx="29">
                  <c:v>-2.1000000000000099</c:v>
                </c:pt>
                <c:pt idx="30">
                  <c:v>-2.0000000000000102</c:v>
                </c:pt>
                <c:pt idx="31">
                  <c:v>-1.9000000000000099</c:v>
                </c:pt>
                <c:pt idx="32">
                  <c:v>-1.80000000000001</c:v>
                </c:pt>
                <c:pt idx="33">
                  <c:v>-1.7000000000000099</c:v>
                </c:pt>
                <c:pt idx="34">
                  <c:v>-1.6000000000000101</c:v>
                </c:pt>
                <c:pt idx="35">
                  <c:v>-1.50000000000001</c:v>
                </c:pt>
                <c:pt idx="36">
                  <c:v>-1.4000000000000099</c:v>
                </c:pt>
                <c:pt idx="37">
                  <c:v>-1.30000000000001</c:v>
                </c:pt>
                <c:pt idx="38">
                  <c:v>-1.2000000000000099</c:v>
                </c:pt>
                <c:pt idx="39">
                  <c:v>-1.1000000000000101</c:v>
                </c:pt>
                <c:pt idx="40">
                  <c:v>-1.00000000000001</c:v>
                </c:pt>
                <c:pt idx="41">
                  <c:v>-0.90000000000001001</c:v>
                </c:pt>
                <c:pt idx="42">
                  <c:v>-0.80000000000001004</c:v>
                </c:pt>
                <c:pt idx="43">
                  <c:v>-0.70000000000002005</c:v>
                </c:pt>
                <c:pt idx="44">
                  <c:v>-0.60000000000001996</c:v>
                </c:pt>
                <c:pt idx="45">
                  <c:v>-0.50000000000001998</c:v>
                </c:pt>
                <c:pt idx="46">
                  <c:v>-0.40000000000002001</c:v>
                </c:pt>
                <c:pt idx="47">
                  <c:v>-0.30000000000001997</c:v>
                </c:pt>
                <c:pt idx="48">
                  <c:v>-0.20000000000002</c:v>
                </c:pt>
                <c:pt idx="49">
                  <c:v>-0.10000000000002</c:v>
                </c:pt>
                <c:pt idx="50">
                  <c:v>-2.0428103653102899E-14</c:v>
                </c:pt>
                <c:pt idx="51">
                  <c:v>9.9999999999980105E-2</c:v>
                </c:pt>
                <c:pt idx="52">
                  <c:v>0.19999999999998</c:v>
                </c:pt>
                <c:pt idx="53">
                  <c:v>0.29999999999998</c:v>
                </c:pt>
                <c:pt idx="54">
                  <c:v>0.39999999999997998</c:v>
                </c:pt>
                <c:pt idx="55">
                  <c:v>0.49999999999998002</c:v>
                </c:pt>
                <c:pt idx="56">
                  <c:v>0.59999999999997999</c:v>
                </c:pt>
                <c:pt idx="57">
                  <c:v>0.69999999999997997</c:v>
                </c:pt>
                <c:pt idx="58">
                  <c:v>0.79999999999997995</c:v>
                </c:pt>
                <c:pt idx="59">
                  <c:v>0.89999999999998004</c:v>
                </c:pt>
                <c:pt idx="60">
                  <c:v>0.99999999999998002</c:v>
                </c:pt>
                <c:pt idx="61">
                  <c:v>1.0999999999999801</c:v>
                </c:pt>
                <c:pt idx="62">
                  <c:v>1.19999999999998</c:v>
                </c:pt>
                <c:pt idx="63">
                  <c:v>1.2999999999999801</c:v>
                </c:pt>
                <c:pt idx="64">
                  <c:v>1.3999999999999799</c:v>
                </c:pt>
                <c:pt idx="65">
                  <c:v>1.49999999999998</c:v>
                </c:pt>
                <c:pt idx="66">
                  <c:v>1.5999999999999801</c:v>
                </c:pt>
                <c:pt idx="67">
                  <c:v>1.69999999999998</c:v>
                </c:pt>
                <c:pt idx="68">
                  <c:v>1.7999999999999801</c:v>
                </c:pt>
                <c:pt idx="69">
                  <c:v>1.8999999999999799</c:v>
                </c:pt>
                <c:pt idx="70">
                  <c:v>1.99999999999998</c:v>
                </c:pt>
                <c:pt idx="71">
                  <c:v>2.0999999999999699</c:v>
                </c:pt>
                <c:pt idx="72">
                  <c:v>2.19999999999997</c:v>
                </c:pt>
                <c:pt idx="73">
                  <c:v>2.2999999999999701</c:v>
                </c:pt>
                <c:pt idx="74">
                  <c:v>2.3999999999999702</c:v>
                </c:pt>
                <c:pt idx="75">
                  <c:v>2.4999999999999698</c:v>
                </c:pt>
                <c:pt idx="76">
                  <c:v>2.5999999999999699</c:v>
                </c:pt>
                <c:pt idx="77">
                  <c:v>2.69999999999997</c:v>
                </c:pt>
                <c:pt idx="78">
                  <c:v>2.7999999999999701</c:v>
                </c:pt>
                <c:pt idx="79">
                  <c:v>2.8999999999999702</c:v>
                </c:pt>
                <c:pt idx="80">
                  <c:v>2.9999999999999698</c:v>
                </c:pt>
                <c:pt idx="81">
                  <c:v>3.0999999999999699</c:v>
                </c:pt>
                <c:pt idx="82">
                  <c:v>3.19999999999997</c:v>
                </c:pt>
                <c:pt idx="83">
                  <c:v>3.2999999999999701</c:v>
                </c:pt>
                <c:pt idx="84">
                  <c:v>3.3999999999999702</c:v>
                </c:pt>
                <c:pt idx="85">
                  <c:v>3.4999999999999698</c:v>
                </c:pt>
                <c:pt idx="86">
                  <c:v>3.5999999999999699</c:v>
                </c:pt>
                <c:pt idx="87">
                  <c:v>3.69999999999997</c:v>
                </c:pt>
                <c:pt idx="88">
                  <c:v>3.7999999999999701</c:v>
                </c:pt>
                <c:pt idx="89">
                  <c:v>3.8999999999999702</c:v>
                </c:pt>
                <c:pt idx="90">
                  <c:v>3.9999999999999698</c:v>
                </c:pt>
                <c:pt idx="91">
                  <c:v>4.0999999999999703</c:v>
                </c:pt>
                <c:pt idx="92">
                  <c:v>4.19999999999997</c:v>
                </c:pt>
                <c:pt idx="93">
                  <c:v>4.2999999999999696</c:v>
                </c:pt>
                <c:pt idx="94">
                  <c:v>4.3999999999999702</c:v>
                </c:pt>
                <c:pt idx="95">
                  <c:v>4.4999999999999698</c:v>
                </c:pt>
                <c:pt idx="96">
                  <c:v>4.5999999999999703</c:v>
                </c:pt>
                <c:pt idx="97">
                  <c:v>4.69999999999997</c:v>
                </c:pt>
                <c:pt idx="98">
                  <c:v>4.7999999999999696</c:v>
                </c:pt>
                <c:pt idx="99">
                  <c:v>4.8999999999999604</c:v>
                </c:pt>
              </c:numCache>
            </c:numRef>
          </c:xVal>
          <c:yVal>
            <c:numRef>
              <c:f>Bisection!$B$7:$B$106</c:f>
              <c:numCache>
                <c:formatCode>General</c:formatCode>
                <c:ptCount val="100"/>
                <c:pt idx="0">
                  <c:v>-122</c:v>
                </c:pt>
                <c:pt idx="1">
                  <c:v>-114.74900000000002</c:v>
                </c:pt>
                <c:pt idx="2">
                  <c:v>-107.792</c:v>
                </c:pt>
                <c:pt idx="3">
                  <c:v>-101.12300000000002</c:v>
                </c:pt>
                <c:pt idx="4">
                  <c:v>-94.735999999999976</c:v>
                </c:pt>
                <c:pt idx="5">
                  <c:v>-88.625</c:v>
                </c:pt>
                <c:pt idx="6">
                  <c:v>-82.78400000000002</c:v>
                </c:pt>
                <c:pt idx="7">
                  <c:v>-77.206999999999994</c:v>
                </c:pt>
                <c:pt idx="8">
                  <c:v>-71.888000000000005</c:v>
                </c:pt>
                <c:pt idx="9">
                  <c:v>-66.820999999999998</c:v>
                </c:pt>
                <c:pt idx="10">
                  <c:v>-62</c:v>
                </c:pt>
                <c:pt idx="11">
                  <c:v>-57.418999999999997</c:v>
                </c:pt>
                <c:pt idx="12">
                  <c:v>-53.071999999999996</c:v>
                </c:pt>
                <c:pt idx="13">
                  <c:v>-48.953000000000003</c:v>
                </c:pt>
                <c:pt idx="14">
                  <c:v>-45.056000000000004</c:v>
                </c:pt>
                <c:pt idx="15">
                  <c:v>-41.375000000000369</c:v>
                </c:pt>
                <c:pt idx="16">
                  <c:v>-37.904000000000337</c:v>
                </c:pt>
                <c:pt idx="17">
                  <c:v>-34.63700000000032</c:v>
                </c:pt>
                <c:pt idx="18">
                  <c:v>-31.568000000000296</c:v>
                </c:pt>
                <c:pt idx="19">
                  <c:v>-28.691000000000276</c:v>
                </c:pt>
                <c:pt idx="20">
                  <c:v>-26.000000000000263</c:v>
                </c:pt>
                <c:pt idx="21">
                  <c:v>-23.489000000000246</c:v>
                </c:pt>
                <c:pt idx="22">
                  <c:v>-21.152000000000225</c:v>
                </c:pt>
                <c:pt idx="23">
                  <c:v>-18.983000000000207</c:v>
                </c:pt>
                <c:pt idx="24">
                  <c:v>-16.976000000000191</c:v>
                </c:pt>
                <c:pt idx="25">
                  <c:v>-15.125000000000181</c:v>
                </c:pt>
                <c:pt idx="26">
                  <c:v>-13.424000000000166</c:v>
                </c:pt>
                <c:pt idx="27">
                  <c:v>-11.86700000000015</c:v>
                </c:pt>
                <c:pt idx="28">
                  <c:v>-10.448000000000134</c:v>
                </c:pt>
                <c:pt idx="29">
                  <c:v>-9.1610000000001186</c:v>
                </c:pt>
                <c:pt idx="30">
                  <c:v>-8.0000000000001119</c:v>
                </c:pt>
                <c:pt idx="31">
                  <c:v>-6.9590000000000973</c:v>
                </c:pt>
                <c:pt idx="32">
                  <c:v>-6.0320000000000871</c:v>
                </c:pt>
                <c:pt idx="33">
                  <c:v>-5.2130000000000765</c:v>
                </c:pt>
                <c:pt idx="34">
                  <c:v>-4.4960000000000671</c:v>
                </c:pt>
                <c:pt idx="35">
                  <c:v>-3.8750000000000577</c:v>
                </c:pt>
                <c:pt idx="36">
                  <c:v>-3.3440000000000483</c:v>
                </c:pt>
                <c:pt idx="37">
                  <c:v>-2.8970000000000411</c:v>
                </c:pt>
                <c:pt idx="38">
                  <c:v>-2.5280000000000333</c:v>
                </c:pt>
                <c:pt idx="39">
                  <c:v>-2.2310000000000265</c:v>
                </c:pt>
                <c:pt idx="40">
                  <c:v>-2.00000000000002</c:v>
                </c:pt>
                <c:pt idx="41">
                  <c:v>-1.8290000000000144</c:v>
                </c:pt>
                <c:pt idx="42">
                  <c:v>-1.7120000000000093</c:v>
                </c:pt>
                <c:pt idx="43">
                  <c:v>-1.6430000000000096</c:v>
                </c:pt>
                <c:pt idx="44">
                  <c:v>-1.6160000000000017</c:v>
                </c:pt>
                <c:pt idx="45">
                  <c:v>-1.6249999999999951</c:v>
                </c:pt>
                <c:pt idx="46">
                  <c:v>-1.6639999999999895</c:v>
                </c:pt>
                <c:pt idx="47">
                  <c:v>-1.7269999999999854</c:v>
                </c:pt>
                <c:pt idx="48">
                  <c:v>-1.8079999999999825</c:v>
                </c:pt>
                <c:pt idx="49">
                  <c:v>-1.9009999999999807</c:v>
                </c:pt>
                <c:pt idx="50">
                  <c:v>-1.9999999999999796</c:v>
                </c:pt>
                <c:pt idx="51">
                  <c:v>-2.0989999999999807</c:v>
                </c:pt>
                <c:pt idx="52">
                  <c:v>-2.1919999999999824</c:v>
                </c:pt>
                <c:pt idx="53">
                  <c:v>-2.2729999999999855</c:v>
                </c:pt>
                <c:pt idx="54">
                  <c:v>-2.3359999999999896</c:v>
                </c:pt>
                <c:pt idx="55">
                  <c:v>-2.3749999999999951</c:v>
                </c:pt>
                <c:pt idx="56">
                  <c:v>-2.3840000000000017</c:v>
                </c:pt>
                <c:pt idx="57">
                  <c:v>-2.3570000000000095</c:v>
                </c:pt>
                <c:pt idx="58">
                  <c:v>-2.2880000000000185</c:v>
                </c:pt>
                <c:pt idx="59">
                  <c:v>-2.1710000000000287</c:v>
                </c:pt>
                <c:pt idx="60">
                  <c:v>-2.00000000000004</c:v>
                </c:pt>
                <c:pt idx="61">
                  <c:v>-1.7690000000000523</c:v>
                </c:pt>
                <c:pt idx="62">
                  <c:v>-1.4720000000000664</c:v>
                </c:pt>
                <c:pt idx="63">
                  <c:v>-1.1030000000000812</c:v>
                </c:pt>
                <c:pt idx="64">
                  <c:v>-0.65600000000009784</c:v>
                </c:pt>
                <c:pt idx="65">
                  <c:v>-0.12500000000011502</c:v>
                </c:pt>
                <c:pt idx="66">
                  <c:v>0.49599999999986721</c:v>
                </c:pt>
                <c:pt idx="67">
                  <c:v>1.2129999999998464</c:v>
                </c:pt>
                <c:pt idx="68">
                  <c:v>2.0319999999998259</c:v>
                </c:pt>
                <c:pt idx="69">
                  <c:v>2.9589999999998033</c:v>
                </c:pt>
                <c:pt idx="70">
                  <c:v>3.9999999999997797</c:v>
                </c:pt>
                <c:pt idx="71">
                  <c:v>5.1609999999996319</c:v>
                </c:pt>
                <c:pt idx="72">
                  <c:v>6.4479999999995918</c:v>
                </c:pt>
                <c:pt idx="73">
                  <c:v>7.866999999999555</c:v>
                </c:pt>
                <c:pt idx="74">
                  <c:v>9.4239999999995145</c:v>
                </c:pt>
                <c:pt idx="75">
                  <c:v>11.124999999999464</c:v>
                </c:pt>
                <c:pt idx="76">
                  <c:v>12.97599999999942</c:v>
                </c:pt>
                <c:pt idx="77">
                  <c:v>14.982999999999372</c:v>
                </c:pt>
                <c:pt idx="78">
                  <c:v>17.151999999999326</c:v>
                </c:pt>
                <c:pt idx="79">
                  <c:v>19.488999999999276</c:v>
                </c:pt>
                <c:pt idx="80">
                  <c:v>21.999999999999211</c:v>
                </c:pt>
                <c:pt idx="81">
                  <c:v>24.690999999999161</c:v>
                </c:pt>
                <c:pt idx="82">
                  <c:v>27.567999999999106</c:v>
                </c:pt>
                <c:pt idx="83">
                  <c:v>30.636999999999048</c:v>
                </c:pt>
                <c:pt idx="84">
                  <c:v>33.903999999998994</c:v>
                </c:pt>
                <c:pt idx="85">
                  <c:v>37.37499999999892</c:v>
                </c:pt>
                <c:pt idx="86">
                  <c:v>41.055999999998853</c:v>
                </c:pt>
                <c:pt idx="87">
                  <c:v>44.952999999998795</c:v>
                </c:pt>
                <c:pt idx="88">
                  <c:v>49.071999999998731</c:v>
                </c:pt>
                <c:pt idx="89">
                  <c:v>53.418999999998668</c:v>
                </c:pt>
                <c:pt idx="90">
                  <c:v>57.999999999998579</c:v>
                </c:pt>
                <c:pt idx="91">
                  <c:v>62.820999999998534</c:v>
                </c:pt>
                <c:pt idx="92">
                  <c:v>67.887999999998442</c:v>
                </c:pt>
                <c:pt idx="93">
                  <c:v>73.206999999998345</c:v>
                </c:pt>
                <c:pt idx="94">
                  <c:v>78.783999999998287</c:v>
                </c:pt>
                <c:pt idx="95">
                  <c:v>84.624999999998195</c:v>
                </c:pt>
                <c:pt idx="96">
                  <c:v>90.735999999998143</c:v>
                </c:pt>
                <c:pt idx="97">
                  <c:v>97.122999999998044</c:v>
                </c:pt>
                <c:pt idx="98">
                  <c:v>103.79199999999793</c:v>
                </c:pt>
                <c:pt idx="99">
                  <c:v>110.74899999999718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AE0-4387-BF5A-99A8F507BD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9839392"/>
        <c:axId val="1329840112"/>
      </c:scatterChart>
      <c:valAx>
        <c:axId val="1329839392"/>
        <c:scaling>
          <c:orientation val="minMax"/>
          <c:max val="3"/>
          <c:min val="-1"/>
        </c:scaling>
        <c:delete val="0"/>
        <c:axPos val="b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29840112"/>
        <c:crosses val="autoZero"/>
        <c:crossBetween val="midCat"/>
      </c:valAx>
      <c:valAx>
        <c:axId val="1329840112"/>
        <c:scaling>
          <c:orientation val="minMax"/>
          <c:max val="5"/>
          <c:min val="-5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29839392"/>
        <c:crosses val="autoZero"/>
        <c:crossBetween val="midCat"/>
      </c:valAx>
      <c:spPr>
        <a:noFill/>
        <a:ln>
          <a:solidFill>
            <a:schemeClr val="bg2">
              <a:lumMod val="75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>
          <a:lumMod val="7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1600" b="1"/>
              <a:t>Convergence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'Modified False Position'!$E$6</c:f>
              <c:strCache>
                <c:ptCount val="1"/>
                <c:pt idx="0">
                  <c:v>Lower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'Modified False Position'!$D$7:$D$21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'Modified False Position'!$E$7:$E$21</c:f>
              <c:numCache>
                <c:formatCode>General</c:formatCode>
                <c:ptCount val="15"/>
                <c:pt idx="0">
                  <c:v>1</c:v>
                </c:pt>
                <c:pt idx="1">
                  <c:v>1.3333333333333335</c:v>
                </c:pt>
                <c:pt idx="2">
                  <c:v>1.4626865671641791</c:v>
                </c:pt>
                <c:pt idx="3">
                  <c:v>1.5040190039499488</c:v>
                </c:pt>
                <c:pt idx="4">
                  <c:v>1.516330564760263</c:v>
                </c:pt>
                <c:pt idx="5">
                  <c:v>1.5199185500233561</c:v>
                </c:pt>
                <c:pt idx="6">
                  <c:v>1.5209574813719304</c:v>
                </c:pt>
                <c:pt idx="7">
                  <c:v>1.5212577491262855</c:v>
                </c:pt>
                <c:pt idx="8">
                  <c:v>1.5213444842315229</c:v>
                </c:pt>
                <c:pt idx="9">
                  <c:v>1.5213695345376017</c:v>
                </c:pt>
                <c:pt idx="10">
                  <c:v>1.5213767690871818</c:v>
                </c:pt>
                <c:pt idx="11">
                  <c:v>1.5213788584038939</c:v>
                </c:pt>
                <c:pt idx="12">
                  <c:v>1.521379461790157</c:v>
                </c:pt>
                <c:pt idx="13">
                  <c:v>1.5213796360454928</c:v>
                </c:pt>
                <c:pt idx="14">
                  <c:v>1.521379686369662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18-42BB-A22F-40CC2B73D7B6}"/>
            </c:ext>
          </c:extLst>
        </c:ser>
        <c:ser>
          <c:idx val="1"/>
          <c:order val="1"/>
          <c:tx>
            <c:strRef>
              <c:f>'Modified False Position'!$F$6</c:f>
              <c:strCache>
                <c:ptCount val="1"/>
                <c:pt idx="0">
                  <c:v>Upper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'Modified False Position'!$D$7:$D$21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'Modified False Position'!$F$7:$F$21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D18-42BB-A22F-40CC2B73D7B6}"/>
            </c:ext>
          </c:extLst>
        </c:ser>
        <c:ser>
          <c:idx val="2"/>
          <c:order val="2"/>
          <c:tx>
            <c:strRef>
              <c:f>'Modified False Position'!$I$6</c:f>
              <c:strCache>
                <c:ptCount val="1"/>
                <c:pt idx="0">
                  <c:v>x_new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'Modified False Position'!$D$7:$D$21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'Modified False Position'!$I$7:$I$21</c:f>
              <c:numCache>
                <c:formatCode>General</c:formatCode>
                <c:ptCount val="15"/>
                <c:pt idx="0">
                  <c:v>1.3333333333333335</c:v>
                </c:pt>
                <c:pt idx="1">
                  <c:v>1.4626865671641791</c:v>
                </c:pt>
                <c:pt idx="2">
                  <c:v>1.5040190039499488</c:v>
                </c:pt>
                <c:pt idx="3">
                  <c:v>1.516330564760263</c:v>
                </c:pt>
                <c:pt idx="4">
                  <c:v>1.5199185500233561</c:v>
                </c:pt>
                <c:pt idx="5">
                  <c:v>1.5209574813719304</c:v>
                </c:pt>
                <c:pt idx="6">
                  <c:v>1.5212577491262855</c:v>
                </c:pt>
                <c:pt idx="7">
                  <c:v>1.5213444842315229</c:v>
                </c:pt>
                <c:pt idx="8">
                  <c:v>1.5213695345376017</c:v>
                </c:pt>
                <c:pt idx="9">
                  <c:v>1.5213767690871818</c:v>
                </c:pt>
                <c:pt idx="10">
                  <c:v>1.5213788584038939</c:v>
                </c:pt>
                <c:pt idx="11">
                  <c:v>1.521379461790157</c:v>
                </c:pt>
                <c:pt idx="12">
                  <c:v>1.5213796360454928</c:v>
                </c:pt>
                <c:pt idx="13">
                  <c:v>1.521379686369662</c:v>
                </c:pt>
                <c:pt idx="14">
                  <c:v>1.5213797009030581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D18-42BB-A22F-40CC2B73D7B6}"/>
            </c:ext>
          </c:extLst>
        </c:ser>
        <c:ser>
          <c:idx val="3"/>
          <c:order val="3"/>
          <c:tx>
            <c:strRef>
              <c:f>'Modified False Position'!$K$6</c:f>
              <c:strCache>
                <c:ptCount val="1"/>
                <c:pt idx="0">
                  <c:v>Error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'Modified False Position'!$D$7:$D$21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'Modified False Position'!$K$7:$K$21</c:f>
              <c:numCache>
                <c:formatCode>General</c:formatCode>
                <c:ptCount val="15"/>
                <c:pt idx="0">
                  <c:v>1</c:v>
                </c:pt>
                <c:pt idx="1">
                  <c:v>0.12935323383084563</c:v>
                </c:pt>
                <c:pt idx="2">
                  <c:v>4.1332436785769699E-2</c:v>
                </c:pt>
                <c:pt idx="3">
                  <c:v>1.2311560810314148E-2</c:v>
                </c:pt>
                <c:pt idx="4">
                  <c:v>3.5879852630931186E-3</c:v>
                </c:pt>
                <c:pt idx="5">
                  <c:v>1.0389313485743568E-3</c:v>
                </c:pt>
                <c:pt idx="6">
                  <c:v>3.0026775435509911E-4</c:v>
                </c:pt>
                <c:pt idx="7">
                  <c:v>8.6735105237378818E-5</c:v>
                </c:pt>
                <c:pt idx="8">
                  <c:v>2.5050306078799878E-5</c:v>
                </c:pt>
                <c:pt idx="9">
                  <c:v>7.2345495800707482E-6</c:v>
                </c:pt>
                <c:pt idx="10">
                  <c:v>2.0893167120838996E-6</c:v>
                </c:pt>
                <c:pt idx="11">
                  <c:v>6.0338626317602007E-7</c:v>
                </c:pt>
                <c:pt idx="12">
                  <c:v>1.7425533571646667E-7</c:v>
                </c:pt>
                <c:pt idx="13">
                  <c:v>5.0324169276194652E-8</c:v>
                </c:pt>
                <c:pt idx="14">
                  <c:v>1.4533396042182289E-8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D18-42BB-A22F-40CC2B73D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9839392"/>
        <c:axId val="1329840112"/>
      </c:scatterChart>
      <c:valAx>
        <c:axId val="1329839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title>
          <c:tx>
            <c:strRef>
              <c:f>Bisection!$D$6</c:f>
              <c:strCache>
                <c:ptCount val="1"/>
                <c:pt idx="0">
                  <c:v>Iteration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29840112"/>
        <c:crosses val="autoZero"/>
        <c:crossBetween val="midCat"/>
      </c:valAx>
      <c:valAx>
        <c:axId val="132984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Value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29839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>
          <a:lumMod val="7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Modified False Position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'Modified False Position'!$E$6</c:f>
              <c:strCache>
                <c:ptCount val="1"/>
                <c:pt idx="0">
                  <c:v>Lower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'Modified False Position'!$E$7:$E$21</c:f>
              <c:numCache>
                <c:formatCode>General</c:formatCode>
                <c:ptCount val="15"/>
                <c:pt idx="0">
                  <c:v>1</c:v>
                </c:pt>
                <c:pt idx="1">
                  <c:v>1.3333333333333335</c:v>
                </c:pt>
                <c:pt idx="2">
                  <c:v>1.4626865671641791</c:v>
                </c:pt>
                <c:pt idx="3">
                  <c:v>1.5040190039499488</c:v>
                </c:pt>
                <c:pt idx="4">
                  <c:v>1.516330564760263</c:v>
                </c:pt>
                <c:pt idx="5">
                  <c:v>1.5199185500233561</c:v>
                </c:pt>
                <c:pt idx="6">
                  <c:v>1.5209574813719304</c:v>
                </c:pt>
                <c:pt idx="7">
                  <c:v>1.5212577491262855</c:v>
                </c:pt>
                <c:pt idx="8">
                  <c:v>1.5213444842315229</c:v>
                </c:pt>
                <c:pt idx="9">
                  <c:v>1.5213695345376017</c:v>
                </c:pt>
                <c:pt idx="10">
                  <c:v>1.5213767690871818</c:v>
                </c:pt>
                <c:pt idx="11">
                  <c:v>1.5213788584038939</c:v>
                </c:pt>
                <c:pt idx="12">
                  <c:v>1.521379461790157</c:v>
                </c:pt>
                <c:pt idx="13">
                  <c:v>1.5213796360454928</c:v>
                </c:pt>
                <c:pt idx="14">
                  <c:v>1.521379686369662</c:v>
                </c:pt>
              </c:numCache>
            </c:numRef>
          </c:xVal>
          <c:yVal>
            <c:numRef>
              <c:f>'Modified False Position'!$G$7:$G$21</c:f>
              <c:numCache>
                <c:formatCode>General</c:formatCode>
                <c:ptCount val="15"/>
                <c:pt idx="0">
                  <c:v>-2</c:v>
                </c:pt>
                <c:pt idx="1">
                  <c:v>-0.96296296296296235</c:v>
                </c:pt>
                <c:pt idx="2">
                  <c:v>-0.33333887479510449</c:v>
                </c:pt>
                <c:pt idx="3">
                  <c:v>-0.10181797660389069</c:v>
                </c:pt>
                <c:pt idx="4">
                  <c:v>-2.9894804419272614E-2</c:v>
                </c:pt>
                <c:pt idx="5">
                  <c:v>-8.6750658505205802E-3</c:v>
                </c:pt>
                <c:pt idx="6">
                  <c:v>-2.5088051351813689E-3</c:v>
                </c:pt>
                <c:pt idx="7">
                  <c:v>-7.2482277863739064E-4</c:v>
                </c:pt>
                <c:pt idx="8">
                  <c:v>-2.0934986706011571E-4</c:v>
                </c:pt>
                <c:pt idx="9">
                  <c:v>-6.0461332529460066E-5</c:v>
                </c:pt>
                <c:pt idx="10">
                  <c:v>-1.746113182643505E-5</c:v>
                </c:pt>
                <c:pt idx="11">
                  <c:v>-5.0427109987705165E-6</c:v>
                </c:pt>
                <c:pt idx="12">
                  <c:v>-1.4563135952716522E-6</c:v>
                </c:pt>
                <c:pt idx="13">
                  <c:v>-4.2057696170161307E-7</c:v>
                </c:pt>
                <c:pt idx="14">
                  <c:v>-1.2146075789587485E-7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76-4A22-8B05-13EA58E08B94}"/>
            </c:ext>
          </c:extLst>
        </c:ser>
        <c:ser>
          <c:idx val="1"/>
          <c:order val="1"/>
          <c:tx>
            <c:strRef>
              <c:f>'Modified False Position'!$F$6</c:f>
              <c:strCache>
                <c:ptCount val="1"/>
                <c:pt idx="0">
                  <c:v>Upper</c:v>
                </c:pt>
              </c:strCache>
            </c:strRef>
          </c:tx>
          <c:spPr>
            <a:ln w="158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'Modified False Position'!$F$7:$F$21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</c:numCache>
            </c:numRef>
          </c:xVal>
          <c:yVal>
            <c:numRef>
              <c:f>'Modified False Position'!$H$7:$H$21</c:f>
              <c:numCache>
                <c:formatCode>General</c:formatCode>
                <c:ptCount val="15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776-4A22-8B05-13EA58E08B94}"/>
            </c:ext>
          </c:extLst>
        </c:ser>
        <c:ser>
          <c:idx val="2"/>
          <c:order val="2"/>
          <c:tx>
            <c:strRef>
              <c:f>'Modified False Position'!$I$6</c:f>
              <c:strCache>
                <c:ptCount val="1"/>
                <c:pt idx="0">
                  <c:v>x_new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'Modified False Position'!$I$7:$I$21</c:f>
              <c:numCache>
                <c:formatCode>General</c:formatCode>
                <c:ptCount val="15"/>
                <c:pt idx="0">
                  <c:v>1.3333333333333335</c:v>
                </c:pt>
                <c:pt idx="1">
                  <c:v>1.4626865671641791</c:v>
                </c:pt>
                <c:pt idx="2">
                  <c:v>1.5040190039499488</c:v>
                </c:pt>
                <c:pt idx="3">
                  <c:v>1.516330564760263</c:v>
                </c:pt>
                <c:pt idx="4">
                  <c:v>1.5199185500233561</c:v>
                </c:pt>
                <c:pt idx="5">
                  <c:v>1.5209574813719304</c:v>
                </c:pt>
                <c:pt idx="6">
                  <c:v>1.5212577491262855</c:v>
                </c:pt>
                <c:pt idx="7">
                  <c:v>1.5213444842315229</c:v>
                </c:pt>
                <c:pt idx="8">
                  <c:v>1.5213695345376017</c:v>
                </c:pt>
                <c:pt idx="9">
                  <c:v>1.5213767690871818</c:v>
                </c:pt>
                <c:pt idx="10">
                  <c:v>1.5213788584038939</c:v>
                </c:pt>
                <c:pt idx="11">
                  <c:v>1.521379461790157</c:v>
                </c:pt>
                <c:pt idx="12">
                  <c:v>1.5213796360454928</c:v>
                </c:pt>
                <c:pt idx="13">
                  <c:v>1.521379686369662</c:v>
                </c:pt>
                <c:pt idx="14">
                  <c:v>1.5213797009030581</c:v>
                </c:pt>
              </c:numCache>
            </c:numRef>
          </c:xVal>
          <c:yVal>
            <c:numRef>
              <c:f>'Modified False Position'!$J$7:$J$21</c:f>
              <c:numCache>
                <c:formatCode>General</c:formatCode>
                <c:ptCount val="15"/>
                <c:pt idx="0">
                  <c:v>-0.96296296296296235</c:v>
                </c:pt>
                <c:pt idx="1">
                  <c:v>-0.33333887479510449</c:v>
                </c:pt>
                <c:pt idx="2">
                  <c:v>-0.10181797660389069</c:v>
                </c:pt>
                <c:pt idx="3">
                  <c:v>-2.9894804419272614E-2</c:v>
                </c:pt>
                <c:pt idx="4">
                  <c:v>-8.6750658505205802E-3</c:v>
                </c:pt>
                <c:pt idx="5">
                  <c:v>-2.5088051351813689E-3</c:v>
                </c:pt>
                <c:pt idx="6">
                  <c:v>-7.2482277863739064E-4</c:v>
                </c:pt>
                <c:pt idx="7">
                  <c:v>-2.0934986706011571E-4</c:v>
                </c:pt>
                <c:pt idx="8">
                  <c:v>-6.0461332529460066E-5</c:v>
                </c:pt>
                <c:pt idx="9">
                  <c:v>-1.746113182643505E-5</c:v>
                </c:pt>
                <c:pt idx="10">
                  <c:v>-5.0427109987705165E-6</c:v>
                </c:pt>
                <c:pt idx="11">
                  <c:v>-1.4563135952716522E-6</c:v>
                </c:pt>
                <c:pt idx="12">
                  <c:v>-4.2057696170161307E-7</c:v>
                </c:pt>
                <c:pt idx="13">
                  <c:v>-1.2146075789587485E-7</c:v>
                </c:pt>
                <c:pt idx="14">
                  <c:v>-3.5077325266641424E-8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776-4A22-8B05-13EA58E08B94}"/>
            </c:ext>
          </c:extLst>
        </c:ser>
        <c:ser>
          <c:idx val="3"/>
          <c:order val="3"/>
          <c:tx>
            <c:strRef>
              <c:f>'Modified False Position'!$B$6</c:f>
              <c:strCache>
                <c:ptCount val="1"/>
                <c:pt idx="0">
                  <c:v>f(x)</c:v>
                </c:pt>
              </c:strCache>
            </c:strRef>
          </c:tx>
          <c:spPr>
            <a:ln w="952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  <a:round/>
              </a:ln>
              <a:effectLst/>
            </c:spPr>
          </c:marker>
          <c:xVal>
            <c:numRef>
              <c:f>'Modified False Position'!$A$7:$A$106</c:f>
              <c:numCache>
                <c:formatCode>General</c:formatCode>
                <c:ptCount val="100"/>
                <c:pt idx="0">
                  <c:v>-5</c:v>
                </c:pt>
                <c:pt idx="1">
                  <c:v>-4.9000000000000004</c:v>
                </c:pt>
                <c:pt idx="2">
                  <c:v>-4.8</c:v>
                </c:pt>
                <c:pt idx="3">
                  <c:v>-4.7</c:v>
                </c:pt>
                <c:pt idx="4">
                  <c:v>-4.5999999999999996</c:v>
                </c:pt>
                <c:pt idx="5">
                  <c:v>-4.5</c:v>
                </c:pt>
                <c:pt idx="6">
                  <c:v>-4.4000000000000004</c:v>
                </c:pt>
                <c:pt idx="7">
                  <c:v>-4.3</c:v>
                </c:pt>
                <c:pt idx="8">
                  <c:v>-4.2</c:v>
                </c:pt>
                <c:pt idx="9">
                  <c:v>-4.0999999999999996</c:v>
                </c:pt>
                <c:pt idx="10">
                  <c:v>-4</c:v>
                </c:pt>
                <c:pt idx="11">
                  <c:v>-3.9</c:v>
                </c:pt>
                <c:pt idx="12">
                  <c:v>-3.8</c:v>
                </c:pt>
                <c:pt idx="13">
                  <c:v>-3.7</c:v>
                </c:pt>
                <c:pt idx="14">
                  <c:v>-3.6</c:v>
                </c:pt>
                <c:pt idx="15">
                  <c:v>-3.5000000000000102</c:v>
                </c:pt>
                <c:pt idx="16">
                  <c:v>-3.4000000000000101</c:v>
                </c:pt>
                <c:pt idx="17">
                  <c:v>-3.30000000000001</c:v>
                </c:pt>
                <c:pt idx="18">
                  <c:v>-3.2000000000000099</c:v>
                </c:pt>
                <c:pt idx="19">
                  <c:v>-3.1000000000000099</c:v>
                </c:pt>
                <c:pt idx="20">
                  <c:v>-3.0000000000000102</c:v>
                </c:pt>
                <c:pt idx="21">
                  <c:v>-2.9000000000000101</c:v>
                </c:pt>
                <c:pt idx="22">
                  <c:v>-2.80000000000001</c:v>
                </c:pt>
                <c:pt idx="23">
                  <c:v>-2.7000000000000099</c:v>
                </c:pt>
                <c:pt idx="24">
                  <c:v>-2.6000000000000099</c:v>
                </c:pt>
                <c:pt idx="25">
                  <c:v>-2.5000000000000102</c:v>
                </c:pt>
                <c:pt idx="26">
                  <c:v>-2.4000000000000101</c:v>
                </c:pt>
                <c:pt idx="27">
                  <c:v>-2.30000000000001</c:v>
                </c:pt>
                <c:pt idx="28">
                  <c:v>-2.2000000000000099</c:v>
                </c:pt>
                <c:pt idx="29">
                  <c:v>-2.1000000000000099</c:v>
                </c:pt>
                <c:pt idx="30">
                  <c:v>-2.0000000000000102</c:v>
                </c:pt>
                <c:pt idx="31">
                  <c:v>-1.9000000000000099</c:v>
                </c:pt>
                <c:pt idx="32">
                  <c:v>-1.80000000000001</c:v>
                </c:pt>
                <c:pt idx="33">
                  <c:v>-1.7000000000000099</c:v>
                </c:pt>
                <c:pt idx="34">
                  <c:v>-1.6000000000000101</c:v>
                </c:pt>
                <c:pt idx="35">
                  <c:v>-1.50000000000001</c:v>
                </c:pt>
                <c:pt idx="36">
                  <c:v>-1.4000000000000099</c:v>
                </c:pt>
                <c:pt idx="37">
                  <c:v>-1.30000000000001</c:v>
                </c:pt>
                <c:pt idx="38">
                  <c:v>-1.2000000000000099</c:v>
                </c:pt>
                <c:pt idx="39">
                  <c:v>-1.1000000000000101</c:v>
                </c:pt>
                <c:pt idx="40">
                  <c:v>-1.00000000000001</c:v>
                </c:pt>
                <c:pt idx="41">
                  <c:v>-0.90000000000001001</c:v>
                </c:pt>
                <c:pt idx="42">
                  <c:v>-0.80000000000001004</c:v>
                </c:pt>
                <c:pt idx="43">
                  <c:v>-0.70000000000002005</c:v>
                </c:pt>
                <c:pt idx="44">
                  <c:v>-0.60000000000001996</c:v>
                </c:pt>
                <c:pt idx="45">
                  <c:v>-0.50000000000001998</c:v>
                </c:pt>
                <c:pt idx="46">
                  <c:v>-0.40000000000002001</c:v>
                </c:pt>
                <c:pt idx="47">
                  <c:v>-0.30000000000001997</c:v>
                </c:pt>
                <c:pt idx="48">
                  <c:v>-0.20000000000002</c:v>
                </c:pt>
                <c:pt idx="49">
                  <c:v>-0.10000000000002</c:v>
                </c:pt>
                <c:pt idx="50">
                  <c:v>-2.0428103653102899E-14</c:v>
                </c:pt>
                <c:pt idx="51">
                  <c:v>9.9999999999980105E-2</c:v>
                </c:pt>
                <c:pt idx="52">
                  <c:v>0.19999999999998</c:v>
                </c:pt>
                <c:pt idx="53">
                  <c:v>0.29999999999998</c:v>
                </c:pt>
                <c:pt idx="54">
                  <c:v>0.39999999999997998</c:v>
                </c:pt>
                <c:pt idx="55">
                  <c:v>0.49999999999998002</c:v>
                </c:pt>
                <c:pt idx="56">
                  <c:v>0.59999999999997999</c:v>
                </c:pt>
                <c:pt idx="57">
                  <c:v>0.69999999999997997</c:v>
                </c:pt>
                <c:pt idx="58">
                  <c:v>0.79999999999997995</c:v>
                </c:pt>
                <c:pt idx="59">
                  <c:v>0.89999999999998004</c:v>
                </c:pt>
                <c:pt idx="60">
                  <c:v>0.99999999999998002</c:v>
                </c:pt>
                <c:pt idx="61">
                  <c:v>1.0999999999999801</c:v>
                </c:pt>
                <c:pt idx="62">
                  <c:v>1.19999999999998</c:v>
                </c:pt>
                <c:pt idx="63">
                  <c:v>1.2999999999999801</c:v>
                </c:pt>
                <c:pt idx="64">
                  <c:v>1.3999999999999799</c:v>
                </c:pt>
                <c:pt idx="65">
                  <c:v>1.49999999999998</c:v>
                </c:pt>
                <c:pt idx="66">
                  <c:v>1.5999999999999801</c:v>
                </c:pt>
                <c:pt idx="67">
                  <c:v>1.69999999999998</c:v>
                </c:pt>
                <c:pt idx="68">
                  <c:v>1.7999999999999801</c:v>
                </c:pt>
                <c:pt idx="69">
                  <c:v>1.8999999999999799</c:v>
                </c:pt>
                <c:pt idx="70">
                  <c:v>1.99999999999998</c:v>
                </c:pt>
                <c:pt idx="71">
                  <c:v>2.0999999999999699</c:v>
                </c:pt>
                <c:pt idx="72">
                  <c:v>2.19999999999997</c:v>
                </c:pt>
                <c:pt idx="73">
                  <c:v>2.2999999999999701</c:v>
                </c:pt>
                <c:pt idx="74">
                  <c:v>2.3999999999999702</c:v>
                </c:pt>
                <c:pt idx="75">
                  <c:v>2.4999999999999698</c:v>
                </c:pt>
                <c:pt idx="76">
                  <c:v>2.5999999999999699</c:v>
                </c:pt>
                <c:pt idx="77">
                  <c:v>2.69999999999997</c:v>
                </c:pt>
                <c:pt idx="78">
                  <c:v>2.7999999999999701</c:v>
                </c:pt>
                <c:pt idx="79">
                  <c:v>2.8999999999999702</c:v>
                </c:pt>
                <c:pt idx="80">
                  <c:v>2.9999999999999698</c:v>
                </c:pt>
                <c:pt idx="81">
                  <c:v>3.0999999999999699</c:v>
                </c:pt>
                <c:pt idx="82">
                  <c:v>3.19999999999997</c:v>
                </c:pt>
                <c:pt idx="83">
                  <c:v>3.2999999999999701</c:v>
                </c:pt>
                <c:pt idx="84">
                  <c:v>3.3999999999999702</c:v>
                </c:pt>
                <c:pt idx="85">
                  <c:v>3.4999999999999698</c:v>
                </c:pt>
                <c:pt idx="86">
                  <c:v>3.5999999999999699</c:v>
                </c:pt>
                <c:pt idx="87">
                  <c:v>3.69999999999997</c:v>
                </c:pt>
                <c:pt idx="88">
                  <c:v>3.7999999999999701</c:v>
                </c:pt>
                <c:pt idx="89">
                  <c:v>3.8999999999999702</c:v>
                </c:pt>
                <c:pt idx="90">
                  <c:v>3.9999999999999698</c:v>
                </c:pt>
                <c:pt idx="91">
                  <c:v>4.0999999999999703</c:v>
                </c:pt>
                <c:pt idx="92">
                  <c:v>4.19999999999997</c:v>
                </c:pt>
                <c:pt idx="93">
                  <c:v>4.2999999999999696</c:v>
                </c:pt>
                <c:pt idx="94">
                  <c:v>4.3999999999999702</c:v>
                </c:pt>
                <c:pt idx="95">
                  <c:v>4.4999999999999698</c:v>
                </c:pt>
                <c:pt idx="96">
                  <c:v>4.5999999999999703</c:v>
                </c:pt>
                <c:pt idx="97">
                  <c:v>4.69999999999997</c:v>
                </c:pt>
                <c:pt idx="98">
                  <c:v>4.7999999999999696</c:v>
                </c:pt>
                <c:pt idx="99">
                  <c:v>4.8999999999999604</c:v>
                </c:pt>
              </c:numCache>
            </c:numRef>
          </c:xVal>
          <c:yVal>
            <c:numRef>
              <c:f>'Modified False Position'!$B$7:$B$106</c:f>
              <c:numCache>
                <c:formatCode>General</c:formatCode>
                <c:ptCount val="100"/>
                <c:pt idx="0">
                  <c:v>-122</c:v>
                </c:pt>
                <c:pt idx="1">
                  <c:v>-114.74900000000002</c:v>
                </c:pt>
                <c:pt idx="2">
                  <c:v>-107.792</c:v>
                </c:pt>
                <c:pt idx="3">
                  <c:v>-101.12300000000002</c:v>
                </c:pt>
                <c:pt idx="4">
                  <c:v>-94.735999999999976</c:v>
                </c:pt>
                <c:pt idx="5">
                  <c:v>-88.625</c:v>
                </c:pt>
                <c:pt idx="6">
                  <c:v>-82.78400000000002</c:v>
                </c:pt>
                <c:pt idx="7">
                  <c:v>-77.206999999999994</c:v>
                </c:pt>
                <c:pt idx="8">
                  <c:v>-71.888000000000005</c:v>
                </c:pt>
                <c:pt idx="9">
                  <c:v>-66.820999999999998</c:v>
                </c:pt>
                <c:pt idx="10">
                  <c:v>-62</c:v>
                </c:pt>
                <c:pt idx="11">
                  <c:v>-57.418999999999997</c:v>
                </c:pt>
                <c:pt idx="12">
                  <c:v>-53.071999999999996</c:v>
                </c:pt>
                <c:pt idx="13">
                  <c:v>-48.953000000000003</c:v>
                </c:pt>
                <c:pt idx="14">
                  <c:v>-45.056000000000004</c:v>
                </c:pt>
                <c:pt idx="15">
                  <c:v>-41.375000000000369</c:v>
                </c:pt>
                <c:pt idx="16">
                  <c:v>-37.904000000000337</c:v>
                </c:pt>
                <c:pt idx="17">
                  <c:v>-34.63700000000032</c:v>
                </c:pt>
                <c:pt idx="18">
                  <c:v>-31.568000000000296</c:v>
                </c:pt>
                <c:pt idx="19">
                  <c:v>-28.691000000000276</c:v>
                </c:pt>
                <c:pt idx="20">
                  <c:v>-26.000000000000263</c:v>
                </c:pt>
                <c:pt idx="21">
                  <c:v>-23.489000000000246</c:v>
                </c:pt>
                <c:pt idx="22">
                  <c:v>-21.152000000000225</c:v>
                </c:pt>
                <c:pt idx="23">
                  <c:v>-18.983000000000207</c:v>
                </c:pt>
                <c:pt idx="24">
                  <c:v>-16.976000000000191</c:v>
                </c:pt>
                <c:pt idx="25">
                  <c:v>-15.125000000000181</c:v>
                </c:pt>
                <c:pt idx="26">
                  <c:v>-13.424000000000166</c:v>
                </c:pt>
                <c:pt idx="27">
                  <c:v>-11.86700000000015</c:v>
                </c:pt>
                <c:pt idx="28">
                  <c:v>-10.448000000000134</c:v>
                </c:pt>
                <c:pt idx="29">
                  <c:v>-9.1610000000001186</c:v>
                </c:pt>
                <c:pt idx="30">
                  <c:v>-8.0000000000001119</c:v>
                </c:pt>
                <c:pt idx="31">
                  <c:v>-6.9590000000000973</c:v>
                </c:pt>
                <c:pt idx="32">
                  <c:v>-6.0320000000000871</c:v>
                </c:pt>
                <c:pt idx="33">
                  <c:v>-5.2130000000000765</c:v>
                </c:pt>
                <c:pt idx="34">
                  <c:v>-4.4960000000000671</c:v>
                </c:pt>
                <c:pt idx="35">
                  <c:v>-3.8750000000000577</c:v>
                </c:pt>
                <c:pt idx="36">
                  <c:v>-3.3440000000000483</c:v>
                </c:pt>
                <c:pt idx="37">
                  <c:v>-2.8970000000000411</c:v>
                </c:pt>
                <c:pt idx="38">
                  <c:v>-2.5280000000000333</c:v>
                </c:pt>
                <c:pt idx="39">
                  <c:v>-2.2310000000000265</c:v>
                </c:pt>
                <c:pt idx="40">
                  <c:v>-2.00000000000002</c:v>
                </c:pt>
                <c:pt idx="41">
                  <c:v>-1.8290000000000144</c:v>
                </c:pt>
                <c:pt idx="42">
                  <c:v>-1.7120000000000093</c:v>
                </c:pt>
                <c:pt idx="43">
                  <c:v>-1.6430000000000096</c:v>
                </c:pt>
                <c:pt idx="44">
                  <c:v>-1.6160000000000017</c:v>
                </c:pt>
                <c:pt idx="45">
                  <c:v>-1.6249999999999951</c:v>
                </c:pt>
                <c:pt idx="46">
                  <c:v>-1.6639999999999895</c:v>
                </c:pt>
                <c:pt idx="47">
                  <c:v>-1.7269999999999854</c:v>
                </c:pt>
                <c:pt idx="48">
                  <c:v>-1.8079999999999825</c:v>
                </c:pt>
                <c:pt idx="49">
                  <c:v>-1.9009999999999807</c:v>
                </c:pt>
                <c:pt idx="50">
                  <c:v>-1.9999999999999796</c:v>
                </c:pt>
                <c:pt idx="51">
                  <c:v>-2.0989999999999807</c:v>
                </c:pt>
                <c:pt idx="52">
                  <c:v>-2.1919999999999824</c:v>
                </c:pt>
                <c:pt idx="53">
                  <c:v>-2.2729999999999855</c:v>
                </c:pt>
                <c:pt idx="54">
                  <c:v>-2.3359999999999896</c:v>
                </c:pt>
                <c:pt idx="55">
                  <c:v>-2.3749999999999951</c:v>
                </c:pt>
                <c:pt idx="56">
                  <c:v>-2.3840000000000017</c:v>
                </c:pt>
                <c:pt idx="57">
                  <c:v>-2.3570000000000095</c:v>
                </c:pt>
                <c:pt idx="58">
                  <c:v>-2.2880000000000185</c:v>
                </c:pt>
                <c:pt idx="59">
                  <c:v>-2.1710000000000287</c:v>
                </c:pt>
                <c:pt idx="60">
                  <c:v>-2.00000000000004</c:v>
                </c:pt>
                <c:pt idx="61">
                  <c:v>-1.7690000000000523</c:v>
                </c:pt>
                <c:pt idx="62">
                  <c:v>-1.4720000000000664</c:v>
                </c:pt>
                <c:pt idx="63">
                  <c:v>-1.1030000000000812</c:v>
                </c:pt>
                <c:pt idx="64">
                  <c:v>-0.65600000000009784</c:v>
                </c:pt>
                <c:pt idx="65">
                  <c:v>-0.12500000000011502</c:v>
                </c:pt>
                <c:pt idx="66">
                  <c:v>0.49599999999986721</c:v>
                </c:pt>
                <c:pt idx="67">
                  <c:v>1.2129999999998464</c:v>
                </c:pt>
                <c:pt idx="68">
                  <c:v>2.0319999999998259</c:v>
                </c:pt>
                <c:pt idx="69">
                  <c:v>2.9589999999998033</c:v>
                </c:pt>
                <c:pt idx="70">
                  <c:v>3.9999999999997797</c:v>
                </c:pt>
                <c:pt idx="71">
                  <c:v>5.1609999999996319</c:v>
                </c:pt>
                <c:pt idx="72">
                  <c:v>6.4479999999995918</c:v>
                </c:pt>
                <c:pt idx="73">
                  <c:v>7.866999999999555</c:v>
                </c:pt>
                <c:pt idx="74">
                  <c:v>9.4239999999995145</c:v>
                </c:pt>
                <c:pt idx="75">
                  <c:v>11.124999999999464</c:v>
                </c:pt>
                <c:pt idx="76">
                  <c:v>12.97599999999942</c:v>
                </c:pt>
                <c:pt idx="77">
                  <c:v>14.982999999999372</c:v>
                </c:pt>
                <c:pt idx="78">
                  <c:v>17.151999999999326</c:v>
                </c:pt>
                <c:pt idx="79">
                  <c:v>19.488999999999276</c:v>
                </c:pt>
                <c:pt idx="80">
                  <c:v>21.999999999999211</c:v>
                </c:pt>
                <c:pt idx="81">
                  <c:v>24.690999999999161</c:v>
                </c:pt>
                <c:pt idx="82">
                  <c:v>27.567999999999106</c:v>
                </c:pt>
                <c:pt idx="83">
                  <c:v>30.636999999999048</c:v>
                </c:pt>
                <c:pt idx="84">
                  <c:v>33.903999999998994</c:v>
                </c:pt>
                <c:pt idx="85">
                  <c:v>37.37499999999892</c:v>
                </c:pt>
                <c:pt idx="86">
                  <c:v>41.055999999998853</c:v>
                </c:pt>
                <c:pt idx="87">
                  <c:v>44.952999999998795</c:v>
                </c:pt>
                <c:pt idx="88">
                  <c:v>49.071999999998731</c:v>
                </c:pt>
                <c:pt idx="89">
                  <c:v>53.418999999998668</c:v>
                </c:pt>
                <c:pt idx="90">
                  <c:v>57.999999999998579</c:v>
                </c:pt>
                <c:pt idx="91">
                  <c:v>62.820999999998534</c:v>
                </c:pt>
                <c:pt idx="92">
                  <c:v>67.887999999998442</c:v>
                </c:pt>
                <c:pt idx="93">
                  <c:v>73.206999999998345</c:v>
                </c:pt>
                <c:pt idx="94">
                  <c:v>78.783999999998287</c:v>
                </c:pt>
                <c:pt idx="95">
                  <c:v>84.624999999998195</c:v>
                </c:pt>
                <c:pt idx="96">
                  <c:v>90.735999999998143</c:v>
                </c:pt>
                <c:pt idx="97">
                  <c:v>97.122999999998044</c:v>
                </c:pt>
                <c:pt idx="98">
                  <c:v>103.79199999999793</c:v>
                </c:pt>
                <c:pt idx="99">
                  <c:v>110.74899999999718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776-4A22-8B05-13EA58E08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9839392"/>
        <c:axId val="1329840112"/>
      </c:scatterChart>
      <c:valAx>
        <c:axId val="1329839392"/>
        <c:scaling>
          <c:orientation val="minMax"/>
          <c:max val="3"/>
          <c:min val="-1"/>
        </c:scaling>
        <c:delete val="0"/>
        <c:axPos val="b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29840112"/>
        <c:crosses val="autoZero"/>
        <c:crossBetween val="midCat"/>
      </c:valAx>
      <c:valAx>
        <c:axId val="1329840112"/>
        <c:scaling>
          <c:orientation val="minMax"/>
          <c:max val="5"/>
          <c:min val="-5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29839392"/>
        <c:crosses val="autoZero"/>
        <c:crossBetween val="midCat"/>
      </c:valAx>
      <c:spPr>
        <a:noFill/>
        <a:ln>
          <a:solidFill>
            <a:schemeClr val="bg2">
              <a:lumMod val="75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>
          <a:lumMod val="7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1600" b="1"/>
              <a:t>Convergence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strRef>
              <c:f>'Newton-Raphson'!$I$6</c:f>
              <c:strCache>
                <c:ptCount val="1"/>
                <c:pt idx="0">
                  <c:v>Error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'Newton-Raphson'!$D$7:$D$10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'Newton-Raphson'!$I$7:$I$10</c:f>
              <c:numCache>
                <c:formatCode>General</c:formatCode>
                <c:ptCount val="4"/>
                <c:pt idx="0">
                  <c:v>2.1739130434782705E-2</c:v>
                </c:pt>
                <c:pt idx="1">
                  <c:v>3.5932446999642487E-4</c:v>
                </c:pt>
                <c:pt idx="2">
                  <c:v>9.916021115330409E-8</c:v>
                </c:pt>
                <c:pt idx="3">
                  <c:v>7.5495165674510645E-15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2FC-43AC-A20B-F1C73658942C}"/>
            </c:ext>
          </c:extLst>
        </c:ser>
        <c:ser>
          <c:idx val="3"/>
          <c:order val="1"/>
          <c:tx>
            <c:strRef>
              <c:f>'Newton-Raphson'!$E$6</c:f>
              <c:strCache>
                <c:ptCount val="1"/>
                <c:pt idx="0">
                  <c:v>x_n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'Newton-Raphson'!$D$7:$D$10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'Newton-Raphson'!$E$7:$E$10</c:f>
              <c:numCache>
                <c:formatCode>General</c:formatCode>
                <c:ptCount val="4"/>
                <c:pt idx="0">
                  <c:v>1.5</c:v>
                </c:pt>
                <c:pt idx="1">
                  <c:v>1.5217391304347827</c:v>
                </c:pt>
                <c:pt idx="2">
                  <c:v>1.5213798059647863</c:v>
                </c:pt>
                <c:pt idx="3">
                  <c:v>1.5213797068045751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2FC-43AC-A20B-F1C73658942C}"/>
            </c:ext>
          </c:extLst>
        </c:ser>
        <c:ser>
          <c:idx val="0"/>
          <c:order val="2"/>
          <c:tx>
            <c:strRef>
              <c:f>'Newton-Raphson'!$H$6</c:f>
              <c:strCache>
                <c:ptCount val="1"/>
                <c:pt idx="0">
                  <c:v>x_n+1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rgbClr val="0070C0"/>
                </a:solidFill>
                <a:ln w="9525">
                  <a:solidFill>
                    <a:srgbClr val="0070C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82FC-43AC-A20B-F1C73658942C}"/>
              </c:ext>
            </c:extLst>
          </c:dPt>
          <c:xVal>
            <c:numRef>
              <c:f>'Newton-Raphson'!$D$7:$D$10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'Newton-Raphson'!$H$7:$H$10</c:f>
              <c:numCache>
                <c:formatCode>General</c:formatCode>
                <c:ptCount val="4"/>
                <c:pt idx="0">
                  <c:v>1.5217391304347827</c:v>
                </c:pt>
                <c:pt idx="1">
                  <c:v>1.5213798059647863</c:v>
                </c:pt>
                <c:pt idx="2">
                  <c:v>1.5213797068045751</c:v>
                </c:pt>
                <c:pt idx="3">
                  <c:v>1.5213797068045676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2FC-43AC-A20B-F1C7365894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9839392"/>
        <c:axId val="1329840112"/>
      </c:scatterChart>
      <c:valAx>
        <c:axId val="1329839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title>
          <c:tx>
            <c:strRef>
              <c:f>Bisection!$D$6</c:f>
              <c:strCache>
                <c:ptCount val="1"/>
                <c:pt idx="0">
                  <c:v>Iteration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29840112"/>
        <c:crosses val="autoZero"/>
        <c:crossBetween val="midCat"/>
      </c:valAx>
      <c:valAx>
        <c:axId val="132984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Value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29839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>
          <a:lumMod val="7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Newton-Raphson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0"/>
          <c:tx>
            <c:strRef>
              <c:f>'Newton-Raphson'!$B$6</c:f>
              <c:strCache>
                <c:ptCount val="1"/>
                <c:pt idx="0">
                  <c:v>f(x)</c:v>
                </c:pt>
              </c:strCache>
            </c:strRef>
          </c:tx>
          <c:spPr>
            <a:ln w="952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  <a:round/>
              </a:ln>
              <a:effectLst/>
            </c:spPr>
          </c:marker>
          <c:xVal>
            <c:numRef>
              <c:f>'Newton-Raphson'!$A$7:$A$106</c:f>
              <c:numCache>
                <c:formatCode>General</c:formatCode>
                <c:ptCount val="100"/>
                <c:pt idx="0">
                  <c:v>-5</c:v>
                </c:pt>
                <c:pt idx="1">
                  <c:v>-4.9000000000000004</c:v>
                </c:pt>
                <c:pt idx="2">
                  <c:v>-4.8</c:v>
                </c:pt>
                <c:pt idx="3">
                  <c:v>-4.7</c:v>
                </c:pt>
                <c:pt idx="4">
                  <c:v>-4.5999999999999996</c:v>
                </c:pt>
                <c:pt idx="5">
                  <c:v>-4.5</c:v>
                </c:pt>
                <c:pt idx="6">
                  <c:v>-4.4000000000000004</c:v>
                </c:pt>
                <c:pt idx="7">
                  <c:v>-4.3</c:v>
                </c:pt>
                <c:pt idx="8">
                  <c:v>-4.2</c:v>
                </c:pt>
                <c:pt idx="9">
                  <c:v>-4.0999999999999996</c:v>
                </c:pt>
                <c:pt idx="10">
                  <c:v>-4</c:v>
                </c:pt>
                <c:pt idx="11">
                  <c:v>-3.9</c:v>
                </c:pt>
                <c:pt idx="12">
                  <c:v>-3.8</c:v>
                </c:pt>
                <c:pt idx="13">
                  <c:v>-3.7</c:v>
                </c:pt>
                <c:pt idx="14">
                  <c:v>-3.6</c:v>
                </c:pt>
                <c:pt idx="15">
                  <c:v>-3.5000000000000102</c:v>
                </c:pt>
                <c:pt idx="16">
                  <c:v>-3.4000000000000101</c:v>
                </c:pt>
                <c:pt idx="17">
                  <c:v>-3.30000000000001</c:v>
                </c:pt>
                <c:pt idx="18">
                  <c:v>-3.2000000000000099</c:v>
                </c:pt>
                <c:pt idx="19">
                  <c:v>-3.1000000000000099</c:v>
                </c:pt>
                <c:pt idx="20">
                  <c:v>-3.0000000000000102</c:v>
                </c:pt>
                <c:pt idx="21">
                  <c:v>-2.9000000000000101</c:v>
                </c:pt>
                <c:pt idx="22">
                  <c:v>-2.80000000000001</c:v>
                </c:pt>
                <c:pt idx="23">
                  <c:v>-2.7000000000000099</c:v>
                </c:pt>
                <c:pt idx="24">
                  <c:v>-2.6000000000000099</c:v>
                </c:pt>
                <c:pt idx="25">
                  <c:v>-2.5000000000000102</c:v>
                </c:pt>
                <c:pt idx="26">
                  <c:v>-2.4000000000000101</c:v>
                </c:pt>
                <c:pt idx="27">
                  <c:v>-2.30000000000001</c:v>
                </c:pt>
                <c:pt idx="28">
                  <c:v>-2.2000000000000099</c:v>
                </c:pt>
                <c:pt idx="29">
                  <c:v>-2.1000000000000099</c:v>
                </c:pt>
                <c:pt idx="30">
                  <c:v>-2.0000000000000102</c:v>
                </c:pt>
                <c:pt idx="31">
                  <c:v>-1.9000000000000099</c:v>
                </c:pt>
                <c:pt idx="32">
                  <c:v>-1.80000000000001</c:v>
                </c:pt>
                <c:pt idx="33">
                  <c:v>-1.7000000000000099</c:v>
                </c:pt>
                <c:pt idx="34">
                  <c:v>-1.6000000000000101</c:v>
                </c:pt>
                <c:pt idx="35">
                  <c:v>-1.50000000000001</c:v>
                </c:pt>
                <c:pt idx="36">
                  <c:v>-1.4000000000000099</c:v>
                </c:pt>
                <c:pt idx="37">
                  <c:v>-1.30000000000001</c:v>
                </c:pt>
                <c:pt idx="38">
                  <c:v>-1.2000000000000099</c:v>
                </c:pt>
                <c:pt idx="39">
                  <c:v>-1.1000000000000101</c:v>
                </c:pt>
                <c:pt idx="40">
                  <c:v>-1.00000000000001</c:v>
                </c:pt>
                <c:pt idx="41">
                  <c:v>-0.90000000000001001</c:v>
                </c:pt>
                <c:pt idx="42">
                  <c:v>-0.80000000000001004</c:v>
                </c:pt>
                <c:pt idx="43">
                  <c:v>-0.70000000000002005</c:v>
                </c:pt>
                <c:pt idx="44">
                  <c:v>-0.60000000000001996</c:v>
                </c:pt>
                <c:pt idx="45">
                  <c:v>-0.50000000000001998</c:v>
                </c:pt>
                <c:pt idx="46">
                  <c:v>-0.40000000000002001</c:v>
                </c:pt>
                <c:pt idx="47">
                  <c:v>-0.30000000000001997</c:v>
                </c:pt>
                <c:pt idx="48">
                  <c:v>-0.20000000000002</c:v>
                </c:pt>
                <c:pt idx="49">
                  <c:v>-0.10000000000002</c:v>
                </c:pt>
                <c:pt idx="50">
                  <c:v>-2.0428103653102899E-14</c:v>
                </c:pt>
                <c:pt idx="51">
                  <c:v>9.9999999999980105E-2</c:v>
                </c:pt>
                <c:pt idx="52">
                  <c:v>0.19999999999998</c:v>
                </c:pt>
                <c:pt idx="53">
                  <c:v>0.29999999999998</c:v>
                </c:pt>
                <c:pt idx="54">
                  <c:v>0.39999999999997998</c:v>
                </c:pt>
                <c:pt idx="55">
                  <c:v>0.49999999999998002</c:v>
                </c:pt>
                <c:pt idx="56">
                  <c:v>0.59999999999997999</c:v>
                </c:pt>
                <c:pt idx="57">
                  <c:v>0.69999999999997997</c:v>
                </c:pt>
                <c:pt idx="58">
                  <c:v>0.79999999999997995</c:v>
                </c:pt>
                <c:pt idx="59">
                  <c:v>0.89999999999998004</c:v>
                </c:pt>
                <c:pt idx="60">
                  <c:v>0.99999999999998002</c:v>
                </c:pt>
                <c:pt idx="61">
                  <c:v>1.0999999999999801</c:v>
                </c:pt>
                <c:pt idx="62">
                  <c:v>1.19999999999998</c:v>
                </c:pt>
                <c:pt idx="63">
                  <c:v>1.2999999999999801</c:v>
                </c:pt>
                <c:pt idx="64">
                  <c:v>1.3999999999999799</c:v>
                </c:pt>
                <c:pt idx="65">
                  <c:v>1.49999999999998</c:v>
                </c:pt>
                <c:pt idx="66">
                  <c:v>1.5999999999999801</c:v>
                </c:pt>
                <c:pt idx="67">
                  <c:v>1.69999999999998</c:v>
                </c:pt>
                <c:pt idx="68">
                  <c:v>1.7999999999999801</c:v>
                </c:pt>
                <c:pt idx="69">
                  <c:v>1.8999999999999799</c:v>
                </c:pt>
                <c:pt idx="70">
                  <c:v>1.99999999999998</c:v>
                </c:pt>
                <c:pt idx="71">
                  <c:v>2.0999999999999699</c:v>
                </c:pt>
                <c:pt idx="72">
                  <c:v>2.19999999999997</c:v>
                </c:pt>
                <c:pt idx="73">
                  <c:v>2.2999999999999701</c:v>
                </c:pt>
                <c:pt idx="74">
                  <c:v>2.3999999999999702</c:v>
                </c:pt>
                <c:pt idx="75">
                  <c:v>2.4999999999999698</c:v>
                </c:pt>
                <c:pt idx="76">
                  <c:v>2.5999999999999699</c:v>
                </c:pt>
                <c:pt idx="77">
                  <c:v>2.69999999999997</c:v>
                </c:pt>
                <c:pt idx="78">
                  <c:v>2.7999999999999701</c:v>
                </c:pt>
                <c:pt idx="79">
                  <c:v>2.8999999999999702</c:v>
                </c:pt>
                <c:pt idx="80">
                  <c:v>2.9999999999999698</c:v>
                </c:pt>
                <c:pt idx="81">
                  <c:v>3.0999999999999699</c:v>
                </c:pt>
                <c:pt idx="82">
                  <c:v>3.19999999999997</c:v>
                </c:pt>
                <c:pt idx="83">
                  <c:v>3.2999999999999701</c:v>
                </c:pt>
                <c:pt idx="84">
                  <c:v>3.3999999999999702</c:v>
                </c:pt>
                <c:pt idx="85">
                  <c:v>3.4999999999999698</c:v>
                </c:pt>
                <c:pt idx="86">
                  <c:v>3.5999999999999699</c:v>
                </c:pt>
                <c:pt idx="87">
                  <c:v>3.69999999999997</c:v>
                </c:pt>
                <c:pt idx="88">
                  <c:v>3.7999999999999701</c:v>
                </c:pt>
                <c:pt idx="89">
                  <c:v>3.8999999999999702</c:v>
                </c:pt>
                <c:pt idx="90">
                  <c:v>3.9999999999999698</c:v>
                </c:pt>
                <c:pt idx="91">
                  <c:v>4.0999999999999703</c:v>
                </c:pt>
                <c:pt idx="92">
                  <c:v>4.19999999999997</c:v>
                </c:pt>
                <c:pt idx="93">
                  <c:v>4.2999999999999696</c:v>
                </c:pt>
                <c:pt idx="94">
                  <c:v>4.3999999999999702</c:v>
                </c:pt>
                <c:pt idx="95">
                  <c:v>4.4999999999999698</c:v>
                </c:pt>
                <c:pt idx="96">
                  <c:v>4.5999999999999703</c:v>
                </c:pt>
                <c:pt idx="97">
                  <c:v>4.69999999999997</c:v>
                </c:pt>
                <c:pt idx="98">
                  <c:v>4.7999999999999696</c:v>
                </c:pt>
                <c:pt idx="99">
                  <c:v>4.8999999999999604</c:v>
                </c:pt>
              </c:numCache>
            </c:numRef>
          </c:xVal>
          <c:yVal>
            <c:numRef>
              <c:f>'Newton-Raphson'!$B$7:$B$106</c:f>
              <c:numCache>
                <c:formatCode>General</c:formatCode>
                <c:ptCount val="100"/>
                <c:pt idx="0">
                  <c:v>-122</c:v>
                </c:pt>
                <c:pt idx="1">
                  <c:v>-114.74900000000002</c:v>
                </c:pt>
                <c:pt idx="2">
                  <c:v>-107.792</c:v>
                </c:pt>
                <c:pt idx="3">
                  <c:v>-101.12300000000002</c:v>
                </c:pt>
                <c:pt idx="4">
                  <c:v>-94.735999999999976</c:v>
                </c:pt>
                <c:pt idx="5">
                  <c:v>-88.625</c:v>
                </c:pt>
                <c:pt idx="6">
                  <c:v>-82.78400000000002</c:v>
                </c:pt>
                <c:pt idx="7">
                  <c:v>-77.206999999999994</c:v>
                </c:pt>
                <c:pt idx="8">
                  <c:v>-71.888000000000005</c:v>
                </c:pt>
                <c:pt idx="9">
                  <c:v>-66.820999999999998</c:v>
                </c:pt>
                <c:pt idx="10">
                  <c:v>-62</c:v>
                </c:pt>
                <c:pt idx="11">
                  <c:v>-57.418999999999997</c:v>
                </c:pt>
                <c:pt idx="12">
                  <c:v>-53.071999999999996</c:v>
                </c:pt>
                <c:pt idx="13">
                  <c:v>-48.953000000000003</c:v>
                </c:pt>
                <c:pt idx="14">
                  <c:v>-45.056000000000004</c:v>
                </c:pt>
                <c:pt idx="15">
                  <c:v>-41.375000000000369</c:v>
                </c:pt>
                <c:pt idx="16">
                  <c:v>-37.904000000000337</c:v>
                </c:pt>
                <c:pt idx="17">
                  <c:v>-34.63700000000032</c:v>
                </c:pt>
                <c:pt idx="18">
                  <c:v>-31.568000000000296</c:v>
                </c:pt>
                <c:pt idx="19">
                  <c:v>-28.691000000000276</c:v>
                </c:pt>
                <c:pt idx="20">
                  <c:v>-26.000000000000263</c:v>
                </c:pt>
                <c:pt idx="21">
                  <c:v>-23.489000000000246</c:v>
                </c:pt>
                <c:pt idx="22">
                  <c:v>-21.152000000000225</c:v>
                </c:pt>
                <c:pt idx="23">
                  <c:v>-18.983000000000207</c:v>
                </c:pt>
                <c:pt idx="24">
                  <c:v>-16.976000000000191</c:v>
                </c:pt>
                <c:pt idx="25">
                  <c:v>-15.125000000000181</c:v>
                </c:pt>
                <c:pt idx="26">
                  <c:v>-13.424000000000166</c:v>
                </c:pt>
                <c:pt idx="27">
                  <c:v>-11.86700000000015</c:v>
                </c:pt>
                <c:pt idx="28">
                  <c:v>-10.448000000000134</c:v>
                </c:pt>
                <c:pt idx="29">
                  <c:v>-9.1610000000001186</c:v>
                </c:pt>
                <c:pt idx="30">
                  <c:v>-8.0000000000001119</c:v>
                </c:pt>
                <c:pt idx="31">
                  <c:v>-6.9590000000000973</c:v>
                </c:pt>
                <c:pt idx="32">
                  <c:v>-6.0320000000000871</c:v>
                </c:pt>
                <c:pt idx="33">
                  <c:v>-5.2130000000000765</c:v>
                </c:pt>
                <c:pt idx="34">
                  <c:v>-4.4960000000000671</c:v>
                </c:pt>
                <c:pt idx="35">
                  <c:v>-3.8750000000000577</c:v>
                </c:pt>
                <c:pt idx="36">
                  <c:v>-3.3440000000000483</c:v>
                </c:pt>
                <c:pt idx="37">
                  <c:v>-2.8970000000000411</c:v>
                </c:pt>
                <c:pt idx="38">
                  <c:v>-2.5280000000000333</c:v>
                </c:pt>
                <c:pt idx="39">
                  <c:v>-2.2310000000000265</c:v>
                </c:pt>
                <c:pt idx="40">
                  <c:v>-2.00000000000002</c:v>
                </c:pt>
                <c:pt idx="41">
                  <c:v>-1.8290000000000144</c:v>
                </c:pt>
                <c:pt idx="42">
                  <c:v>-1.7120000000000093</c:v>
                </c:pt>
                <c:pt idx="43">
                  <c:v>-1.6430000000000096</c:v>
                </c:pt>
                <c:pt idx="44">
                  <c:v>-1.6160000000000017</c:v>
                </c:pt>
                <c:pt idx="45">
                  <c:v>-1.6249999999999951</c:v>
                </c:pt>
                <c:pt idx="46">
                  <c:v>-1.6639999999999895</c:v>
                </c:pt>
                <c:pt idx="47">
                  <c:v>-1.7269999999999854</c:v>
                </c:pt>
                <c:pt idx="48">
                  <c:v>-1.8079999999999825</c:v>
                </c:pt>
                <c:pt idx="49">
                  <c:v>-1.9009999999999807</c:v>
                </c:pt>
                <c:pt idx="50">
                  <c:v>-1.9999999999999796</c:v>
                </c:pt>
                <c:pt idx="51">
                  <c:v>-2.0989999999999807</c:v>
                </c:pt>
                <c:pt idx="52">
                  <c:v>-2.1919999999999824</c:v>
                </c:pt>
                <c:pt idx="53">
                  <c:v>-2.2729999999999855</c:v>
                </c:pt>
                <c:pt idx="54">
                  <c:v>-2.3359999999999896</c:v>
                </c:pt>
                <c:pt idx="55">
                  <c:v>-2.3749999999999951</c:v>
                </c:pt>
                <c:pt idx="56">
                  <c:v>-2.3840000000000017</c:v>
                </c:pt>
                <c:pt idx="57">
                  <c:v>-2.3570000000000095</c:v>
                </c:pt>
                <c:pt idx="58">
                  <c:v>-2.2880000000000185</c:v>
                </c:pt>
                <c:pt idx="59">
                  <c:v>-2.1710000000000287</c:v>
                </c:pt>
                <c:pt idx="60">
                  <c:v>-2.00000000000004</c:v>
                </c:pt>
                <c:pt idx="61">
                  <c:v>-1.7690000000000523</c:v>
                </c:pt>
                <c:pt idx="62">
                  <c:v>-1.4720000000000664</c:v>
                </c:pt>
                <c:pt idx="63">
                  <c:v>-1.1030000000000812</c:v>
                </c:pt>
                <c:pt idx="64">
                  <c:v>-0.65600000000009784</c:v>
                </c:pt>
                <c:pt idx="65">
                  <c:v>-0.12500000000011502</c:v>
                </c:pt>
                <c:pt idx="66">
                  <c:v>0.49599999999986721</c:v>
                </c:pt>
                <c:pt idx="67">
                  <c:v>1.2129999999998464</c:v>
                </c:pt>
                <c:pt idx="68">
                  <c:v>2.0319999999998259</c:v>
                </c:pt>
                <c:pt idx="69">
                  <c:v>2.9589999999998033</c:v>
                </c:pt>
                <c:pt idx="70">
                  <c:v>3.9999999999997797</c:v>
                </c:pt>
                <c:pt idx="71">
                  <c:v>5.1609999999996319</c:v>
                </c:pt>
                <c:pt idx="72">
                  <c:v>6.4479999999995918</c:v>
                </c:pt>
                <c:pt idx="73">
                  <c:v>7.866999999999555</c:v>
                </c:pt>
                <c:pt idx="74">
                  <c:v>9.4239999999995145</c:v>
                </c:pt>
                <c:pt idx="75">
                  <c:v>11.124999999999464</c:v>
                </c:pt>
                <c:pt idx="76">
                  <c:v>12.97599999999942</c:v>
                </c:pt>
                <c:pt idx="77">
                  <c:v>14.982999999999372</c:v>
                </c:pt>
                <c:pt idx="78">
                  <c:v>17.151999999999326</c:v>
                </c:pt>
                <c:pt idx="79">
                  <c:v>19.488999999999276</c:v>
                </c:pt>
                <c:pt idx="80">
                  <c:v>21.999999999999211</c:v>
                </c:pt>
                <c:pt idx="81">
                  <c:v>24.690999999999161</c:v>
                </c:pt>
                <c:pt idx="82">
                  <c:v>27.567999999999106</c:v>
                </c:pt>
                <c:pt idx="83">
                  <c:v>30.636999999999048</c:v>
                </c:pt>
                <c:pt idx="84">
                  <c:v>33.903999999998994</c:v>
                </c:pt>
                <c:pt idx="85">
                  <c:v>37.37499999999892</c:v>
                </c:pt>
                <c:pt idx="86">
                  <c:v>41.055999999998853</c:v>
                </c:pt>
                <c:pt idx="87">
                  <c:v>44.952999999998795</c:v>
                </c:pt>
                <c:pt idx="88">
                  <c:v>49.071999999998731</c:v>
                </c:pt>
                <c:pt idx="89">
                  <c:v>53.418999999998668</c:v>
                </c:pt>
                <c:pt idx="90">
                  <c:v>57.999999999998579</c:v>
                </c:pt>
                <c:pt idx="91">
                  <c:v>62.820999999998534</c:v>
                </c:pt>
                <c:pt idx="92">
                  <c:v>67.887999999998442</c:v>
                </c:pt>
                <c:pt idx="93">
                  <c:v>73.206999999998345</c:v>
                </c:pt>
                <c:pt idx="94">
                  <c:v>78.783999999998287</c:v>
                </c:pt>
                <c:pt idx="95">
                  <c:v>84.624999999998195</c:v>
                </c:pt>
                <c:pt idx="96">
                  <c:v>90.735999999998143</c:v>
                </c:pt>
                <c:pt idx="97">
                  <c:v>97.122999999998044</c:v>
                </c:pt>
                <c:pt idx="98">
                  <c:v>103.79199999999793</c:v>
                </c:pt>
                <c:pt idx="99">
                  <c:v>110.74899999999718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06A-4AA0-AFBC-967487F07D3B}"/>
            </c:ext>
          </c:extLst>
        </c:ser>
        <c:ser>
          <c:idx val="0"/>
          <c:order val="1"/>
          <c:tx>
            <c:strRef>
              <c:f>'Newton-Raphson'!$E$6</c:f>
              <c:strCache>
                <c:ptCount val="1"/>
                <c:pt idx="0">
                  <c:v>x_n</c:v>
                </c:pt>
              </c:strCache>
            </c:strRef>
          </c:tx>
          <c:spPr>
            <a:ln w="158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  <a:round/>
              </a:ln>
              <a:effectLst/>
            </c:spPr>
          </c:marker>
          <c:xVal>
            <c:numRef>
              <c:f>'Newton-Raphson'!$E$7:$E$10</c:f>
              <c:numCache>
                <c:formatCode>General</c:formatCode>
                <c:ptCount val="4"/>
                <c:pt idx="0">
                  <c:v>1.5</c:v>
                </c:pt>
                <c:pt idx="1">
                  <c:v>1.5217391304347827</c:v>
                </c:pt>
                <c:pt idx="2">
                  <c:v>1.5213798059647863</c:v>
                </c:pt>
                <c:pt idx="3">
                  <c:v>1.5213797068045751</c:v>
                </c:pt>
              </c:numCache>
            </c:numRef>
          </c:xVal>
          <c:yVal>
            <c:numRef>
              <c:f>'Newton-Raphson'!$F$7:$F$10</c:f>
              <c:numCache>
                <c:formatCode>General</c:formatCode>
                <c:ptCount val="4"/>
                <c:pt idx="0">
                  <c:v>-0.125</c:v>
                </c:pt>
                <c:pt idx="1">
                  <c:v>2.1369277554041943E-3</c:v>
                </c:pt>
                <c:pt idx="2">
                  <c:v>5.8938742597547389E-7</c:v>
                </c:pt>
                <c:pt idx="3">
                  <c:v>4.5297099404706387E-14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06A-4AA0-AFBC-967487F07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9839392"/>
        <c:axId val="1329840112"/>
      </c:scatterChart>
      <c:valAx>
        <c:axId val="1329839392"/>
        <c:scaling>
          <c:orientation val="minMax"/>
          <c:max val="2"/>
          <c:min val="1"/>
        </c:scaling>
        <c:delete val="0"/>
        <c:axPos val="b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29840112"/>
        <c:crosses val="autoZero"/>
        <c:crossBetween val="midCat"/>
      </c:valAx>
      <c:valAx>
        <c:axId val="1329840112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29839392"/>
        <c:crosses val="autoZero"/>
        <c:crossBetween val="midCat"/>
      </c:valAx>
      <c:spPr>
        <a:noFill/>
        <a:ln>
          <a:solidFill>
            <a:schemeClr val="bg2">
              <a:lumMod val="75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>
          <a:lumMod val="7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1600" b="1"/>
              <a:t>Convergence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strRef>
              <c:f>'Modified Newton-Raphson'!$I$7</c:f>
              <c:strCache>
                <c:ptCount val="1"/>
                <c:pt idx="0">
                  <c:v>Error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'Modified Newton-Raphson'!$D$8:$D$11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'Modified Newton-Raphson'!$I$8:$I$11</c:f>
              <c:numCache>
                <c:formatCode>General</c:formatCode>
                <c:ptCount val="4"/>
                <c:pt idx="0">
                  <c:v>2.1739130434782705E-2</c:v>
                </c:pt>
                <c:pt idx="1">
                  <c:v>3.5932446999642487E-4</c:v>
                </c:pt>
                <c:pt idx="2">
                  <c:v>9.916021115330409E-8</c:v>
                </c:pt>
                <c:pt idx="3">
                  <c:v>7.5495165674510645E-15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CB-4CD5-8E82-727A599889F0}"/>
            </c:ext>
          </c:extLst>
        </c:ser>
        <c:ser>
          <c:idx val="3"/>
          <c:order val="1"/>
          <c:tx>
            <c:strRef>
              <c:f>'Modified Newton-Raphson'!$E$7</c:f>
              <c:strCache>
                <c:ptCount val="1"/>
                <c:pt idx="0">
                  <c:v>x_n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'Modified Newton-Raphson'!$D$8:$D$11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'Modified Newton-Raphson'!$E$8:$E$11</c:f>
              <c:numCache>
                <c:formatCode>General</c:formatCode>
                <c:ptCount val="4"/>
                <c:pt idx="0">
                  <c:v>1.5</c:v>
                </c:pt>
                <c:pt idx="1">
                  <c:v>1.5217391304347827</c:v>
                </c:pt>
                <c:pt idx="2">
                  <c:v>1.5213798059647863</c:v>
                </c:pt>
                <c:pt idx="3">
                  <c:v>1.5213797068045751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1CB-4CD5-8E82-727A599889F0}"/>
            </c:ext>
          </c:extLst>
        </c:ser>
        <c:ser>
          <c:idx val="0"/>
          <c:order val="2"/>
          <c:tx>
            <c:strRef>
              <c:f>'Modified Newton-Raphson'!$H$7</c:f>
              <c:strCache>
                <c:ptCount val="1"/>
                <c:pt idx="0">
                  <c:v>x_n+1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0070C0"/>
                </a:solidFill>
                <a:ln w="9525">
                  <a:solidFill>
                    <a:srgbClr val="0070C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7201-4A0A-B5EF-BEF8E23949E0}"/>
              </c:ext>
            </c:extLst>
          </c:dPt>
          <c:xVal>
            <c:numRef>
              <c:f>'Modified Newton-Raphson'!$D$8:$D$11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'Modified Newton-Raphson'!$H$8:$H$11</c:f>
              <c:numCache>
                <c:formatCode>General</c:formatCode>
                <c:ptCount val="4"/>
                <c:pt idx="0">
                  <c:v>1.5217391304347827</c:v>
                </c:pt>
                <c:pt idx="1">
                  <c:v>1.5213798059647863</c:v>
                </c:pt>
                <c:pt idx="2">
                  <c:v>1.5213797068045751</c:v>
                </c:pt>
                <c:pt idx="3">
                  <c:v>1.5213797068045676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1CB-4CD5-8E82-727A59988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9839392"/>
        <c:axId val="1329840112"/>
      </c:scatterChart>
      <c:valAx>
        <c:axId val="1329839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title>
          <c:tx>
            <c:strRef>
              <c:f>Bisection!$D$6</c:f>
              <c:strCache>
                <c:ptCount val="1"/>
                <c:pt idx="0">
                  <c:v>Iteration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29840112"/>
        <c:crosses val="autoZero"/>
        <c:crossBetween val="midCat"/>
      </c:valAx>
      <c:valAx>
        <c:axId val="132984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Value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29839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>
          <a:lumMod val="7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Modified Newton-Raphson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0"/>
          <c:tx>
            <c:strRef>
              <c:f>'Modified Newton-Raphson'!$B$7</c:f>
              <c:strCache>
                <c:ptCount val="1"/>
                <c:pt idx="0">
                  <c:v>f(x)</c:v>
                </c:pt>
              </c:strCache>
            </c:strRef>
          </c:tx>
          <c:spPr>
            <a:ln w="952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  <a:round/>
              </a:ln>
              <a:effectLst/>
            </c:spPr>
          </c:marker>
          <c:xVal>
            <c:numRef>
              <c:f>'Modified Newton-Raphson'!$A$8:$A$107</c:f>
              <c:numCache>
                <c:formatCode>General</c:formatCode>
                <c:ptCount val="100"/>
                <c:pt idx="0">
                  <c:v>-5</c:v>
                </c:pt>
                <c:pt idx="1">
                  <c:v>-4.9000000000000004</c:v>
                </c:pt>
                <c:pt idx="2">
                  <c:v>-4.8</c:v>
                </c:pt>
                <c:pt idx="3">
                  <c:v>-4.7</c:v>
                </c:pt>
                <c:pt idx="4">
                  <c:v>-4.5999999999999996</c:v>
                </c:pt>
                <c:pt idx="5">
                  <c:v>-4.5</c:v>
                </c:pt>
                <c:pt idx="6">
                  <c:v>-4.4000000000000004</c:v>
                </c:pt>
                <c:pt idx="7">
                  <c:v>-4.3</c:v>
                </c:pt>
                <c:pt idx="8">
                  <c:v>-4.2</c:v>
                </c:pt>
                <c:pt idx="9">
                  <c:v>-4.0999999999999996</c:v>
                </c:pt>
                <c:pt idx="10">
                  <c:v>-4</c:v>
                </c:pt>
                <c:pt idx="11">
                  <c:v>-3.9</c:v>
                </c:pt>
                <c:pt idx="12">
                  <c:v>-3.8</c:v>
                </c:pt>
                <c:pt idx="13">
                  <c:v>-3.7</c:v>
                </c:pt>
                <c:pt idx="14">
                  <c:v>-3.6</c:v>
                </c:pt>
                <c:pt idx="15">
                  <c:v>-3.5000000000000102</c:v>
                </c:pt>
                <c:pt idx="16">
                  <c:v>-3.4000000000000101</c:v>
                </c:pt>
                <c:pt idx="17">
                  <c:v>-3.30000000000001</c:v>
                </c:pt>
                <c:pt idx="18">
                  <c:v>-3.2000000000000099</c:v>
                </c:pt>
                <c:pt idx="19">
                  <c:v>-3.1000000000000099</c:v>
                </c:pt>
                <c:pt idx="20">
                  <c:v>-3.0000000000000102</c:v>
                </c:pt>
                <c:pt idx="21">
                  <c:v>-2.9000000000000101</c:v>
                </c:pt>
                <c:pt idx="22">
                  <c:v>-2.80000000000001</c:v>
                </c:pt>
                <c:pt idx="23">
                  <c:v>-2.7000000000000099</c:v>
                </c:pt>
                <c:pt idx="24">
                  <c:v>-2.6000000000000099</c:v>
                </c:pt>
                <c:pt idx="25">
                  <c:v>-2.5000000000000102</c:v>
                </c:pt>
                <c:pt idx="26">
                  <c:v>-2.4000000000000101</c:v>
                </c:pt>
                <c:pt idx="27">
                  <c:v>-2.30000000000001</c:v>
                </c:pt>
                <c:pt idx="28">
                  <c:v>-2.2000000000000099</c:v>
                </c:pt>
                <c:pt idx="29">
                  <c:v>-2.1000000000000099</c:v>
                </c:pt>
                <c:pt idx="30">
                  <c:v>-2.0000000000000102</c:v>
                </c:pt>
                <c:pt idx="31">
                  <c:v>-1.9000000000000099</c:v>
                </c:pt>
                <c:pt idx="32">
                  <c:v>-1.80000000000001</c:v>
                </c:pt>
                <c:pt idx="33">
                  <c:v>-1.7000000000000099</c:v>
                </c:pt>
                <c:pt idx="34">
                  <c:v>-1.6000000000000101</c:v>
                </c:pt>
                <c:pt idx="35">
                  <c:v>-1.50000000000001</c:v>
                </c:pt>
                <c:pt idx="36">
                  <c:v>-1.4000000000000099</c:v>
                </c:pt>
                <c:pt idx="37">
                  <c:v>-1.30000000000001</c:v>
                </c:pt>
                <c:pt idx="38">
                  <c:v>-1.2000000000000099</c:v>
                </c:pt>
                <c:pt idx="39">
                  <c:v>-1.1000000000000101</c:v>
                </c:pt>
                <c:pt idx="40">
                  <c:v>-1.00000000000001</c:v>
                </c:pt>
                <c:pt idx="41">
                  <c:v>-0.90000000000001001</c:v>
                </c:pt>
                <c:pt idx="42">
                  <c:v>-0.80000000000001004</c:v>
                </c:pt>
                <c:pt idx="43">
                  <c:v>-0.70000000000002005</c:v>
                </c:pt>
                <c:pt idx="44">
                  <c:v>-0.60000000000001996</c:v>
                </c:pt>
                <c:pt idx="45">
                  <c:v>-0.50000000000001998</c:v>
                </c:pt>
                <c:pt idx="46">
                  <c:v>-0.40000000000002001</c:v>
                </c:pt>
                <c:pt idx="47">
                  <c:v>-0.30000000000001997</c:v>
                </c:pt>
                <c:pt idx="48">
                  <c:v>-0.20000000000002</c:v>
                </c:pt>
                <c:pt idx="49">
                  <c:v>-0.10000000000002</c:v>
                </c:pt>
                <c:pt idx="50">
                  <c:v>-2.0428103653102899E-14</c:v>
                </c:pt>
                <c:pt idx="51">
                  <c:v>9.9999999999980105E-2</c:v>
                </c:pt>
                <c:pt idx="52">
                  <c:v>0.19999999999998</c:v>
                </c:pt>
                <c:pt idx="53">
                  <c:v>0.29999999999998</c:v>
                </c:pt>
                <c:pt idx="54">
                  <c:v>0.39999999999997998</c:v>
                </c:pt>
                <c:pt idx="55">
                  <c:v>0.49999999999998002</c:v>
                </c:pt>
                <c:pt idx="56">
                  <c:v>0.59999999999997999</c:v>
                </c:pt>
                <c:pt idx="57">
                  <c:v>0.69999999999997997</c:v>
                </c:pt>
                <c:pt idx="58">
                  <c:v>0.79999999999997995</c:v>
                </c:pt>
                <c:pt idx="59">
                  <c:v>0.89999999999998004</c:v>
                </c:pt>
                <c:pt idx="60">
                  <c:v>0.99999999999998002</c:v>
                </c:pt>
                <c:pt idx="61">
                  <c:v>1.0999999999999801</c:v>
                </c:pt>
                <c:pt idx="62">
                  <c:v>1.19999999999998</c:v>
                </c:pt>
                <c:pt idx="63">
                  <c:v>1.2999999999999801</c:v>
                </c:pt>
                <c:pt idx="64">
                  <c:v>1.3999999999999799</c:v>
                </c:pt>
                <c:pt idx="65">
                  <c:v>1.49999999999998</c:v>
                </c:pt>
                <c:pt idx="66">
                  <c:v>1.5999999999999801</c:v>
                </c:pt>
                <c:pt idx="67">
                  <c:v>1.69999999999998</c:v>
                </c:pt>
                <c:pt idx="68">
                  <c:v>1.7999999999999801</c:v>
                </c:pt>
                <c:pt idx="69">
                  <c:v>1.8999999999999799</c:v>
                </c:pt>
                <c:pt idx="70">
                  <c:v>1.99999999999998</c:v>
                </c:pt>
                <c:pt idx="71">
                  <c:v>2.0999999999999699</c:v>
                </c:pt>
                <c:pt idx="72">
                  <c:v>2.19999999999997</c:v>
                </c:pt>
                <c:pt idx="73">
                  <c:v>2.2999999999999701</c:v>
                </c:pt>
                <c:pt idx="74">
                  <c:v>2.3999999999999702</c:v>
                </c:pt>
                <c:pt idx="75">
                  <c:v>2.4999999999999698</c:v>
                </c:pt>
                <c:pt idx="76">
                  <c:v>2.5999999999999699</c:v>
                </c:pt>
                <c:pt idx="77">
                  <c:v>2.69999999999997</c:v>
                </c:pt>
                <c:pt idx="78">
                  <c:v>2.7999999999999701</c:v>
                </c:pt>
                <c:pt idx="79">
                  <c:v>2.8999999999999702</c:v>
                </c:pt>
                <c:pt idx="80">
                  <c:v>2.9999999999999698</c:v>
                </c:pt>
                <c:pt idx="81">
                  <c:v>3.0999999999999699</c:v>
                </c:pt>
                <c:pt idx="82">
                  <c:v>3.19999999999997</c:v>
                </c:pt>
                <c:pt idx="83">
                  <c:v>3.2999999999999701</c:v>
                </c:pt>
                <c:pt idx="84">
                  <c:v>3.3999999999999702</c:v>
                </c:pt>
                <c:pt idx="85">
                  <c:v>3.4999999999999698</c:v>
                </c:pt>
                <c:pt idx="86">
                  <c:v>3.5999999999999699</c:v>
                </c:pt>
                <c:pt idx="87">
                  <c:v>3.69999999999997</c:v>
                </c:pt>
                <c:pt idx="88">
                  <c:v>3.7999999999999701</c:v>
                </c:pt>
                <c:pt idx="89">
                  <c:v>3.8999999999999702</c:v>
                </c:pt>
                <c:pt idx="90">
                  <c:v>3.9999999999999698</c:v>
                </c:pt>
                <c:pt idx="91">
                  <c:v>4.0999999999999703</c:v>
                </c:pt>
                <c:pt idx="92">
                  <c:v>4.19999999999997</c:v>
                </c:pt>
                <c:pt idx="93">
                  <c:v>4.2999999999999696</c:v>
                </c:pt>
                <c:pt idx="94">
                  <c:v>4.3999999999999702</c:v>
                </c:pt>
                <c:pt idx="95">
                  <c:v>4.4999999999999698</c:v>
                </c:pt>
                <c:pt idx="96">
                  <c:v>4.5999999999999703</c:v>
                </c:pt>
                <c:pt idx="97">
                  <c:v>4.69999999999997</c:v>
                </c:pt>
                <c:pt idx="98">
                  <c:v>4.7999999999999696</c:v>
                </c:pt>
                <c:pt idx="99">
                  <c:v>4.8999999999999604</c:v>
                </c:pt>
              </c:numCache>
            </c:numRef>
          </c:xVal>
          <c:yVal>
            <c:numRef>
              <c:f>'Modified Newton-Raphson'!$B$8:$B$107</c:f>
              <c:numCache>
                <c:formatCode>General</c:formatCode>
                <c:ptCount val="100"/>
                <c:pt idx="0">
                  <c:v>-122</c:v>
                </c:pt>
                <c:pt idx="1">
                  <c:v>-114.74900000000002</c:v>
                </c:pt>
                <c:pt idx="2">
                  <c:v>-107.792</c:v>
                </c:pt>
                <c:pt idx="3">
                  <c:v>-101.12300000000002</c:v>
                </c:pt>
                <c:pt idx="4">
                  <c:v>-94.735999999999976</c:v>
                </c:pt>
                <c:pt idx="5">
                  <c:v>-88.625</c:v>
                </c:pt>
                <c:pt idx="6">
                  <c:v>-82.78400000000002</c:v>
                </c:pt>
                <c:pt idx="7">
                  <c:v>-77.206999999999994</c:v>
                </c:pt>
                <c:pt idx="8">
                  <c:v>-71.888000000000005</c:v>
                </c:pt>
                <c:pt idx="9">
                  <c:v>-66.820999999999998</c:v>
                </c:pt>
                <c:pt idx="10">
                  <c:v>-62</c:v>
                </c:pt>
                <c:pt idx="11">
                  <c:v>-57.418999999999997</c:v>
                </c:pt>
                <c:pt idx="12">
                  <c:v>-53.071999999999996</c:v>
                </c:pt>
                <c:pt idx="13">
                  <c:v>-48.953000000000003</c:v>
                </c:pt>
                <c:pt idx="14">
                  <c:v>-45.056000000000004</c:v>
                </c:pt>
                <c:pt idx="15">
                  <c:v>-41.375000000000369</c:v>
                </c:pt>
                <c:pt idx="16">
                  <c:v>-37.904000000000337</c:v>
                </c:pt>
                <c:pt idx="17">
                  <c:v>-34.63700000000032</c:v>
                </c:pt>
                <c:pt idx="18">
                  <c:v>-31.568000000000296</c:v>
                </c:pt>
                <c:pt idx="19">
                  <c:v>-28.691000000000276</c:v>
                </c:pt>
                <c:pt idx="20">
                  <c:v>-26.000000000000263</c:v>
                </c:pt>
                <c:pt idx="21">
                  <c:v>-23.489000000000246</c:v>
                </c:pt>
                <c:pt idx="22">
                  <c:v>-21.152000000000225</c:v>
                </c:pt>
                <c:pt idx="23">
                  <c:v>-18.983000000000207</c:v>
                </c:pt>
                <c:pt idx="24">
                  <c:v>-16.976000000000191</c:v>
                </c:pt>
                <c:pt idx="25">
                  <c:v>-15.125000000000181</c:v>
                </c:pt>
                <c:pt idx="26">
                  <c:v>-13.424000000000166</c:v>
                </c:pt>
                <c:pt idx="27">
                  <c:v>-11.86700000000015</c:v>
                </c:pt>
                <c:pt idx="28">
                  <c:v>-10.448000000000134</c:v>
                </c:pt>
                <c:pt idx="29">
                  <c:v>-9.1610000000001186</c:v>
                </c:pt>
                <c:pt idx="30">
                  <c:v>-8.0000000000001119</c:v>
                </c:pt>
                <c:pt idx="31">
                  <c:v>-6.9590000000000973</c:v>
                </c:pt>
                <c:pt idx="32">
                  <c:v>-6.0320000000000871</c:v>
                </c:pt>
                <c:pt idx="33">
                  <c:v>-5.2130000000000765</c:v>
                </c:pt>
                <c:pt idx="34">
                  <c:v>-4.4960000000000671</c:v>
                </c:pt>
                <c:pt idx="35">
                  <c:v>-3.8750000000000577</c:v>
                </c:pt>
                <c:pt idx="36">
                  <c:v>-3.3440000000000483</c:v>
                </c:pt>
                <c:pt idx="37">
                  <c:v>-2.8970000000000411</c:v>
                </c:pt>
                <c:pt idx="38">
                  <c:v>-2.5280000000000333</c:v>
                </c:pt>
                <c:pt idx="39">
                  <c:v>-2.2310000000000265</c:v>
                </c:pt>
                <c:pt idx="40">
                  <c:v>-2.00000000000002</c:v>
                </c:pt>
                <c:pt idx="41">
                  <c:v>-1.8290000000000144</c:v>
                </c:pt>
                <c:pt idx="42">
                  <c:v>-1.7120000000000093</c:v>
                </c:pt>
                <c:pt idx="43">
                  <c:v>-1.6430000000000096</c:v>
                </c:pt>
                <c:pt idx="44">
                  <c:v>-1.6160000000000017</c:v>
                </c:pt>
                <c:pt idx="45">
                  <c:v>-1.6249999999999951</c:v>
                </c:pt>
                <c:pt idx="46">
                  <c:v>-1.6639999999999895</c:v>
                </c:pt>
                <c:pt idx="47">
                  <c:v>-1.7269999999999854</c:v>
                </c:pt>
                <c:pt idx="48">
                  <c:v>-1.8079999999999825</c:v>
                </c:pt>
                <c:pt idx="49">
                  <c:v>-1.9009999999999807</c:v>
                </c:pt>
                <c:pt idx="50">
                  <c:v>-1.9999999999999796</c:v>
                </c:pt>
                <c:pt idx="51">
                  <c:v>-2.0989999999999807</c:v>
                </c:pt>
                <c:pt idx="52">
                  <c:v>-2.1919999999999824</c:v>
                </c:pt>
                <c:pt idx="53">
                  <c:v>-2.2729999999999855</c:v>
                </c:pt>
                <c:pt idx="54">
                  <c:v>-2.3359999999999896</c:v>
                </c:pt>
                <c:pt idx="55">
                  <c:v>-2.3749999999999951</c:v>
                </c:pt>
                <c:pt idx="56">
                  <c:v>-2.3840000000000017</c:v>
                </c:pt>
                <c:pt idx="57">
                  <c:v>-2.3570000000000095</c:v>
                </c:pt>
                <c:pt idx="58">
                  <c:v>-2.2880000000000185</c:v>
                </c:pt>
                <c:pt idx="59">
                  <c:v>-2.1710000000000287</c:v>
                </c:pt>
                <c:pt idx="60">
                  <c:v>-2.00000000000004</c:v>
                </c:pt>
                <c:pt idx="61">
                  <c:v>-1.7690000000000523</c:v>
                </c:pt>
                <c:pt idx="62">
                  <c:v>-1.4720000000000664</c:v>
                </c:pt>
                <c:pt idx="63">
                  <c:v>-1.1030000000000812</c:v>
                </c:pt>
                <c:pt idx="64">
                  <c:v>-0.65600000000009784</c:v>
                </c:pt>
                <c:pt idx="65">
                  <c:v>-0.12500000000011502</c:v>
                </c:pt>
                <c:pt idx="66">
                  <c:v>0.49599999999986721</c:v>
                </c:pt>
                <c:pt idx="67">
                  <c:v>1.2129999999998464</c:v>
                </c:pt>
                <c:pt idx="68">
                  <c:v>2.0319999999998259</c:v>
                </c:pt>
                <c:pt idx="69">
                  <c:v>2.9589999999998033</c:v>
                </c:pt>
                <c:pt idx="70">
                  <c:v>3.9999999999997797</c:v>
                </c:pt>
                <c:pt idx="71">
                  <c:v>5.1609999999996319</c:v>
                </c:pt>
                <c:pt idx="72">
                  <c:v>6.4479999999995918</c:v>
                </c:pt>
                <c:pt idx="73">
                  <c:v>7.866999999999555</c:v>
                </c:pt>
                <c:pt idx="74">
                  <c:v>9.4239999999995145</c:v>
                </c:pt>
                <c:pt idx="75">
                  <c:v>11.124999999999464</c:v>
                </c:pt>
                <c:pt idx="76">
                  <c:v>12.97599999999942</c:v>
                </c:pt>
                <c:pt idx="77">
                  <c:v>14.982999999999372</c:v>
                </c:pt>
                <c:pt idx="78">
                  <c:v>17.151999999999326</c:v>
                </c:pt>
                <c:pt idx="79">
                  <c:v>19.488999999999276</c:v>
                </c:pt>
                <c:pt idx="80">
                  <c:v>21.999999999999211</c:v>
                </c:pt>
                <c:pt idx="81">
                  <c:v>24.690999999999161</c:v>
                </c:pt>
                <c:pt idx="82">
                  <c:v>27.567999999999106</c:v>
                </c:pt>
                <c:pt idx="83">
                  <c:v>30.636999999999048</c:v>
                </c:pt>
                <c:pt idx="84">
                  <c:v>33.903999999998994</c:v>
                </c:pt>
                <c:pt idx="85">
                  <c:v>37.37499999999892</c:v>
                </c:pt>
                <c:pt idx="86">
                  <c:v>41.055999999998853</c:v>
                </c:pt>
                <c:pt idx="87">
                  <c:v>44.952999999998795</c:v>
                </c:pt>
                <c:pt idx="88">
                  <c:v>49.071999999998731</c:v>
                </c:pt>
                <c:pt idx="89">
                  <c:v>53.418999999998668</c:v>
                </c:pt>
                <c:pt idx="90">
                  <c:v>57.999999999998579</c:v>
                </c:pt>
                <c:pt idx="91">
                  <c:v>62.820999999998534</c:v>
                </c:pt>
                <c:pt idx="92">
                  <c:v>67.887999999998442</c:v>
                </c:pt>
                <c:pt idx="93">
                  <c:v>73.206999999998345</c:v>
                </c:pt>
                <c:pt idx="94">
                  <c:v>78.783999999998287</c:v>
                </c:pt>
                <c:pt idx="95">
                  <c:v>84.624999999998195</c:v>
                </c:pt>
                <c:pt idx="96">
                  <c:v>90.735999999998143</c:v>
                </c:pt>
                <c:pt idx="97">
                  <c:v>97.122999999998044</c:v>
                </c:pt>
                <c:pt idx="98">
                  <c:v>103.79199999999793</c:v>
                </c:pt>
                <c:pt idx="99">
                  <c:v>110.74899999999718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42F-4735-9A2A-40224F851CA5}"/>
            </c:ext>
          </c:extLst>
        </c:ser>
        <c:ser>
          <c:idx val="0"/>
          <c:order val="1"/>
          <c:tx>
            <c:strRef>
              <c:f>'Modified Newton-Raphson'!$E$7</c:f>
              <c:strCache>
                <c:ptCount val="1"/>
                <c:pt idx="0">
                  <c:v>x_n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  <a:round/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FF0000"/>
                </a:solidFill>
                <a:ln w="15875">
                  <a:solidFill>
                    <a:srgbClr val="FF0000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442F-4735-9A2A-40224F851CA5}"/>
              </c:ext>
            </c:extLst>
          </c:dPt>
          <c:xVal>
            <c:numRef>
              <c:f>'Modified Newton-Raphson'!$E$8:$E$11</c:f>
              <c:numCache>
                <c:formatCode>General</c:formatCode>
                <c:ptCount val="4"/>
                <c:pt idx="0">
                  <c:v>1.5</c:v>
                </c:pt>
                <c:pt idx="1">
                  <c:v>1.5217391304347827</c:v>
                </c:pt>
                <c:pt idx="2">
                  <c:v>1.5213798059647863</c:v>
                </c:pt>
                <c:pt idx="3">
                  <c:v>1.5213797068045751</c:v>
                </c:pt>
              </c:numCache>
            </c:numRef>
          </c:xVal>
          <c:yVal>
            <c:numRef>
              <c:f>'Modified Newton-Raphson'!$F$8:$F$11</c:f>
              <c:numCache>
                <c:formatCode>General</c:formatCode>
                <c:ptCount val="4"/>
                <c:pt idx="0">
                  <c:v>-0.125</c:v>
                </c:pt>
                <c:pt idx="1">
                  <c:v>2.1369277554041943E-3</c:v>
                </c:pt>
                <c:pt idx="2">
                  <c:v>5.8938742597547389E-7</c:v>
                </c:pt>
                <c:pt idx="3">
                  <c:v>4.5297099404706387E-14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42F-4735-9A2A-40224F851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9839392"/>
        <c:axId val="1329840112"/>
      </c:scatterChart>
      <c:valAx>
        <c:axId val="1329839392"/>
        <c:scaling>
          <c:orientation val="minMax"/>
          <c:max val="2"/>
          <c:min val="1"/>
        </c:scaling>
        <c:delete val="0"/>
        <c:axPos val="b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29840112"/>
        <c:crosses val="autoZero"/>
        <c:crossBetween val="midCat"/>
      </c:valAx>
      <c:valAx>
        <c:axId val="1329840112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29839392"/>
        <c:crosses val="autoZero"/>
        <c:crossBetween val="midCat"/>
      </c:valAx>
      <c:spPr>
        <a:noFill/>
        <a:ln>
          <a:solidFill>
            <a:schemeClr val="bg2">
              <a:lumMod val="75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>
          <a:lumMod val="7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Secant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0"/>
          <c:tx>
            <c:strRef>
              <c:f>Secant!$B$6</c:f>
              <c:strCache>
                <c:ptCount val="1"/>
                <c:pt idx="0">
                  <c:v>f(x)</c:v>
                </c:pt>
              </c:strCache>
            </c:strRef>
          </c:tx>
          <c:spPr>
            <a:ln w="952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  <a:round/>
              </a:ln>
              <a:effectLst/>
            </c:spPr>
          </c:marker>
          <c:xVal>
            <c:numRef>
              <c:f>Secant!$A$7:$A$106</c:f>
              <c:numCache>
                <c:formatCode>General</c:formatCode>
                <c:ptCount val="100"/>
                <c:pt idx="0">
                  <c:v>-5</c:v>
                </c:pt>
                <c:pt idx="1">
                  <c:v>-4.9000000000000004</c:v>
                </c:pt>
                <c:pt idx="2">
                  <c:v>-4.8</c:v>
                </c:pt>
                <c:pt idx="3">
                  <c:v>-4.7</c:v>
                </c:pt>
                <c:pt idx="4">
                  <c:v>-4.5999999999999996</c:v>
                </c:pt>
                <c:pt idx="5">
                  <c:v>-4.5</c:v>
                </c:pt>
                <c:pt idx="6">
                  <c:v>-4.4000000000000004</c:v>
                </c:pt>
                <c:pt idx="7">
                  <c:v>-4.3</c:v>
                </c:pt>
                <c:pt idx="8">
                  <c:v>-4.2</c:v>
                </c:pt>
                <c:pt idx="9">
                  <c:v>-4.0999999999999996</c:v>
                </c:pt>
                <c:pt idx="10">
                  <c:v>-4</c:v>
                </c:pt>
                <c:pt idx="11">
                  <c:v>-3.9</c:v>
                </c:pt>
                <c:pt idx="12">
                  <c:v>-3.8</c:v>
                </c:pt>
                <c:pt idx="13">
                  <c:v>-3.7</c:v>
                </c:pt>
                <c:pt idx="14">
                  <c:v>-3.6</c:v>
                </c:pt>
                <c:pt idx="15">
                  <c:v>-3.5000000000000102</c:v>
                </c:pt>
                <c:pt idx="16">
                  <c:v>-3.4000000000000101</c:v>
                </c:pt>
                <c:pt idx="17">
                  <c:v>-3.30000000000001</c:v>
                </c:pt>
                <c:pt idx="18">
                  <c:v>-3.2000000000000099</c:v>
                </c:pt>
                <c:pt idx="19">
                  <c:v>-3.1000000000000099</c:v>
                </c:pt>
                <c:pt idx="20">
                  <c:v>-3.0000000000000102</c:v>
                </c:pt>
                <c:pt idx="21">
                  <c:v>-2.9000000000000101</c:v>
                </c:pt>
                <c:pt idx="22">
                  <c:v>-2.80000000000001</c:v>
                </c:pt>
                <c:pt idx="23">
                  <c:v>-2.7000000000000099</c:v>
                </c:pt>
                <c:pt idx="24">
                  <c:v>-2.6000000000000099</c:v>
                </c:pt>
                <c:pt idx="25">
                  <c:v>-2.5000000000000102</c:v>
                </c:pt>
                <c:pt idx="26">
                  <c:v>-2.4000000000000101</c:v>
                </c:pt>
                <c:pt idx="27">
                  <c:v>-2.30000000000001</c:v>
                </c:pt>
                <c:pt idx="28">
                  <c:v>-2.2000000000000099</c:v>
                </c:pt>
                <c:pt idx="29">
                  <c:v>-2.1000000000000099</c:v>
                </c:pt>
                <c:pt idx="30">
                  <c:v>-2.0000000000000102</c:v>
                </c:pt>
                <c:pt idx="31">
                  <c:v>-1.9000000000000099</c:v>
                </c:pt>
                <c:pt idx="32">
                  <c:v>-1.80000000000001</c:v>
                </c:pt>
                <c:pt idx="33">
                  <c:v>-1.7000000000000099</c:v>
                </c:pt>
                <c:pt idx="34">
                  <c:v>-1.6000000000000101</c:v>
                </c:pt>
                <c:pt idx="35">
                  <c:v>-1.50000000000001</c:v>
                </c:pt>
                <c:pt idx="36">
                  <c:v>-1.4000000000000099</c:v>
                </c:pt>
                <c:pt idx="37">
                  <c:v>-1.30000000000001</c:v>
                </c:pt>
                <c:pt idx="38">
                  <c:v>-1.2000000000000099</c:v>
                </c:pt>
                <c:pt idx="39">
                  <c:v>-1.1000000000000101</c:v>
                </c:pt>
                <c:pt idx="40">
                  <c:v>-1.00000000000001</c:v>
                </c:pt>
                <c:pt idx="41">
                  <c:v>-0.90000000000001001</c:v>
                </c:pt>
                <c:pt idx="42">
                  <c:v>-0.80000000000001004</c:v>
                </c:pt>
                <c:pt idx="43">
                  <c:v>-0.70000000000002005</c:v>
                </c:pt>
                <c:pt idx="44">
                  <c:v>-0.60000000000001996</c:v>
                </c:pt>
                <c:pt idx="45">
                  <c:v>-0.50000000000001998</c:v>
                </c:pt>
                <c:pt idx="46">
                  <c:v>-0.40000000000002001</c:v>
                </c:pt>
                <c:pt idx="47">
                  <c:v>-0.30000000000001997</c:v>
                </c:pt>
                <c:pt idx="48">
                  <c:v>-0.20000000000002</c:v>
                </c:pt>
                <c:pt idx="49">
                  <c:v>-0.10000000000002</c:v>
                </c:pt>
                <c:pt idx="50">
                  <c:v>-2.0428103653102899E-14</c:v>
                </c:pt>
                <c:pt idx="51">
                  <c:v>9.9999999999980105E-2</c:v>
                </c:pt>
                <c:pt idx="52">
                  <c:v>0.19999999999998</c:v>
                </c:pt>
                <c:pt idx="53">
                  <c:v>0.29999999999998</c:v>
                </c:pt>
                <c:pt idx="54">
                  <c:v>0.39999999999997998</c:v>
                </c:pt>
                <c:pt idx="55">
                  <c:v>0.49999999999998002</c:v>
                </c:pt>
                <c:pt idx="56">
                  <c:v>0.59999999999997999</c:v>
                </c:pt>
                <c:pt idx="57">
                  <c:v>0.69999999999997997</c:v>
                </c:pt>
                <c:pt idx="58">
                  <c:v>0.79999999999997995</c:v>
                </c:pt>
                <c:pt idx="59">
                  <c:v>0.89999999999998004</c:v>
                </c:pt>
                <c:pt idx="60">
                  <c:v>0.99999999999998002</c:v>
                </c:pt>
                <c:pt idx="61">
                  <c:v>1.0999999999999801</c:v>
                </c:pt>
                <c:pt idx="62">
                  <c:v>1.19999999999998</c:v>
                </c:pt>
                <c:pt idx="63">
                  <c:v>1.2999999999999801</c:v>
                </c:pt>
                <c:pt idx="64">
                  <c:v>1.3999999999999799</c:v>
                </c:pt>
                <c:pt idx="65">
                  <c:v>1.49999999999998</c:v>
                </c:pt>
                <c:pt idx="66">
                  <c:v>1.5999999999999801</c:v>
                </c:pt>
                <c:pt idx="67">
                  <c:v>1.69999999999998</c:v>
                </c:pt>
                <c:pt idx="68">
                  <c:v>1.7999999999999801</c:v>
                </c:pt>
                <c:pt idx="69">
                  <c:v>1.8999999999999799</c:v>
                </c:pt>
                <c:pt idx="70">
                  <c:v>1.99999999999998</c:v>
                </c:pt>
                <c:pt idx="71">
                  <c:v>2.0999999999999699</c:v>
                </c:pt>
                <c:pt idx="72">
                  <c:v>2.19999999999997</c:v>
                </c:pt>
                <c:pt idx="73">
                  <c:v>2.2999999999999701</c:v>
                </c:pt>
                <c:pt idx="74">
                  <c:v>2.3999999999999702</c:v>
                </c:pt>
                <c:pt idx="75">
                  <c:v>2.4999999999999698</c:v>
                </c:pt>
                <c:pt idx="76">
                  <c:v>2.5999999999999699</c:v>
                </c:pt>
                <c:pt idx="77">
                  <c:v>2.69999999999997</c:v>
                </c:pt>
                <c:pt idx="78">
                  <c:v>2.7999999999999701</c:v>
                </c:pt>
                <c:pt idx="79">
                  <c:v>2.8999999999999702</c:v>
                </c:pt>
                <c:pt idx="80">
                  <c:v>2.9999999999999698</c:v>
                </c:pt>
                <c:pt idx="81">
                  <c:v>3.0999999999999699</c:v>
                </c:pt>
                <c:pt idx="82">
                  <c:v>3.19999999999997</c:v>
                </c:pt>
                <c:pt idx="83">
                  <c:v>3.2999999999999701</c:v>
                </c:pt>
                <c:pt idx="84">
                  <c:v>3.3999999999999702</c:v>
                </c:pt>
                <c:pt idx="85">
                  <c:v>3.4999999999999698</c:v>
                </c:pt>
                <c:pt idx="86">
                  <c:v>3.5999999999999699</c:v>
                </c:pt>
                <c:pt idx="87">
                  <c:v>3.69999999999997</c:v>
                </c:pt>
                <c:pt idx="88">
                  <c:v>3.7999999999999701</c:v>
                </c:pt>
                <c:pt idx="89">
                  <c:v>3.8999999999999702</c:v>
                </c:pt>
                <c:pt idx="90">
                  <c:v>3.9999999999999698</c:v>
                </c:pt>
                <c:pt idx="91">
                  <c:v>4.0999999999999703</c:v>
                </c:pt>
                <c:pt idx="92">
                  <c:v>4.19999999999997</c:v>
                </c:pt>
                <c:pt idx="93">
                  <c:v>4.2999999999999696</c:v>
                </c:pt>
                <c:pt idx="94">
                  <c:v>4.3999999999999702</c:v>
                </c:pt>
                <c:pt idx="95">
                  <c:v>4.4999999999999698</c:v>
                </c:pt>
                <c:pt idx="96">
                  <c:v>4.5999999999999703</c:v>
                </c:pt>
                <c:pt idx="97">
                  <c:v>4.69999999999997</c:v>
                </c:pt>
                <c:pt idx="98">
                  <c:v>4.7999999999999696</c:v>
                </c:pt>
                <c:pt idx="99">
                  <c:v>4.8999999999999604</c:v>
                </c:pt>
              </c:numCache>
            </c:numRef>
          </c:xVal>
          <c:yVal>
            <c:numRef>
              <c:f>Secant!$B$7:$B$106</c:f>
              <c:numCache>
                <c:formatCode>General</c:formatCode>
                <c:ptCount val="100"/>
                <c:pt idx="0">
                  <c:v>-122</c:v>
                </c:pt>
                <c:pt idx="1">
                  <c:v>-114.74900000000002</c:v>
                </c:pt>
                <c:pt idx="2">
                  <c:v>-107.792</c:v>
                </c:pt>
                <c:pt idx="3">
                  <c:v>-101.12300000000002</c:v>
                </c:pt>
                <c:pt idx="4">
                  <c:v>-94.735999999999976</c:v>
                </c:pt>
                <c:pt idx="5">
                  <c:v>-88.625</c:v>
                </c:pt>
                <c:pt idx="6">
                  <c:v>-82.78400000000002</c:v>
                </c:pt>
                <c:pt idx="7">
                  <c:v>-77.206999999999994</c:v>
                </c:pt>
                <c:pt idx="8">
                  <c:v>-71.888000000000005</c:v>
                </c:pt>
                <c:pt idx="9">
                  <c:v>-66.820999999999998</c:v>
                </c:pt>
                <c:pt idx="10">
                  <c:v>-62</c:v>
                </c:pt>
                <c:pt idx="11">
                  <c:v>-57.418999999999997</c:v>
                </c:pt>
                <c:pt idx="12">
                  <c:v>-53.071999999999996</c:v>
                </c:pt>
                <c:pt idx="13">
                  <c:v>-48.953000000000003</c:v>
                </c:pt>
                <c:pt idx="14">
                  <c:v>-45.056000000000004</c:v>
                </c:pt>
                <c:pt idx="15">
                  <c:v>-41.375000000000369</c:v>
                </c:pt>
                <c:pt idx="16">
                  <c:v>-37.904000000000337</c:v>
                </c:pt>
                <c:pt idx="17">
                  <c:v>-34.63700000000032</c:v>
                </c:pt>
                <c:pt idx="18">
                  <c:v>-31.568000000000296</c:v>
                </c:pt>
                <c:pt idx="19">
                  <c:v>-28.691000000000276</c:v>
                </c:pt>
                <c:pt idx="20">
                  <c:v>-26.000000000000263</c:v>
                </c:pt>
                <c:pt idx="21">
                  <c:v>-23.489000000000246</c:v>
                </c:pt>
                <c:pt idx="22">
                  <c:v>-21.152000000000225</c:v>
                </c:pt>
                <c:pt idx="23">
                  <c:v>-18.983000000000207</c:v>
                </c:pt>
                <c:pt idx="24">
                  <c:v>-16.976000000000191</c:v>
                </c:pt>
                <c:pt idx="25">
                  <c:v>-15.125000000000181</c:v>
                </c:pt>
                <c:pt idx="26">
                  <c:v>-13.424000000000166</c:v>
                </c:pt>
                <c:pt idx="27">
                  <c:v>-11.86700000000015</c:v>
                </c:pt>
                <c:pt idx="28">
                  <c:v>-10.448000000000134</c:v>
                </c:pt>
                <c:pt idx="29">
                  <c:v>-9.1610000000001186</c:v>
                </c:pt>
                <c:pt idx="30">
                  <c:v>-8.0000000000001119</c:v>
                </c:pt>
                <c:pt idx="31">
                  <c:v>-6.9590000000000973</c:v>
                </c:pt>
                <c:pt idx="32">
                  <c:v>-6.0320000000000871</c:v>
                </c:pt>
                <c:pt idx="33">
                  <c:v>-5.2130000000000765</c:v>
                </c:pt>
                <c:pt idx="34">
                  <c:v>-4.4960000000000671</c:v>
                </c:pt>
                <c:pt idx="35">
                  <c:v>-3.8750000000000577</c:v>
                </c:pt>
                <c:pt idx="36">
                  <c:v>-3.3440000000000483</c:v>
                </c:pt>
                <c:pt idx="37">
                  <c:v>-2.8970000000000411</c:v>
                </c:pt>
                <c:pt idx="38">
                  <c:v>-2.5280000000000333</c:v>
                </c:pt>
                <c:pt idx="39">
                  <c:v>-2.2310000000000265</c:v>
                </c:pt>
                <c:pt idx="40">
                  <c:v>-2.00000000000002</c:v>
                </c:pt>
                <c:pt idx="41">
                  <c:v>-1.8290000000000144</c:v>
                </c:pt>
                <c:pt idx="42">
                  <c:v>-1.7120000000000093</c:v>
                </c:pt>
                <c:pt idx="43">
                  <c:v>-1.6430000000000096</c:v>
                </c:pt>
                <c:pt idx="44">
                  <c:v>-1.6160000000000017</c:v>
                </c:pt>
                <c:pt idx="45">
                  <c:v>-1.6249999999999951</c:v>
                </c:pt>
                <c:pt idx="46">
                  <c:v>-1.6639999999999895</c:v>
                </c:pt>
                <c:pt idx="47">
                  <c:v>-1.7269999999999854</c:v>
                </c:pt>
                <c:pt idx="48">
                  <c:v>-1.8079999999999825</c:v>
                </c:pt>
                <c:pt idx="49">
                  <c:v>-1.9009999999999807</c:v>
                </c:pt>
                <c:pt idx="50">
                  <c:v>-1.9999999999999796</c:v>
                </c:pt>
                <c:pt idx="51">
                  <c:v>-2.0989999999999807</c:v>
                </c:pt>
                <c:pt idx="52">
                  <c:v>-2.1919999999999824</c:v>
                </c:pt>
                <c:pt idx="53">
                  <c:v>-2.2729999999999855</c:v>
                </c:pt>
                <c:pt idx="54">
                  <c:v>-2.3359999999999896</c:v>
                </c:pt>
                <c:pt idx="55">
                  <c:v>-2.3749999999999951</c:v>
                </c:pt>
                <c:pt idx="56">
                  <c:v>-2.3840000000000017</c:v>
                </c:pt>
                <c:pt idx="57">
                  <c:v>-2.3570000000000095</c:v>
                </c:pt>
                <c:pt idx="58">
                  <c:v>-2.2880000000000185</c:v>
                </c:pt>
                <c:pt idx="59">
                  <c:v>-2.1710000000000287</c:v>
                </c:pt>
                <c:pt idx="60">
                  <c:v>-2.00000000000004</c:v>
                </c:pt>
                <c:pt idx="61">
                  <c:v>-1.7690000000000523</c:v>
                </c:pt>
                <c:pt idx="62">
                  <c:v>-1.4720000000000664</c:v>
                </c:pt>
                <c:pt idx="63">
                  <c:v>-1.1030000000000812</c:v>
                </c:pt>
                <c:pt idx="64">
                  <c:v>-0.65600000000009784</c:v>
                </c:pt>
                <c:pt idx="65">
                  <c:v>-0.12500000000011502</c:v>
                </c:pt>
                <c:pt idx="66">
                  <c:v>0.49599999999986721</c:v>
                </c:pt>
                <c:pt idx="67">
                  <c:v>1.2129999999998464</c:v>
                </c:pt>
                <c:pt idx="68">
                  <c:v>2.0319999999998259</c:v>
                </c:pt>
                <c:pt idx="69">
                  <c:v>2.9589999999998033</c:v>
                </c:pt>
                <c:pt idx="70">
                  <c:v>3.9999999999997797</c:v>
                </c:pt>
                <c:pt idx="71">
                  <c:v>5.1609999999996319</c:v>
                </c:pt>
                <c:pt idx="72">
                  <c:v>6.4479999999995918</c:v>
                </c:pt>
                <c:pt idx="73">
                  <c:v>7.866999999999555</c:v>
                </c:pt>
                <c:pt idx="74">
                  <c:v>9.4239999999995145</c:v>
                </c:pt>
                <c:pt idx="75">
                  <c:v>11.124999999999464</c:v>
                </c:pt>
                <c:pt idx="76">
                  <c:v>12.97599999999942</c:v>
                </c:pt>
                <c:pt idx="77">
                  <c:v>14.982999999999372</c:v>
                </c:pt>
                <c:pt idx="78">
                  <c:v>17.151999999999326</c:v>
                </c:pt>
                <c:pt idx="79">
                  <c:v>19.488999999999276</c:v>
                </c:pt>
                <c:pt idx="80">
                  <c:v>21.999999999999211</c:v>
                </c:pt>
                <c:pt idx="81">
                  <c:v>24.690999999999161</c:v>
                </c:pt>
                <c:pt idx="82">
                  <c:v>27.567999999999106</c:v>
                </c:pt>
                <c:pt idx="83">
                  <c:v>30.636999999999048</c:v>
                </c:pt>
                <c:pt idx="84">
                  <c:v>33.903999999998994</c:v>
                </c:pt>
                <c:pt idx="85">
                  <c:v>37.37499999999892</c:v>
                </c:pt>
                <c:pt idx="86">
                  <c:v>41.055999999998853</c:v>
                </c:pt>
                <c:pt idx="87">
                  <c:v>44.952999999998795</c:v>
                </c:pt>
                <c:pt idx="88">
                  <c:v>49.071999999998731</c:v>
                </c:pt>
                <c:pt idx="89">
                  <c:v>53.418999999998668</c:v>
                </c:pt>
                <c:pt idx="90">
                  <c:v>57.999999999998579</c:v>
                </c:pt>
                <c:pt idx="91">
                  <c:v>62.820999999998534</c:v>
                </c:pt>
                <c:pt idx="92">
                  <c:v>67.887999999998442</c:v>
                </c:pt>
                <c:pt idx="93">
                  <c:v>73.206999999998345</c:v>
                </c:pt>
                <c:pt idx="94">
                  <c:v>78.783999999998287</c:v>
                </c:pt>
                <c:pt idx="95">
                  <c:v>84.624999999998195</c:v>
                </c:pt>
                <c:pt idx="96">
                  <c:v>90.735999999998143</c:v>
                </c:pt>
                <c:pt idx="97">
                  <c:v>97.122999999998044</c:v>
                </c:pt>
                <c:pt idx="98">
                  <c:v>103.79199999999793</c:v>
                </c:pt>
                <c:pt idx="99">
                  <c:v>110.74899999999718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39B-4B3D-A1E4-6FD4E6B9660F}"/>
            </c:ext>
          </c:extLst>
        </c:ser>
        <c:ser>
          <c:idx val="0"/>
          <c:order val="1"/>
          <c:tx>
            <c:strRef>
              <c:f>Secant!$F$6</c:f>
              <c:strCache>
                <c:ptCount val="1"/>
                <c:pt idx="0">
                  <c:v>x_n</c:v>
                </c:pt>
              </c:strCache>
            </c:strRef>
          </c:tx>
          <c:spPr>
            <a:ln w="158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  <a:round/>
              </a:ln>
              <a:effectLst/>
            </c:spPr>
          </c:marker>
          <c:xVal>
            <c:numRef>
              <c:f>Secant!$F$7:$F$15</c:f>
              <c:numCache>
                <c:formatCode>General</c:formatCode>
                <c:ptCount val="9"/>
                <c:pt idx="0">
                  <c:v>2</c:v>
                </c:pt>
                <c:pt idx="1">
                  <c:v>1.3333333333333335</c:v>
                </c:pt>
                <c:pt idx="2">
                  <c:v>1.4626865671641791</c:v>
                </c:pt>
                <c:pt idx="3">
                  <c:v>1.5311694321412044</c:v>
                </c:pt>
                <c:pt idx="4">
                  <c:v>1.5209264205152802</c:v>
                </c:pt>
                <c:pt idx="5">
                  <c:v>1.5213763166697438</c:v>
                </c:pt>
                <c:pt idx="6">
                  <c:v>1.5213797079848717</c:v>
                </c:pt>
                <c:pt idx="7">
                  <c:v>1.5213797068045645</c:v>
                </c:pt>
                <c:pt idx="8">
                  <c:v>1.5213797068045676</c:v>
                </c:pt>
              </c:numCache>
            </c:numRef>
          </c:xVal>
          <c:yVal>
            <c:numRef>
              <c:f>Secant!$H$7:$H$15</c:f>
              <c:numCache>
                <c:formatCode>General</c:formatCode>
                <c:ptCount val="9"/>
                <c:pt idx="0">
                  <c:v>4</c:v>
                </c:pt>
                <c:pt idx="1">
                  <c:v>-0.96296296296296235</c:v>
                </c:pt>
                <c:pt idx="2">
                  <c:v>-0.33333887479510449</c:v>
                </c:pt>
                <c:pt idx="3">
                  <c:v>5.8626417709449985E-2</c:v>
                </c:pt>
                <c:pt idx="4">
                  <c:v>-2.6933002019973173E-3</c:v>
                </c:pt>
                <c:pt idx="5">
                  <c:v>-2.0150192386658716E-5</c:v>
                </c:pt>
                <c:pt idx="6">
                  <c:v>7.0154779763242914E-9</c:v>
                </c:pt>
                <c:pt idx="7">
                  <c:v>-1.7985612998927536E-14</c:v>
                </c:pt>
                <c:pt idx="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39B-4B3D-A1E4-6FD4E6B9660F}"/>
            </c:ext>
          </c:extLst>
        </c:ser>
        <c:ser>
          <c:idx val="1"/>
          <c:order val="2"/>
          <c:tx>
            <c:strRef>
              <c:f>Secant!$E$6</c:f>
              <c:strCache>
                <c:ptCount val="1"/>
                <c:pt idx="0">
                  <c:v>x_n-1</c:v>
                </c:pt>
              </c:strCache>
            </c:strRef>
          </c:tx>
          <c:spPr>
            <a:ln w="158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  <a:round/>
              </a:ln>
              <a:effectLst/>
            </c:spPr>
          </c:marker>
          <c:xVal>
            <c:numRef>
              <c:f>Secant!$E$7:$E$15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1.3333333333333335</c:v>
                </c:pt>
                <c:pt idx="3">
                  <c:v>1.4626865671641791</c:v>
                </c:pt>
                <c:pt idx="4">
                  <c:v>1.5311694321412044</c:v>
                </c:pt>
                <c:pt idx="5">
                  <c:v>1.5209264205152802</c:v>
                </c:pt>
                <c:pt idx="6">
                  <c:v>1.5213763166697438</c:v>
                </c:pt>
                <c:pt idx="7">
                  <c:v>1.5213797079848717</c:v>
                </c:pt>
                <c:pt idx="8">
                  <c:v>1.5213797068045645</c:v>
                </c:pt>
              </c:numCache>
            </c:numRef>
          </c:xVal>
          <c:yVal>
            <c:numRef>
              <c:f>Secant!$G$7:$G$15</c:f>
              <c:numCache>
                <c:formatCode>General</c:formatCode>
                <c:ptCount val="9"/>
                <c:pt idx="0">
                  <c:v>-2</c:v>
                </c:pt>
                <c:pt idx="1">
                  <c:v>4</c:v>
                </c:pt>
                <c:pt idx="2">
                  <c:v>-0.96296296296296235</c:v>
                </c:pt>
                <c:pt idx="3">
                  <c:v>-0.33333887479510449</c:v>
                </c:pt>
                <c:pt idx="4">
                  <c:v>5.8626417709449985E-2</c:v>
                </c:pt>
                <c:pt idx="5">
                  <c:v>-2.6933002019973173E-3</c:v>
                </c:pt>
                <c:pt idx="6">
                  <c:v>-2.0150192386658716E-5</c:v>
                </c:pt>
                <c:pt idx="7">
                  <c:v>7.0154779763242914E-9</c:v>
                </c:pt>
                <c:pt idx="8">
                  <c:v>-1.7985612998927536E-14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39B-4B3D-A1E4-6FD4E6B96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9839392"/>
        <c:axId val="1329840112"/>
      </c:scatterChart>
      <c:valAx>
        <c:axId val="1329839392"/>
        <c:scaling>
          <c:orientation val="minMax"/>
          <c:max val="3"/>
          <c:min val="-1"/>
        </c:scaling>
        <c:delete val="0"/>
        <c:axPos val="b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29840112"/>
        <c:crosses val="autoZero"/>
        <c:crossBetween val="midCat"/>
      </c:valAx>
      <c:valAx>
        <c:axId val="1329840112"/>
        <c:scaling>
          <c:orientation val="minMax"/>
          <c:max val="5"/>
          <c:min val="-3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29839392"/>
        <c:crosses val="autoZero"/>
        <c:crossBetween val="midCat"/>
      </c:valAx>
      <c:spPr>
        <a:noFill/>
        <a:ln>
          <a:solidFill>
            <a:schemeClr val="bg2">
              <a:lumMod val="75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>
          <a:lumMod val="7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1600" b="1"/>
              <a:t>Convergence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Secant!$I$6</c:f>
              <c:strCache>
                <c:ptCount val="1"/>
                <c:pt idx="0">
                  <c:v>x_n+1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Secant!$D$7:$D$15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Secant!$I$7:$I$15</c:f>
              <c:numCache>
                <c:formatCode>General</c:formatCode>
                <c:ptCount val="9"/>
                <c:pt idx="0">
                  <c:v>1.3333333333333335</c:v>
                </c:pt>
                <c:pt idx="1">
                  <c:v>1.4626865671641791</c:v>
                </c:pt>
                <c:pt idx="2">
                  <c:v>1.5311694321412044</c:v>
                </c:pt>
                <c:pt idx="3">
                  <c:v>1.5209264205152802</c:v>
                </c:pt>
                <c:pt idx="4">
                  <c:v>1.5213763166697438</c:v>
                </c:pt>
                <c:pt idx="5">
                  <c:v>1.5213797079848717</c:v>
                </c:pt>
                <c:pt idx="6">
                  <c:v>1.5213797068045645</c:v>
                </c:pt>
                <c:pt idx="7">
                  <c:v>1.5213797068045676</c:v>
                </c:pt>
                <c:pt idx="8">
                  <c:v>1.5213797068045676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23C-4666-8E35-3C103A804816}"/>
            </c:ext>
          </c:extLst>
        </c:ser>
        <c:ser>
          <c:idx val="2"/>
          <c:order val="1"/>
          <c:tx>
            <c:strRef>
              <c:f>Secant!$E$6</c:f>
              <c:strCache>
                <c:ptCount val="1"/>
                <c:pt idx="0">
                  <c:v>x_n-1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Secant!$D$7:$D$15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Secant!$E$7:$E$15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1.3333333333333335</c:v>
                </c:pt>
                <c:pt idx="3">
                  <c:v>1.4626865671641791</c:v>
                </c:pt>
                <c:pt idx="4">
                  <c:v>1.5311694321412044</c:v>
                </c:pt>
                <c:pt idx="5">
                  <c:v>1.5209264205152802</c:v>
                </c:pt>
                <c:pt idx="6">
                  <c:v>1.5213763166697438</c:v>
                </c:pt>
                <c:pt idx="7">
                  <c:v>1.5213797079848717</c:v>
                </c:pt>
                <c:pt idx="8">
                  <c:v>1.5213797068045645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23C-4666-8E35-3C103A804816}"/>
            </c:ext>
          </c:extLst>
        </c:ser>
        <c:ser>
          <c:idx val="4"/>
          <c:order val="2"/>
          <c:tx>
            <c:strRef>
              <c:f>Secant!$F$6</c:f>
              <c:strCache>
                <c:ptCount val="1"/>
                <c:pt idx="0">
                  <c:v>x_n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Secant!$D$7:$D$15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Secant!$F$7:$F$15</c:f>
              <c:numCache>
                <c:formatCode>General</c:formatCode>
                <c:ptCount val="9"/>
                <c:pt idx="0">
                  <c:v>2</c:v>
                </c:pt>
                <c:pt idx="1">
                  <c:v>1.3333333333333335</c:v>
                </c:pt>
                <c:pt idx="2">
                  <c:v>1.4626865671641791</c:v>
                </c:pt>
                <c:pt idx="3">
                  <c:v>1.5311694321412044</c:v>
                </c:pt>
                <c:pt idx="4">
                  <c:v>1.5209264205152802</c:v>
                </c:pt>
                <c:pt idx="5">
                  <c:v>1.5213763166697438</c:v>
                </c:pt>
                <c:pt idx="6">
                  <c:v>1.5213797079848717</c:v>
                </c:pt>
                <c:pt idx="7">
                  <c:v>1.5213797068045645</c:v>
                </c:pt>
                <c:pt idx="8">
                  <c:v>1.5213797068045676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23C-4666-8E35-3C103A804816}"/>
            </c:ext>
          </c:extLst>
        </c:ser>
        <c:ser>
          <c:idx val="3"/>
          <c:order val="3"/>
          <c:tx>
            <c:strRef>
              <c:f>Secant!$J$6</c:f>
              <c:strCache>
                <c:ptCount val="1"/>
                <c:pt idx="0">
                  <c:v>Error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Secant!$D$7:$D$15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Secant!$J$7:$J$15</c:f>
              <c:numCache>
                <c:formatCode>General</c:formatCode>
                <c:ptCount val="9"/>
                <c:pt idx="0">
                  <c:v>0.66666666666666652</c:v>
                </c:pt>
                <c:pt idx="1">
                  <c:v>0.12935323383084563</c:v>
                </c:pt>
                <c:pt idx="2">
                  <c:v>6.8482864977025271E-2</c:v>
                </c:pt>
                <c:pt idx="3">
                  <c:v>1.0243011625924225E-2</c:v>
                </c:pt>
                <c:pt idx="4">
                  <c:v>4.4989615446366926E-4</c:v>
                </c:pt>
                <c:pt idx="5">
                  <c:v>3.3913151278319731E-6</c:v>
                </c:pt>
                <c:pt idx="6">
                  <c:v>1.1803071853222491E-9</c:v>
                </c:pt>
                <c:pt idx="7">
                  <c:v>3.1086244689504383E-15</c:v>
                </c:pt>
                <c:pt idx="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23C-4666-8E35-3C103A804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9839392"/>
        <c:axId val="1329840112"/>
      </c:scatterChart>
      <c:valAx>
        <c:axId val="1329839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title>
          <c:tx>
            <c:strRef>
              <c:f>Bisection!$D$6</c:f>
              <c:strCache>
                <c:ptCount val="1"/>
                <c:pt idx="0">
                  <c:v>Iteration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29840112"/>
        <c:crosses val="autoZero"/>
        <c:crossBetween val="midCat"/>
      </c:valAx>
      <c:valAx>
        <c:axId val="132984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Value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29839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>
          <a:lumMod val="7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1600" b="1"/>
              <a:t>Convergence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Muller!$E$8</c:f>
              <c:strCache>
                <c:ptCount val="1"/>
                <c:pt idx="0">
                  <c:v>x_0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Muller!$D$9:$D$15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Muller!$E$9:$E$15</c:f>
              <c:numCache>
                <c:formatCode>General</c:formatCode>
                <c:ptCount val="7"/>
                <c:pt idx="0">
                  <c:v>1</c:v>
                </c:pt>
                <c:pt idx="1">
                  <c:v>1.2</c:v>
                </c:pt>
                <c:pt idx="2">
                  <c:v>1.5</c:v>
                </c:pt>
                <c:pt idx="3">
                  <c:v>1.5386144950094331</c:v>
                </c:pt>
                <c:pt idx="4">
                  <c:v>1.5208311352555848</c:v>
                </c:pt>
                <c:pt idx="5">
                  <c:v>1.5213655316982775</c:v>
                </c:pt>
                <c:pt idx="6">
                  <c:v>1.5213797187782307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A32-43D6-A4C3-1F9DEEDDDB2C}"/>
            </c:ext>
          </c:extLst>
        </c:ser>
        <c:ser>
          <c:idx val="1"/>
          <c:order val="1"/>
          <c:tx>
            <c:strRef>
              <c:f>Muller!$F$8</c:f>
              <c:strCache>
                <c:ptCount val="1"/>
                <c:pt idx="0">
                  <c:v>x_1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Muller!$D$9:$D$15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Muller!$F$9:$F$15</c:f>
              <c:numCache>
                <c:formatCode>General</c:formatCode>
                <c:ptCount val="7"/>
                <c:pt idx="0">
                  <c:v>1.2</c:v>
                </c:pt>
                <c:pt idx="1">
                  <c:v>1.5</c:v>
                </c:pt>
                <c:pt idx="2">
                  <c:v>1.5386144950094331</c:v>
                </c:pt>
                <c:pt idx="3">
                  <c:v>1.5208311352555848</c:v>
                </c:pt>
                <c:pt idx="4">
                  <c:v>1.5213655316982775</c:v>
                </c:pt>
                <c:pt idx="5">
                  <c:v>1.5213797187782307</c:v>
                </c:pt>
                <c:pt idx="6">
                  <c:v>1.5213797068043069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A32-43D6-A4C3-1F9DEEDDDB2C}"/>
            </c:ext>
          </c:extLst>
        </c:ser>
        <c:ser>
          <c:idx val="2"/>
          <c:order val="2"/>
          <c:tx>
            <c:strRef>
              <c:f>Muller!$G$8</c:f>
              <c:strCache>
                <c:ptCount val="1"/>
                <c:pt idx="0">
                  <c:v>x_2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Muller!$D$9:$D$15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Muller!$G$9:$G$15</c:f>
              <c:numCache>
                <c:formatCode>General</c:formatCode>
                <c:ptCount val="7"/>
                <c:pt idx="0">
                  <c:v>1.5</c:v>
                </c:pt>
                <c:pt idx="1">
                  <c:v>1.5386144950094331</c:v>
                </c:pt>
                <c:pt idx="2">
                  <c:v>1.5208311352555848</c:v>
                </c:pt>
                <c:pt idx="3">
                  <c:v>1.5213655316982775</c:v>
                </c:pt>
                <c:pt idx="4">
                  <c:v>1.5213797187782307</c:v>
                </c:pt>
                <c:pt idx="5">
                  <c:v>1.5213797068043069</c:v>
                </c:pt>
                <c:pt idx="6">
                  <c:v>1.5213797068045676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A32-43D6-A4C3-1F9DEEDDDB2C}"/>
            </c:ext>
          </c:extLst>
        </c:ser>
        <c:ser>
          <c:idx val="4"/>
          <c:order val="3"/>
          <c:tx>
            <c:strRef>
              <c:f>Muller!$M$8</c:f>
              <c:strCache>
                <c:ptCount val="1"/>
                <c:pt idx="0">
                  <c:v>x_3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Muller!$D$9:$D$15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Muller!$M$9:$M$15</c:f>
              <c:numCache>
                <c:formatCode>General</c:formatCode>
                <c:ptCount val="7"/>
                <c:pt idx="0">
                  <c:v>1.5386144950094331</c:v>
                </c:pt>
                <c:pt idx="1">
                  <c:v>1.5208311352555848</c:v>
                </c:pt>
                <c:pt idx="2">
                  <c:v>1.5213655316982775</c:v>
                </c:pt>
                <c:pt idx="3">
                  <c:v>1.5213797187782307</c:v>
                </c:pt>
                <c:pt idx="4">
                  <c:v>1.5213797068043069</c:v>
                </c:pt>
                <c:pt idx="5">
                  <c:v>1.5213797068045676</c:v>
                </c:pt>
                <c:pt idx="6">
                  <c:v>1.5213797068045676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A32-43D6-A4C3-1F9DEEDDDB2C}"/>
            </c:ext>
          </c:extLst>
        </c:ser>
        <c:ser>
          <c:idx val="3"/>
          <c:order val="4"/>
          <c:tx>
            <c:strRef>
              <c:f>Muller!$N$8</c:f>
              <c:strCache>
                <c:ptCount val="1"/>
                <c:pt idx="0">
                  <c:v>Error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Muller!$D$9:$D$15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Muller!$N$9:$N$15</c:f>
              <c:numCache>
                <c:formatCode>General</c:formatCode>
                <c:ptCount val="7"/>
                <c:pt idx="0">
                  <c:v>3.8614495009433147E-2</c:v>
                </c:pt>
                <c:pt idx="1">
                  <c:v>1.7783359753848371E-2</c:v>
                </c:pt>
                <c:pt idx="2">
                  <c:v>5.3439644269270836E-4</c:v>
                </c:pt>
                <c:pt idx="3">
                  <c:v>1.4187079953265069E-5</c:v>
                </c:pt>
                <c:pt idx="4">
                  <c:v>1.1973923852437451E-8</c:v>
                </c:pt>
                <c:pt idx="5">
                  <c:v>2.6068036618198676E-13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A32-43D6-A4C3-1F9DEEDDD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9839392"/>
        <c:axId val="1329840112"/>
      </c:scatterChart>
      <c:valAx>
        <c:axId val="1329839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title>
          <c:tx>
            <c:strRef>
              <c:f>Bisection!$D$6</c:f>
              <c:strCache>
                <c:ptCount val="1"/>
                <c:pt idx="0">
                  <c:v>Iteration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29840112"/>
        <c:crosses val="autoZero"/>
        <c:crossBetween val="midCat"/>
      </c:valAx>
      <c:valAx>
        <c:axId val="132984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Value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29839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>
          <a:lumMod val="7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Muller</a:t>
            </a:r>
            <a:endParaRPr 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Muller!$E$8</c:f>
              <c:strCache>
                <c:ptCount val="1"/>
                <c:pt idx="0">
                  <c:v>x_0</c:v>
                </c:pt>
              </c:strCache>
            </c:strRef>
          </c:tx>
          <c:spPr>
            <a:ln w="158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  <a:round/>
              </a:ln>
              <a:effectLst/>
            </c:spPr>
          </c:marker>
          <c:xVal>
            <c:numRef>
              <c:f>Muller!$E$9:$E$15</c:f>
              <c:numCache>
                <c:formatCode>General</c:formatCode>
                <c:ptCount val="7"/>
                <c:pt idx="0">
                  <c:v>1</c:v>
                </c:pt>
                <c:pt idx="1">
                  <c:v>1.2</c:v>
                </c:pt>
                <c:pt idx="2">
                  <c:v>1.5</c:v>
                </c:pt>
                <c:pt idx="3">
                  <c:v>1.5386144950094331</c:v>
                </c:pt>
                <c:pt idx="4">
                  <c:v>1.5208311352555848</c:v>
                </c:pt>
                <c:pt idx="5">
                  <c:v>1.5213655316982775</c:v>
                </c:pt>
                <c:pt idx="6">
                  <c:v>1.5213797187782307</c:v>
                </c:pt>
              </c:numCache>
            </c:numRef>
          </c:xVal>
          <c:yVal>
            <c:numRef>
              <c:f>Muller!$H$9:$H$15</c:f>
              <c:numCache>
                <c:formatCode>General</c:formatCode>
                <c:ptCount val="7"/>
                <c:pt idx="0">
                  <c:v>-2</c:v>
                </c:pt>
                <c:pt idx="1">
                  <c:v>-1.472</c:v>
                </c:pt>
                <c:pt idx="2">
                  <c:v>-0.125</c:v>
                </c:pt>
                <c:pt idx="3">
                  <c:v>0.103800780087278</c:v>
                </c:pt>
                <c:pt idx="4">
                  <c:v>-3.2592200146317474E-3</c:v>
                </c:pt>
                <c:pt idx="5">
                  <c:v>-8.4252918606475546E-5</c:v>
                </c:pt>
                <c:pt idx="6">
                  <c:v>7.1168924087317009E-8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BE-4F6E-BE8D-A2E269AF41B3}"/>
            </c:ext>
          </c:extLst>
        </c:ser>
        <c:ser>
          <c:idx val="1"/>
          <c:order val="1"/>
          <c:tx>
            <c:strRef>
              <c:f>Muller!$F$8</c:f>
              <c:strCache>
                <c:ptCount val="1"/>
                <c:pt idx="0">
                  <c:v>x_1</c:v>
                </c:pt>
              </c:strCache>
            </c:strRef>
          </c:tx>
          <c:spPr>
            <a:ln w="158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  <a:round/>
              </a:ln>
              <a:effectLst/>
            </c:spPr>
          </c:marker>
          <c:xVal>
            <c:numRef>
              <c:f>Muller!$F$9:$F$15</c:f>
              <c:numCache>
                <c:formatCode>General</c:formatCode>
                <c:ptCount val="7"/>
                <c:pt idx="0">
                  <c:v>1.2</c:v>
                </c:pt>
                <c:pt idx="1">
                  <c:v>1.5</c:v>
                </c:pt>
                <c:pt idx="2">
                  <c:v>1.5386144950094331</c:v>
                </c:pt>
                <c:pt idx="3">
                  <c:v>1.5208311352555848</c:v>
                </c:pt>
                <c:pt idx="4">
                  <c:v>1.5213655316982775</c:v>
                </c:pt>
                <c:pt idx="5">
                  <c:v>1.5213797187782307</c:v>
                </c:pt>
                <c:pt idx="6">
                  <c:v>1.5213797068043069</c:v>
                </c:pt>
              </c:numCache>
            </c:numRef>
          </c:xVal>
          <c:yVal>
            <c:numRef>
              <c:f>Muller!$I$9:$I$15</c:f>
              <c:numCache>
                <c:formatCode>General</c:formatCode>
                <c:ptCount val="7"/>
                <c:pt idx="0">
                  <c:v>-1.472</c:v>
                </c:pt>
                <c:pt idx="1">
                  <c:v>-0.125</c:v>
                </c:pt>
                <c:pt idx="2">
                  <c:v>0.103800780087278</c:v>
                </c:pt>
                <c:pt idx="3">
                  <c:v>-3.2592200146317474E-3</c:v>
                </c:pt>
                <c:pt idx="4">
                  <c:v>-8.4252918606475546E-5</c:v>
                </c:pt>
                <c:pt idx="5">
                  <c:v>7.1168924087317009E-8</c:v>
                </c:pt>
                <c:pt idx="6">
                  <c:v>-1.5492052085619434E-12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2BE-4F6E-BE8D-A2E269AF41B3}"/>
            </c:ext>
          </c:extLst>
        </c:ser>
        <c:ser>
          <c:idx val="2"/>
          <c:order val="2"/>
          <c:tx>
            <c:strRef>
              <c:f>Muller!$G$8</c:f>
              <c:strCache>
                <c:ptCount val="1"/>
                <c:pt idx="0">
                  <c:v>x_2</c:v>
                </c:pt>
              </c:strCache>
            </c:strRef>
          </c:tx>
          <c:spPr>
            <a:ln w="158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  <a:round/>
              </a:ln>
              <a:effectLst/>
            </c:spPr>
          </c:marker>
          <c:xVal>
            <c:numRef>
              <c:f>Muller!$G$9:$G$15</c:f>
              <c:numCache>
                <c:formatCode>General</c:formatCode>
                <c:ptCount val="7"/>
                <c:pt idx="0">
                  <c:v>1.5</c:v>
                </c:pt>
                <c:pt idx="1">
                  <c:v>1.5386144950094331</c:v>
                </c:pt>
                <c:pt idx="2">
                  <c:v>1.5208311352555848</c:v>
                </c:pt>
                <c:pt idx="3">
                  <c:v>1.5213655316982775</c:v>
                </c:pt>
                <c:pt idx="4">
                  <c:v>1.5213797187782307</c:v>
                </c:pt>
                <c:pt idx="5">
                  <c:v>1.5213797068043069</c:v>
                </c:pt>
                <c:pt idx="6">
                  <c:v>1.5213797068045676</c:v>
                </c:pt>
              </c:numCache>
            </c:numRef>
          </c:xVal>
          <c:yVal>
            <c:numRef>
              <c:f>Muller!$J$9:$J$15</c:f>
              <c:numCache>
                <c:formatCode>General</c:formatCode>
                <c:ptCount val="7"/>
                <c:pt idx="0">
                  <c:v>-0.125</c:v>
                </c:pt>
                <c:pt idx="1">
                  <c:v>0.103800780087278</c:v>
                </c:pt>
                <c:pt idx="2">
                  <c:v>-3.2592200146317474E-3</c:v>
                </c:pt>
                <c:pt idx="3">
                  <c:v>-8.4252918606475546E-5</c:v>
                </c:pt>
                <c:pt idx="4">
                  <c:v>7.1168924087317009E-8</c:v>
                </c:pt>
                <c:pt idx="5">
                  <c:v>-1.5492052085619434E-12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2BE-4F6E-BE8D-A2E269AF41B3}"/>
            </c:ext>
          </c:extLst>
        </c:ser>
        <c:ser>
          <c:idx val="3"/>
          <c:order val="3"/>
          <c:tx>
            <c:strRef>
              <c:f>Muller!$B$7</c:f>
              <c:strCache>
                <c:ptCount val="1"/>
                <c:pt idx="0">
                  <c:v>f(x)</c:v>
                </c:pt>
              </c:strCache>
            </c:strRef>
          </c:tx>
          <c:spPr>
            <a:ln w="952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  <a:round/>
              </a:ln>
              <a:effectLst/>
            </c:spPr>
          </c:marker>
          <c:dPt>
            <c:idx val="60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  <a:round/>
                </a:ln>
                <a:effectLst/>
              </c:spPr>
            </c:marker>
            <c:bubble3D val="0"/>
            <c:spPr>
              <a:ln w="15875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2BE-4F6E-BE8D-A2E269AF41B3}"/>
              </c:ext>
            </c:extLst>
          </c:dPt>
          <c:dPt>
            <c:idx val="65"/>
            <c:marker>
              <c:symbol val="circle"/>
              <c:size val="5"/>
              <c:spPr>
                <a:noFill/>
                <a:ln w="9525">
                  <a:noFill/>
                  <a:round/>
                </a:ln>
                <a:effectLst/>
              </c:spPr>
            </c:marker>
            <c:bubble3D val="0"/>
            <c:spPr>
              <a:ln w="9525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02BE-4F6E-BE8D-A2E269AF41B3}"/>
              </c:ext>
            </c:extLst>
          </c:dPt>
          <c:xVal>
            <c:numRef>
              <c:f>Muller!$A$8:$A$107</c:f>
              <c:numCache>
                <c:formatCode>General</c:formatCode>
                <c:ptCount val="100"/>
                <c:pt idx="0">
                  <c:v>-5</c:v>
                </c:pt>
                <c:pt idx="1">
                  <c:v>-4.9000000000000004</c:v>
                </c:pt>
                <c:pt idx="2">
                  <c:v>-4.8</c:v>
                </c:pt>
                <c:pt idx="3">
                  <c:v>-4.7</c:v>
                </c:pt>
                <c:pt idx="4">
                  <c:v>-4.5999999999999996</c:v>
                </c:pt>
                <c:pt idx="5">
                  <c:v>-4.5</c:v>
                </c:pt>
                <c:pt idx="6">
                  <c:v>-4.4000000000000004</c:v>
                </c:pt>
                <c:pt idx="7">
                  <c:v>-4.3</c:v>
                </c:pt>
                <c:pt idx="8">
                  <c:v>-4.2</c:v>
                </c:pt>
                <c:pt idx="9">
                  <c:v>-4.0999999999999996</c:v>
                </c:pt>
                <c:pt idx="10">
                  <c:v>-4</c:v>
                </c:pt>
                <c:pt idx="11">
                  <c:v>-3.9</c:v>
                </c:pt>
                <c:pt idx="12">
                  <c:v>-3.8</c:v>
                </c:pt>
                <c:pt idx="13">
                  <c:v>-3.7</c:v>
                </c:pt>
                <c:pt idx="14">
                  <c:v>-3.6</c:v>
                </c:pt>
                <c:pt idx="15">
                  <c:v>-3.5000000000000102</c:v>
                </c:pt>
                <c:pt idx="16">
                  <c:v>-3.4000000000000101</c:v>
                </c:pt>
                <c:pt idx="17">
                  <c:v>-3.30000000000001</c:v>
                </c:pt>
                <c:pt idx="18">
                  <c:v>-3.2000000000000099</c:v>
                </c:pt>
                <c:pt idx="19">
                  <c:v>-3.1000000000000099</c:v>
                </c:pt>
                <c:pt idx="20">
                  <c:v>-3.0000000000000102</c:v>
                </c:pt>
                <c:pt idx="21">
                  <c:v>-2.9000000000000101</c:v>
                </c:pt>
                <c:pt idx="22">
                  <c:v>-2.80000000000001</c:v>
                </c:pt>
                <c:pt idx="23">
                  <c:v>-2.7000000000000099</c:v>
                </c:pt>
                <c:pt idx="24">
                  <c:v>-2.6000000000000099</c:v>
                </c:pt>
                <c:pt idx="25">
                  <c:v>-2.5000000000000102</c:v>
                </c:pt>
                <c:pt idx="26">
                  <c:v>-2.4000000000000101</c:v>
                </c:pt>
                <c:pt idx="27">
                  <c:v>-2.30000000000001</c:v>
                </c:pt>
                <c:pt idx="28">
                  <c:v>-2.2000000000000099</c:v>
                </c:pt>
                <c:pt idx="29">
                  <c:v>-2.1000000000000099</c:v>
                </c:pt>
                <c:pt idx="30">
                  <c:v>-2.0000000000000102</c:v>
                </c:pt>
                <c:pt idx="31">
                  <c:v>-1.9000000000000099</c:v>
                </c:pt>
                <c:pt idx="32">
                  <c:v>-1.80000000000001</c:v>
                </c:pt>
                <c:pt idx="33">
                  <c:v>-1.7000000000000099</c:v>
                </c:pt>
                <c:pt idx="34">
                  <c:v>-1.6000000000000101</c:v>
                </c:pt>
                <c:pt idx="35">
                  <c:v>-1.50000000000001</c:v>
                </c:pt>
                <c:pt idx="36">
                  <c:v>-1.4000000000000099</c:v>
                </c:pt>
                <c:pt idx="37">
                  <c:v>-1.30000000000001</c:v>
                </c:pt>
                <c:pt idx="38">
                  <c:v>-1.2000000000000099</c:v>
                </c:pt>
                <c:pt idx="39">
                  <c:v>-1.1000000000000101</c:v>
                </c:pt>
                <c:pt idx="40">
                  <c:v>-1.00000000000001</c:v>
                </c:pt>
                <c:pt idx="41">
                  <c:v>-0.90000000000001001</c:v>
                </c:pt>
                <c:pt idx="42">
                  <c:v>-0.80000000000001004</c:v>
                </c:pt>
                <c:pt idx="43">
                  <c:v>-0.70000000000002005</c:v>
                </c:pt>
                <c:pt idx="44">
                  <c:v>-0.60000000000001996</c:v>
                </c:pt>
                <c:pt idx="45">
                  <c:v>-0.50000000000001998</c:v>
                </c:pt>
                <c:pt idx="46">
                  <c:v>-0.40000000000002001</c:v>
                </c:pt>
                <c:pt idx="47">
                  <c:v>-0.30000000000001997</c:v>
                </c:pt>
                <c:pt idx="48">
                  <c:v>-0.20000000000002</c:v>
                </c:pt>
                <c:pt idx="49">
                  <c:v>-0.10000000000002</c:v>
                </c:pt>
                <c:pt idx="50">
                  <c:v>-2.0428103653102899E-14</c:v>
                </c:pt>
                <c:pt idx="51">
                  <c:v>9.9999999999980105E-2</c:v>
                </c:pt>
                <c:pt idx="52">
                  <c:v>0.19999999999998</c:v>
                </c:pt>
                <c:pt idx="53">
                  <c:v>0.29999999999998</c:v>
                </c:pt>
                <c:pt idx="54">
                  <c:v>0.39999999999997998</c:v>
                </c:pt>
                <c:pt idx="55">
                  <c:v>0.49999999999998002</c:v>
                </c:pt>
                <c:pt idx="56">
                  <c:v>0.59999999999997999</c:v>
                </c:pt>
                <c:pt idx="57">
                  <c:v>0.69999999999997997</c:v>
                </c:pt>
                <c:pt idx="58">
                  <c:v>0.79999999999997995</c:v>
                </c:pt>
                <c:pt idx="59">
                  <c:v>0.89999999999998004</c:v>
                </c:pt>
                <c:pt idx="60">
                  <c:v>0.99999999999998002</c:v>
                </c:pt>
                <c:pt idx="61">
                  <c:v>1.0999999999999801</c:v>
                </c:pt>
                <c:pt idx="62">
                  <c:v>1.19999999999998</c:v>
                </c:pt>
                <c:pt idx="63">
                  <c:v>1.2999999999999801</c:v>
                </c:pt>
                <c:pt idx="64">
                  <c:v>1.3999999999999799</c:v>
                </c:pt>
                <c:pt idx="65">
                  <c:v>1.49999999999998</c:v>
                </c:pt>
                <c:pt idx="66">
                  <c:v>1.5999999999999801</c:v>
                </c:pt>
                <c:pt idx="67">
                  <c:v>1.69999999999998</c:v>
                </c:pt>
                <c:pt idx="68">
                  <c:v>1.7999999999999801</c:v>
                </c:pt>
                <c:pt idx="69">
                  <c:v>1.8999999999999799</c:v>
                </c:pt>
                <c:pt idx="70">
                  <c:v>1.99999999999998</c:v>
                </c:pt>
                <c:pt idx="71">
                  <c:v>2.0999999999999699</c:v>
                </c:pt>
                <c:pt idx="72">
                  <c:v>2.19999999999997</c:v>
                </c:pt>
                <c:pt idx="73">
                  <c:v>2.2999999999999701</c:v>
                </c:pt>
                <c:pt idx="74">
                  <c:v>2.3999999999999702</c:v>
                </c:pt>
                <c:pt idx="75">
                  <c:v>2.4999999999999698</c:v>
                </c:pt>
                <c:pt idx="76">
                  <c:v>2.5999999999999699</c:v>
                </c:pt>
                <c:pt idx="77">
                  <c:v>2.69999999999997</c:v>
                </c:pt>
                <c:pt idx="78">
                  <c:v>2.7999999999999701</c:v>
                </c:pt>
                <c:pt idx="79">
                  <c:v>2.8999999999999702</c:v>
                </c:pt>
                <c:pt idx="80">
                  <c:v>2.9999999999999698</c:v>
                </c:pt>
                <c:pt idx="81">
                  <c:v>3.0999999999999699</c:v>
                </c:pt>
                <c:pt idx="82">
                  <c:v>3.19999999999997</c:v>
                </c:pt>
                <c:pt idx="83">
                  <c:v>3.2999999999999701</c:v>
                </c:pt>
                <c:pt idx="84">
                  <c:v>3.3999999999999702</c:v>
                </c:pt>
                <c:pt idx="85">
                  <c:v>3.4999999999999698</c:v>
                </c:pt>
                <c:pt idx="86">
                  <c:v>3.5999999999999699</c:v>
                </c:pt>
                <c:pt idx="87">
                  <c:v>3.69999999999997</c:v>
                </c:pt>
                <c:pt idx="88">
                  <c:v>3.7999999999999701</c:v>
                </c:pt>
                <c:pt idx="89">
                  <c:v>3.8999999999999702</c:v>
                </c:pt>
                <c:pt idx="90">
                  <c:v>3.9999999999999698</c:v>
                </c:pt>
                <c:pt idx="91">
                  <c:v>4.0999999999999703</c:v>
                </c:pt>
                <c:pt idx="92">
                  <c:v>4.19999999999997</c:v>
                </c:pt>
                <c:pt idx="93">
                  <c:v>4.2999999999999696</c:v>
                </c:pt>
                <c:pt idx="94">
                  <c:v>4.3999999999999702</c:v>
                </c:pt>
                <c:pt idx="95">
                  <c:v>4.4999999999999698</c:v>
                </c:pt>
                <c:pt idx="96">
                  <c:v>4.5999999999999703</c:v>
                </c:pt>
                <c:pt idx="97">
                  <c:v>4.69999999999997</c:v>
                </c:pt>
                <c:pt idx="98">
                  <c:v>4.7999999999999696</c:v>
                </c:pt>
                <c:pt idx="99">
                  <c:v>4.8999999999999604</c:v>
                </c:pt>
              </c:numCache>
            </c:numRef>
          </c:xVal>
          <c:yVal>
            <c:numRef>
              <c:f>Muller!$B$8:$B$107</c:f>
              <c:numCache>
                <c:formatCode>General</c:formatCode>
                <c:ptCount val="100"/>
                <c:pt idx="0">
                  <c:v>-122</c:v>
                </c:pt>
                <c:pt idx="1">
                  <c:v>-114.74900000000002</c:v>
                </c:pt>
                <c:pt idx="2">
                  <c:v>-107.792</c:v>
                </c:pt>
                <c:pt idx="3">
                  <c:v>-101.12300000000002</c:v>
                </c:pt>
                <c:pt idx="4">
                  <c:v>-94.735999999999976</c:v>
                </c:pt>
                <c:pt idx="5">
                  <c:v>-88.625</c:v>
                </c:pt>
                <c:pt idx="6">
                  <c:v>-82.78400000000002</c:v>
                </c:pt>
                <c:pt idx="7">
                  <c:v>-77.206999999999994</c:v>
                </c:pt>
                <c:pt idx="8">
                  <c:v>-71.888000000000005</c:v>
                </c:pt>
                <c:pt idx="9">
                  <c:v>-66.820999999999998</c:v>
                </c:pt>
                <c:pt idx="10">
                  <c:v>-62</c:v>
                </c:pt>
                <c:pt idx="11">
                  <c:v>-57.418999999999997</c:v>
                </c:pt>
                <c:pt idx="12">
                  <c:v>-53.071999999999996</c:v>
                </c:pt>
                <c:pt idx="13">
                  <c:v>-48.953000000000003</c:v>
                </c:pt>
                <c:pt idx="14">
                  <c:v>-45.056000000000004</c:v>
                </c:pt>
                <c:pt idx="15">
                  <c:v>-41.375000000000369</c:v>
                </c:pt>
                <c:pt idx="16">
                  <c:v>-37.904000000000337</c:v>
                </c:pt>
                <c:pt idx="17">
                  <c:v>-34.63700000000032</c:v>
                </c:pt>
                <c:pt idx="18">
                  <c:v>-31.568000000000296</c:v>
                </c:pt>
                <c:pt idx="19">
                  <c:v>-28.691000000000276</c:v>
                </c:pt>
                <c:pt idx="20">
                  <c:v>-26.000000000000263</c:v>
                </c:pt>
                <c:pt idx="21">
                  <c:v>-23.489000000000246</c:v>
                </c:pt>
                <c:pt idx="22">
                  <c:v>-21.152000000000225</c:v>
                </c:pt>
                <c:pt idx="23">
                  <c:v>-18.983000000000207</c:v>
                </c:pt>
                <c:pt idx="24">
                  <c:v>-16.976000000000191</c:v>
                </c:pt>
                <c:pt idx="25">
                  <c:v>-15.125000000000181</c:v>
                </c:pt>
                <c:pt idx="26">
                  <c:v>-13.424000000000166</c:v>
                </c:pt>
                <c:pt idx="27">
                  <c:v>-11.86700000000015</c:v>
                </c:pt>
                <c:pt idx="28">
                  <c:v>-10.448000000000134</c:v>
                </c:pt>
                <c:pt idx="29">
                  <c:v>-9.1610000000001186</c:v>
                </c:pt>
                <c:pt idx="30">
                  <c:v>-8.0000000000001119</c:v>
                </c:pt>
                <c:pt idx="31">
                  <c:v>-6.9590000000000973</c:v>
                </c:pt>
                <c:pt idx="32">
                  <c:v>-6.0320000000000871</c:v>
                </c:pt>
                <c:pt idx="33">
                  <c:v>-5.2130000000000765</c:v>
                </c:pt>
                <c:pt idx="34">
                  <c:v>-4.4960000000000671</c:v>
                </c:pt>
                <c:pt idx="35">
                  <c:v>-3.8750000000000577</c:v>
                </c:pt>
                <c:pt idx="36">
                  <c:v>-3.3440000000000483</c:v>
                </c:pt>
                <c:pt idx="37">
                  <c:v>-2.8970000000000411</c:v>
                </c:pt>
                <c:pt idx="38">
                  <c:v>-2.5280000000000333</c:v>
                </c:pt>
                <c:pt idx="39">
                  <c:v>-2.2310000000000265</c:v>
                </c:pt>
                <c:pt idx="40">
                  <c:v>-2.00000000000002</c:v>
                </c:pt>
                <c:pt idx="41">
                  <c:v>-1.8290000000000144</c:v>
                </c:pt>
                <c:pt idx="42">
                  <c:v>-1.7120000000000093</c:v>
                </c:pt>
                <c:pt idx="43">
                  <c:v>-1.6430000000000096</c:v>
                </c:pt>
                <c:pt idx="44">
                  <c:v>-1.6160000000000017</c:v>
                </c:pt>
                <c:pt idx="45">
                  <c:v>-1.6249999999999951</c:v>
                </c:pt>
                <c:pt idx="46">
                  <c:v>-1.6639999999999895</c:v>
                </c:pt>
                <c:pt idx="47">
                  <c:v>-1.7269999999999854</c:v>
                </c:pt>
                <c:pt idx="48">
                  <c:v>-1.8079999999999825</c:v>
                </c:pt>
                <c:pt idx="49">
                  <c:v>-1.9009999999999807</c:v>
                </c:pt>
                <c:pt idx="50">
                  <c:v>-1.9999999999999796</c:v>
                </c:pt>
                <c:pt idx="51">
                  <c:v>-2.0989999999999807</c:v>
                </c:pt>
                <c:pt idx="52">
                  <c:v>-2.1919999999999824</c:v>
                </c:pt>
                <c:pt idx="53">
                  <c:v>-2.2729999999999855</c:v>
                </c:pt>
                <c:pt idx="54">
                  <c:v>-2.3359999999999896</c:v>
                </c:pt>
                <c:pt idx="55">
                  <c:v>-2.3749999999999951</c:v>
                </c:pt>
                <c:pt idx="56">
                  <c:v>-2.3840000000000017</c:v>
                </c:pt>
                <c:pt idx="57">
                  <c:v>-2.3570000000000095</c:v>
                </c:pt>
                <c:pt idx="58">
                  <c:v>-2.2880000000000185</c:v>
                </c:pt>
                <c:pt idx="59">
                  <c:v>-2.1710000000000287</c:v>
                </c:pt>
                <c:pt idx="60">
                  <c:v>-2.00000000000004</c:v>
                </c:pt>
                <c:pt idx="61">
                  <c:v>-1.7690000000000523</c:v>
                </c:pt>
                <c:pt idx="62">
                  <c:v>-1.4720000000000664</c:v>
                </c:pt>
                <c:pt idx="63">
                  <c:v>-1.1030000000000812</c:v>
                </c:pt>
                <c:pt idx="64">
                  <c:v>-0.65600000000009784</c:v>
                </c:pt>
                <c:pt idx="65">
                  <c:v>-0.12500000000011502</c:v>
                </c:pt>
                <c:pt idx="66">
                  <c:v>0.49599999999986721</c:v>
                </c:pt>
                <c:pt idx="67">
                  <c:v>1.2129999999998464</c:v>
                </c:pt>
                <c:pt idx="68">
                  <c:v>2.0319999999998259</c:v>
                </c:pt>
                <c:pt idx="69">
                  <c:v>2.9589999999998033</c:v>
                </c:pt>
                <c:pt idx="70">
                  <c:v>3.9999999999997797</c:v>
                </c:pt>
                <c:pt idx="71">
                  <c:v>5.1609999999996319</c:v>
                </c:pt>
                <c:pt idx="72">
                  <c:v>6.4479999999995918</c:v>
                </c:pt>
                <c:pt idx="73">
                  <c:v>7.866999999999555</c:v>
                </c:pt>
                <c:pt idx="74">
                  <c:v>9.4239999999995145</c:v>
                </c:pt>
                <c:pt idx="75">
                  <c:v>11.124999999999464</c:v>
                </c:pt>
                <c:pt idx="76">
                  <c:v>12.97599999999942</c:v>
                </c:pt>
                <c:pt idx="77">
                  <c:v>14.982999999999372</c:v>
                </c:pt>
                <c:pt idx="78">
                  <c:v>17.151999999999326</c:v>
                </c:pt>
                <c:pt idx="79">
                  <c:v>19.488999999999276</c:v>
                </c:pt>
                <c:pt idx="80">
                  <c:v>21.999999999999211</c:v>
                </c:pt>
                <c:pt idx="81">
                  <c:v>24.690999999999161</c:v>
                </c:pt>
                <c:pt idx="82">
                  <c:v>27.567999999999106</c:v>
                </c:pt>
                <c:pt idx="83">
                  <c:v>30.636999999999048</c:v>
                </c:pt>
                <c:pt idx="84">
                  <c:v>33.903999999998994</c:v>
                </c:pt>
                <c:pt idx="85">
                  <c:v>37.37499999999892</c:v>
                </c:pt>
                <c:pt idx="86">
                  <c:v>41.055999999998853</c:v>
                </c:pt>
                <c:pt idx="87">
                  <c:v>44.952999999998795</c:v>
                </c:pt>
                <c:pt idx="88">
                  <c:v>49.071999999998731</c:v>
                </c:pt>
                <c:pt idx="89">
                  <c:v>53.418999999998668</c:v>
                </c:pt>
                <c:pt idx="90">
                  <c:v>57.999999999998579</c:v>
                </c:pt>
                <c:pt idx="91">
                  <c:v>62.820999999998534</c:v>
                </c:pt>
                <c:pt idx="92">
                  <c:v>67.887999999998442</c:v>
                </c:pt>
                <c:pt idx="93">
                  <c:v>73.206999999998345</c:v>
                </c:pt>
                <c:pt idx="94">
                  <c:v>78.783999999998287</c:v>
                </c:pt>
                <c:pt idx="95">
                  <c:v>84.624999999998195</c:v>
                </c:pt>
                <c:pt idx="96">
                  <c:v>90.735999999998143</c:v>
                </c:pt>
                <c:pt idx="97">
                  <c:v>97.122999999998044</c:v>
                </c:pt>
                <c:pt idx="98">
                  <c:v>103.79199999999793</c:v>
                </c:pt>
                <c:pt idx="99">
                  <c:v>110.74899999999718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2BE-4F6E-BE8D-A2E269AF4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9839392"/>
        <c:axId val="1329840112"/>
      </c:scatterChart>
      <c:valAx>
        <c:axId val="1329839392"/>
        <c:scaling>
          <c:orientation val="minMax"/>
          <c:max val="2"/>
          <c:min val="0.5"/>
        </c:scaling>
        <c:delete val="0"/>
        <c:axPos val="b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29840112"/>
        <c:crosses val="autoZero"/>
        <c:crossBetween val="midCat"/>
      </c:valAx>
      <c:valAx>
        <c:axId val="1329840112"/>
        <c:scaling>
          <c:orientation val="minMax"/>
          <c:max val="1"/>
          <c:min val="-2.5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29839392"/>
        <c:crosses val="autoZero"/>
        <c:crossBetween val="midCat"/>
      </c:valAx>
      <c:spPr>
        <a:noFill/>
        <a:ln>
          <a:solidFill>
            <a:schemeClr val="bg2">
              <a:lumMod val="75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>
          <a:lumMod val="7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Halley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0"/>
          <c:tx>
            <c:strRef>
              <c:f>Halley!$B$7</c:f>
              <c:strCache>
                <c:ptCount val="1"/>
                <c:pt idx="0">
                  <c:v>f(x)</c:v>
                </c:pt>
              </c:strCache>
            </c:strRef>
          </c:tx>
          <c:spPr>
            <a:ln w="952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  <a:round/>
              </a:ln>
              <a:effectLst/>
            </c:spPr>
          </c:marker>
          <c:xVal>
            <c:numRef>
              <c:f>Halley!$A$8:$A$107</c:f>
              <c:numCache>
                <c:formatCode>General</c:formatCode>
                <c:ptCount val="100"/>
                <c:pt idx="0">
                  <c:v>-5</c:v>
                </c:pt>
                <c:pt idx="1">
                  <c:v>-4.9000000000000004</c:v>
                </c:pt>
                <c:pt idx="2">
                  <c:v>-4.8</c:v>
                </c:pt>
                <c:pt idx="3">
                  <c:v>-4.7</c:v>
                </c:pt>
                <c:pt idx="4">
                  <c:v>-4.5999999999999996</c:v>
                </c:pt>
                <c:pt idx="5">
                  <c:v>-4.5</c:v>
                </c:pt>
                <c:pt idx="6">
                  <c:v>-4.4000000000000004</c:v>
                </c:pt>
                <c:pt idx="7">
                  <c:v>-4.3</c:v>
                </c:pt>
                <c:pt idx="8">
                  <c:v>-4.2</c:v>
                </c:pt>
                <c:pt idx="9">
                  <c:v>-4.0999999999999996</c:v>
                </c:pt>
                <c:pt idx="10">
                  <c:v>-4</c:v>
                </c:pt>
                <c:pt idx="11">
                  <c:v>-3.9</c:v>
                </c:pt>
                <c:pt idx="12">
                  <c:v>-3.8</c:v>
                </c:pt>
                <c:pt idx="13">
                  <c:v>-3.7</c:v>
                </c:pt>
                <c:pt idx="14">
                  <c:v>-3.6</c:v>
                </c:pt>
                <c:pt idx="15">
                  <c:v>-3.5000000000000102</c:v>
                </c:pt>
                <c:pt idx="16">
                  <c:v>-3.4000000000000101</c:v>
                </c:pt>
                <c:pt idx="17">
                  <c:v>-3.30000000000001</c:v>
                </c:pt>
                <c:pt idx="18">
                  <c:v>-3.2000000000000099</c:v>
                </c:pt>
                <c:pt idx="19">
                  <c:v>-3.1000000000000099</c:v>
                </c:pt>
                <c:pt idx="20">
                  <c:v>-3.0000000000000102</c:v>
                </c:pt>
                <c:pt idx="21">
                  <c:v>-2.9000000000000101</c:v>
                </c:pt>
                <c:pt idx="22">
                  <c:v>-2.80000000000001</c:v>
                </c:pt>
                <c:pt idx="23">
                  <c:v>-2.7000000000000099</c:v>
                </c:pt>
                <c:pt idx="24">
                  <c:v>-2.6000000000000099</c:v>
                </c:pt>
                <c:pt idx="25">
                  <c:v>-2.5000000000000102</c:v>
                </c:pt>
                <c:pt idx="26">
                  <c:v>-2.4000000000000101</c:v>
                </c:pt>
                <c:pt idx="27">
                  <c:v>-2.30000000000001</c:v>
                </c:pt>
                <c:pt idx="28">
                  <c:v>-2.2000000000000099</c:v>
                </c:pt>
                <c:pt idx="29">
                  <c:v>-2.1000000000000099</c:v>
                </c:pt>
                <c:pt idx="30">
                  <c:v>-2.0000000000000102</c:v>
                </c:pt>
                <c:pt idx="31">
                  <c:v>-1.9000000000000099</c:v>
                </c:pt>
                <c:pt idx="32">
                  <c:v>-1.80000000000001</c:v>
                </c:pt>
                <c:pt idx="33">
                  <c:v>-1.7000000000000099</c:v>
                </c:pt>
                <c:pt idx="34">
                  <c:v>-1.6000000000000101</c:v>
                </c:pt>
                <c:pt idx="35">
                  <c:v>-1.50000000000001</c:v>
                </c:pt>
                <c:pt idx="36">
                  <c:v>-1.4000000000000099</c:v>
                </c:pt>
                <c:pt idx="37">
                  <c:v>-1.30000000000001</c:v>
                </c:pt>
                <c:pt idx="38">
                  <c:v>-1.2000000000000099</c:v>
                </c:pt>
                <c:pt idx="39">
                  <c:v>-1.1000000000000101</c:v>
                </c:pt>
                <c:pt idx="40">
                  <c:v>-1.00000000000001</c:v>
                </c:pt>
                <c:pt idx="41">
                  <c:v>-0.90000000000001001</c:v>
                </c:pt>
                <c:pt idx="42">
                  <c:v>-0.80000000000001004</c:v>
                </c:pt>
                <c:pt idx="43">
                  <c:v>-0.70000000000002005</c:v>
                </c:pt>
                <c:pt idx="44">
                  <c:v>-0.60000000000001996</c:v>
                </c:pt>
                <c:pt idx="45">
                  <c:v>-0.50000000000001998</c:v>
                </c:pt>
                <c:pt idx="46">
                  <c:v>-0.40000000000002001</c:v>
                </c:pt>
                <c:pt idx="47">
                  <c:v>-0.30000000000001997</c:v>
                </c:pt>
                <c:pt idx="48">
                  <c:v>-0.20000000000002</c:v>
                </c:pt>
                <c:pt idx="49">
                  <c:v>-0.10000000000002</c:v>
                </c:pt>
                <c:pt idx="50">
                  <c:v>-2.0428103653102899E-14</c:v>
                </c:pt>
                <c:pt idx="51">
                  <c:v>9.9999999999980105E-2</c:v>
                </c:pt>
                <c:pt idx="52">
                  <c:v>0.19999999999998</c:v>
                </c:pt>
                <c:pt idx="53">
                  <c:v>0.29999999999998</c:v>
                </c:pt>
                <c:pt idx="54">
                  <c:v>0.39999999999997998</c:v>
                </c:pt>
                <c:pt idx="55">
                  <c:v>0.49999999999998002</c:v>
                </c:pt>
                <c:pt idx="56">
                  <c:v>0.59999999999997999</c:v>
                </c:pt>
                <c:pt idx="57">
                  <c:v>0.69999999999997997</c:v>
                </c:pt>
                <c:pt idx="58">
                  <c:v>0.79999999999997995</c:v>
                </c:pt>
                <c:pt idx="59">
                  <c:v>0.89999999999998004</c:v>
                </c:pt>
                <c:pt idx="60">
                  <c:v>0.99999999999998002</c:v>
                </c:pt>
                <c:pt idx="61">
                  <c:v>1.0999999999999801</c:v>
                </c:pt>
                <c:pt idx="62">
                  <c:v>1.19999999999998</c:v>
                </c:pt>
                <c:pt idx="63">
                  <c:v>1.2999999999999801</c:v>
                </c:pt>
                <c:pt idx="64">
                  <c:v>1.3999999999999799</c:v>
                </c:pt>
                <c:pt idx="65">
                  <c:v>1.49999999999998</c:v>
                </c:pt>
                <c:pt idx="66">
                  <c:v>1.5999999999999801</c:v>
                </c:pt>
                <c:pt idx="67">
                  <c:v>1.69999999999998</c:v>
                </c:pt>
                <c:pt idx="68">
                  <c:v>1.7999999999999801</c:v>
                </c:pt>
                <c:pt idx="69">
                  <c:v>1.8999999999999799</c:v>
                </c:pt>
                <c:pt idx="70">
                  <c:v>1.99999999999998</c:v>
                </c:pt>
                <c:pt idx="71">
                  <c:v>2.0999999999999699</c:v>
                </c:pt>
                <c:pt idx="72">
                  <c:v>2.19999999999997</c:v>
                </c:pt>
                <c:pt idx="73">
                  <c:v>2.2999999999999701</c:v>
                </c:pt>
                <c:pt idx="74">
                  <c:v>2.3999999999999702</c:v>
                </c:pt>
                <c:pt idx="75">
                  <c:v>2.4999999999999698</c:v>
                </c:pt>
                <c:pt idx="76">
                  <c:v>2.5999999999999699</c:v>
                </c:pt>
                <c:pt idx="77">
                  <c:v>2.69999999999997</c:v>
                </c:pt>
                <c:pt idx="78">
                  <c:v>2.7999999999999701</c:v>
                </c:pt>
                <c:pt idx="79">
                  <c:v>2.8999999999999702</c:v>
                </c:pt>
                <c:pt idx="80">
                  <c:v>2.9999999999999698</c:v>
                </c:pt>
                <c:pt idx="81">
                  <c:v>3.0999999999999699</c:v>
                </c:pt>
                <c:pt idx="82">
                  <c:v>3.19999999999997</c:v>
                </c:pt>
                <c:pt idx="83">
                  <c:v>3.2999999999999701</c:v>
                </c:pt>
                <c:pt idx="84">
                  <c:v>3.3999999999999702</c:v>
                </c:pt>
                <c:pt idx="85">
                  <c:v>3.4999999999999698</c:v>
                </c:pt>
                <c:pt idx="86">
                  <c:v>3.5999999999999699</c:v>
                </c:pt>
                <c:pt idx="87">
                  <c:v>3.69999999999997</c:v>
                </c:pt>
                <c:pt idx="88">
                  <c:v>3.7999999999999701</c:v>
                </c:pt>
                <c:pt idx="89">
                  <c:v>3.8999999999999702</c:v>
                </c:pt>
                <c:pt idx="90">
                  <c:v>3.9999999999999698</c:v>
                </c:pt>
                <c:pt idx="91">
                  <c:v>4.0999999999999703</c:v>
                </c:pt>
                <c:pt idx="92">
                  <c:v>4.19999999999997</c:v>
                </c:pt>
                <c:pt idx="93">
                  <c:v>4.2999999999999696</c:v>
                </c:pt>
                <c:pt idx="94">
                  <c:v>4.3999999999999702</c:v>
                </c:pt>
                <c:pt idx="95">
                  <c:v>4.4999999999999698</c:v>
                </c:pt>
                <c:pt idx="96">
                  <c:v>4.5999999999999703</c:v>
                </c:pt>
                <c:pt idx="97">
                  <c:v>4.69999999999997</c:v>
                </c:pt>
                <c:pt idx="98">
                  <c:v>4.7999999999999696</c:v>
                </c:pt>
                <c:pt idx="99">
                  <c:v>4.8999999999999604</c:v>
                </c:pt>
              </c:numCache>
            </c:numRef>
          </c:xVal>
          <c:yVal>
            <c:numRef>
              <c:f>Halley!$B$8:$B$107</c:f>
              <c:numCache>
                <c:formatCode>General</c:formatCode>
                <c:ptCount val="100"/>
                <c:pt idx="0">
                  <c:v>-122</c:v>
                </c:pt>
                <c:pt idx="1">
                  <c:v>-114.74900000000002</c:v>
                </c:pt>
                <c:pt idx="2">
                  <c:v>-107.792</c:v>
                </c:pt>
                <c:pt idx="3">
                  <c:v>-101.12300000000002</c:v>
                </c:pt>
                <c:pt idx="4">
                  <c:v>-94.735999999999976</c:v>
                </c:pt>
                <c:pt idx="5">
                  <c:v>-88.625</c:v>
                </c:pt>
                <c:pt idx="6">
                  <c:v>-82.78400000000002</c:v>
                </c:pt>
                <c:pt idx="7">
                  <c:v>-77.206999999999994</c:v>
                </c:pt>
                <c:pt idx="8">
                  <c:v>-71.888000000000005</c:v>
                </c:pt>
                <c:pt idx="9">
                  <c:v>-66.820999999999998</c:v>
                </c:pt>
                <c:pt idx="10">
                  <c:v>-62</c:v>
                </c:pt>
                <c:pt idx="11">
                  <c:v>-57.418999999999997</c:v>
                </c:pt>
                <c:pt idx="12">
                  <c:v>-53.071999999999996</c:v>
                </c:pt>
                <c:pt idx="13">
                  <c:v>-48.953000000000003</c:v>
                </c:pt>
                <c:pt idx="14">
                  <c:v>-45.056000000000004</c:v>
                </c:pt>
                <c:pt idx="15">
                  <c:v>-41.375000000000369</c:v>
                </c:pt>
                <c:pt idx="16">
                  <c:v>-37.904000000000337</c:v>
                </c:pt>
                <c:pt idx="17">
                  <c:v>-34.63700000000032</c:v>
                </c:pt>
                <c:pt idx="18">
                  <c:v>-31.568000000000296</c:v>
                </c:pt>
                <c:pt idx="19">
                  <c:v>-28.691000000000276</c:v>
                </c:pt>
                <c:pt idx="20">
                  <c:v>-26.000000000000263</c:v>
                </c:pt>
                <c:pt idx="21">
                  <c:v>-23.489000000000246</c:v>
                </c:pt>
                <c:pt idx="22">
                  <c:v>-21.152000000000225</c:v>
                </c:pt>
                <c:pt idx="23">
                  <c:v>-18.983000000000207</c:v>
                </c:pt>
                <c:pt idx="24">
                  <c:v>-16.976000000000191</c:v>
                </c:pt>
                <c:pt idx="25">
                  <c:v>-15.125000000000181</c:v>
                </c:pt>
                <c:pt idx="26">
                  <c:v>-13.424000000000166</c:v>
                </c:pt>
                <c:pt idx="27">
                  <c:v>-11.86700000000015</c:v>
                </c:pt>
                <c:pt idx="28">
                  <c:v>-10.448000000000134</c:v>
                </c:pt>
                <c:pt idx="29">
                  <c:v>-9.1610000000001186</c:v>
                </c:pt>
                <c:pt idx="30">
                  <c:v>-8.0000000000001119</c:v>
                </c:pt>
                <c:pt idx="31">
                  <c:v>-6.9590000000000973</c:v>
                </c:pt>
                <c:pt idx="32">
                  <c:v>-6.0320000000000871</c:v>
                </c:pt>
                <c:pt idx="33">
                  <c:v>-5.2130000000000765</c:v>
                </c:pt>
                <c:pt idx="34">
                  <c:v>-4.4960000000000671</c:v>
                </c:pt>
                <c:pt idx="35">
                  <c:v>-3.8750000000000577</c:v>
                </c:pt>
                <c:pt idx="36">
                  <c:v>-3.3440000000000483</c:v>
                </c:pt>
                <c:pt idx="37">
                  <c:v>-2.8970000000000411</c:v>
                </c:pt>
                <c:pt idx="38">
                  <c:v>-2.5280000000000333</c:v>
                </c:pt>
                <c:pt idx="39">
                  <c:v>-2.2310000000000265</c:v>
                </c:pt>
                <c:pt idx="40">
                  <c:v>-2.00000000000002</c:v>
                </c:pt>
                <c:pt idx="41">
                  <c:v>-1.8290000000000144</c:v>
                </c:pt>
                <c:pt idx="42">
                  <c:v>-1.7120000000000093</c:v>
                </c:pt>
                <c:pt idx="43">
                  <c:v>-1.6430000000000096</c:v>
                </c:pt>
                <c:pt idx="44">
                  <c:v>-1.6160000000000017</c:v>
                </c:pt>
                <c:pt idx="45">
                  <c:v>-1.6249999999999951</c:v>
                </c:pt>
                <c:pt idx="46">
                  <c:v>-1.6639999999999895</c:v>
                </c:pt>
                <c:pt idx="47">
                  <c:v>-1.7269999999999854</c:v>
                </c:pt>
                <c:pt idx="48">
                  <c:v>-1.8079999999999825</c:v>
                </c:pt>
                <c:pt idx="49">
                  <c:v>-1.9009999999999807</c:v>
                </c:pt>
                <c:pt idx="50">
                  <c:v>-1.9999999999999796</c:v>
                </c:pt>
                <c:pt idx="51">
                  <c:v>-2.0989999999999807</c:v>
                </c:pt>
                <c:pt idx="52">
                  <c:v>-2.1919999999999824</c:v>
                </c:pt>
                <c:pt idx="53">
                  <c:v>-2.2729999999999855</c:v>
                </c:pt>
                <c:pt idx="54">
                  <c:v>-2.3359999999999896</c:v>
                </c:pt>
                <c:pt idx="55">
                  <c:v>-2.3749999999999951</c:v>
                </c:pt>
                <c:pt idx="56">
                  <c:v>-2.3840000000000017</c:v>
                </c:pt>
                <c:pt idx="57">
                  <c:v>-2.3570000000000095</c:v>
                </c:pt>
                <c:pt idx="58">
                  <c:v>-2.2880000000000185</c:v>
                </c:pt>
                <c:pt idx="59">
                  <c:v>-2.1710000000000287</c:v>
                </c:pt>
                <c:pt idx="60">
                  <c:v>-2.00000000000004</c:v>
                </c:pt>
                <c:pt idx="61">
                  <c:v>-1.7690000000000523</c:v>
                </c:pt>
                <c:pt idx="62">
                  <c:v>-1.4720000000000664</c:v>
                </c:pt>
                <c:pt idx="63">
                  <c:v>-1.1030000000000812</c:v>
                </c:pt>
                <c:pt idx="64">
                  <c:v>-0.65600000000009784</c:v>
                </c:pt>
                <c:pt idx="65">
                  <c:v>-0.12500000000011502</c:v>
                </c:pt>
                <c:pt idx="66">
                  <c:v>0.49599999999986721</c:v>
                </c:pt>
                <c:pt idx="67">
                  <c:v>1.2129999999998464</c:v>
                </c:pt>
                <c:pt idx="68">
                  <c:v>2.0319999999998259</c:v>
                </c:pt>
                <c:pt idx="69">
                  <c:v>2.9589999999998033</c:v>
                </c:pt>
                <c:pt idx="70">
                  <c:v>3.9999999999997797</c:v>
                </c:pt>
                <c:pt idx="71">
                  <c:v>5.1609999999996319</c:v>
                </c:pt>
                <c:pt idx="72">
                  <c:v>6.4479999999995918</c:v>
                </c:pt>
                <c:pt idx="73">
                  <c:v>7.866999999999555</c:v>
                </c:pt>
                <c:pt idx="74">
                  <c:v>9.4239999999995145</c:v>
                </c:pt>
                <c:pt idx="75">
                  <c:v>11.124999999999464</c:v>
                </c:pt>
                <c:pt idx="76">
                  <c:v>12.97599999999942</c:v>
                </c:pt>
                <c:pt idx="77">
                  <c:v>14.982999999999372</c:v>
                </c:pt>
                <c:pt idx="78">
                  <c:v>17.151999999999326</c:v>
                </c:pt>
                <c:pt idx="79">
                  <c:v>19.488999999999276</c:v>
                </c:pt>
                <c:pt idx="80">
                  <c:v>21.999999999999211</c:v>
                </c:pt>
                <c:pt idx="81">
                  <c:v>24.690999999999161</c:v>
                </c:pt>
                <c:pt idx="82">
                  <c:v>27.567999999999106</c:v>
                </c:pt>
                <c:pt idx="83">
                  <c:v>30.636999999999048</c:v>
                </c:pt>
                <c:pt idx="84">
                  <c:v>33.903999999998994</c:v>
                </c:pt>
                <c:pt idx="85">
                  <c:v>37.37499999999892</c:v>
                </c:pt>
                <c:pt idx="86">
                  <c:v>41.055999999998853</c:v>
                </c:pt>
                <c:pt idx="87">
                  <c:v>44.952999999998795</c:v>
                </c:pt>
                <c:pt idx="88">
                  <c:v>49.071999999998731</c:v>
                </c:pt>
                <c:pt idx="89">
                  <c:v>53.418999999998668</c:v>
                </c:pt>
                <c:pt idx="90">
                  <c:v>57.999999999998579</c:v>
                </c:pt>
                <c:pt idx="91">
                  <c:v>62.820999999998534</c:v>
                </c:pt>
                <c:pt idx="92">
                  <c:v>67.887999999998442</c:v>
                </c:pt>
                <c:pt idx="93">
                  <c:v>73.206999999998345</c:v>
                </c:pt>
                <c:pt idx="94">
                  <c:v>78.783999999998287</c:v>
                </c:pt>
                <c:pt idx="95">
                  <c:v>84.624999999998195</c:v>
                </c:pt>
                <c:pt idx="96">
                  <c:v>90.735999999998143</c:v>
                </c:pt>
                <c:pt idx="97">
                  <c:v>97.122999999998044</c:v>
                </c:pt>
                <c:pt idx="98">
                  <c:v>103.79199999999793</c:v>
                </c:pt>
                <c:pt idx="99">
                  <c:v>110.74899999999718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F7D-4C47-89D9-31DD565B56C8}"/>
            </c:ext>
          </c:extLst>
        </c:ser>
        <c:ser>
          <c:idx val="0"/>
          <c:order val="1"/>
          <c:tx>
            <c:strRef>
              <c:f>Halley!$E$7</c:f>
              <c:strCache>
                <c:ptCount val="1"/>
                <c:pt idx="0">
                  <c:v>x_n</c:v>
                </c:pt>
              </c:strCache>
            </c:strRef>
          </c:tx>
          <c:spPr>
            <a:ln w="158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  <a:round/>
              </a:ln>
              <a:effectLst/>
            </c:spPr>
          </c:marker>
          <c:xVal>
            <c:numRef>
              <c:f>Halley!$E$8:$E$12</c:f>
              <c:numCache>
                <c:formatCode>General</c:formatCode>
                <c:ptCount val="5"/>
                <c:pt idx="0">
                  <c:v>1</c:v>
                </c:pt>
                <c:pt idx="1">
                  <c:v>1.4</c:v>
                </c:pt>
                <c:pt idx="2">
                  <c:v>1.5204865711188726</c:v>
                </c:pt>
                <c:pt idx="3">
                  <c:v>1.5213797065039694</c:v>
                </c:pt>
                <c:pt idx="4">
                  <c:v>1.5213797068045676</c:v>
                </c:pt>
              </c:numCache>
            </c:numRef>
          </c:xVal>
          <c:yVal>
            <c:numRef>
              <c:f>Halley!$F$8:$F$12</c:f>
              <c:numCache>
                <c:formatCode>General</c:formatCode>
                <c:ptCount val="5"/>
                <c:pt idx="0">
                  <c:v>-2</c:v>
                </c:pt>
                <c:pt idx="1">
                  <c:v>-0.65600000000000058</c:v>
                </c:pt>
                <c:pt idx="2">
                  <c:v>-5.3049696779172706E-3</c:v>
                </c:pt>
                <c:pt idx="3">
                  <c:v>-1.786691905536486E-9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F7D-4C47-89D9-31DD565B5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9839392"/>
        <c:axId val="1329840112"/>
      </c:scatterChart>
      <c:valAx>
        <c:axId val="1329839392"/>
        <c:scaling>
          <c:orientation val="minMax"/>
          <c:max val="2"/>
          <c:min val="0"/>
        </c:scaling>
        <c:delete val="0"/>
        <c:axPos val="b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29840112"/>
        <c:crosses val="autoZero"/>
        <c:crossBetween val="midCat"/>
      </c:valAx>
      <c:valAx>
        <c:axId val="1329840112"/>
        <c:scaling>
          <c:orientation val="minMax"/>
          <c:max val="1"/>
          <c:min val="-3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29839392"/>
        <c:crosses val="autoZero"/>
        <c:crossBetween val="midCat"/>
      </c:valAx>
      <c:spPr>
        <a:noFill/>
        <a:ln>
          <a:solidFill>
            <a:schemeClr val="bg2">
              <a:lumMod val="75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>
          <a:lumMod val="7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1600" b="1"/>
              <a:t>Convergence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strRef>
              <c:f>Halley!$I$7</c:f>
              <c:strCache>
                <c:ptCount val="1"/>
                <c:pt idx="0">
                  <c:v>x_n+1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Halley!$D$8:$D$12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Halley!$I$8:$I$12</c:f>
              <c:numCache>
                <c:formatCode>General</c:formatCode>
                <c:ptCount val="5"/>
                <c:pt idx="0">
                  <c:v>1.4</c:v>
                </c:pt>
                <c:pt idx="1">
                  <c:v>1.5204865711188726</c:v>
                </c:pt>
                <c:pt idx="2">
                  <c:v>1.5213797065039694</c:v>
                </c:pt>
                <c:pt idx="3">
                  <c:v>1.5213797068045676</c:v>
                </c:pt>
                <c:pt idx="4">
                  <c:v>1.5213797068045676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251-4BA8-B2F0-CD94CD5E7A5D}"/>
            </c:ext>
          </c:extLst>
        </c:ser>
        <c:ser>
          <c:idx val="4"/>
          <c:order val="1"/>
          <c:tx>
            <c:strRef>
              <c:f>Halley!$E$7</c:f>
              <c:strCache>
                <c:ptCount val="1"/>
                <c:pt idx="0">
                  <c:v>x_n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Halley!$D$8:$D$12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Halley!$E$8:$E$12</c:f>
              <c:numCache>
                <c:formatCode>General</c:formatCode>
                <c:ptCount val="5"/>
                <c:pt idx="0">
                  <c:v>1</c:v>
                </c:pt>
                <c:pt idx="1">
                  <c:v>1.4</c:v>
                </c:pt>
                <c:pt idx="2">
                  <c:v>1.5204865711188726</c:v>
                </c:pt>
                <c:pt idx="3">
                  <c:v>1.5213797065039694</c:v>
                </c:pt>
                <c:pt idx="4">
                  <c:v>1.5213797068045676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251-4BA8-B2F0-CD94CD5E7A5D}"/>
            </c:ext>
          </c:extLst>
        </c:ser>
        <c:ser>
          <c:idx val="3"/>
          <c:order val="2"/>
          <c:tx>
            <c:strRef>
              <c:f>Halley!$J$7</c:f>
              <c:strCache>
                <c:ptCount val="1"/>
                <c:pt idx="0">
                  <c:v>Error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Halley!$D$8:$D$12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Halley!$J$8:$J$12</c:f>
              <c:numCache>
                <c:formatCode>General</c:formatCode>
                <c:ptCount val="5"/>
                <c:pt idx="0">
                  <c:v>0.39999999999999991</c:v>
                </c:pt>
                <c:pt idx="1">
                  <c:v>0.12048657111887273</c:v>
                </c:pt>
                <c:pt idx="2">
                  <c:v>8.9313538509672163E-4</c:v>
                </c:pt>
                <c:pt idx="3">
                  <c:v>3.0059821298777933E-10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251-4BA8-B2F0-CD94CD5E7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9839392"/>
        <c:axId val="1329840112"/>
      </c:scatterChart>
      <c:valAx>
        <c:axId val="1329839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title>
          <c:tx>
            <c:strRef>
              <c:f>Bisection!$D$6</c:f>
              <c:strCache>
                <c:ptCount val="1"/>
                <c:pt idx="0">
                  <c:v>Iteration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29840112"/>
        <c:crosses val="autoZero"/>
        <c:crossBetween val="midCat"/>
      </c:valAx>
      <c:valAx>
        <c:axId val="132984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Value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29839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>
          <a:lumMod val="7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374877</xdr:colOff>
      <xdr:row>18</xdr:row>
      <xdr:rowOff>9525</xdr:rowOff>
    </xdr:from>
    <xdr:to>
      <xdr:col>18</xdr:col>
      <xdr:colOff>146277</xdr:colOff>
      <xdr:row>34</xdr:row>
      <xdr:rowOff>9525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CF3FA6E-437B-A45F-65F5-D3FDEB9F77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338819</xdr:colOff>
      <xdr:row>1</xdr:row>
      <xdr:rowOff>12246</xdr:rowOff>
    </xdr:from>
    <xdr:to>
      <xdr:col>18</xdr:col>
      <xdr:colOff>110219</xdr:colOff>
      <xdr:row>16</xdr:row>
      <xdr:rowOff>31296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ED1DE8F3-7A2B-48D7-9AE0-40516D149B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374877</xdr:colOff>
      <xdr:row>18</xdr:row>
      <xdr:rowOff>9525</xdr:rowOff>
    </xdr:from>
    <xdr:to>
      <xdr:col>18</xdr:col>
      <xdr:colOff>146277</xdr:colOff>
      <xdr:row>34</xdr:row>
      <xdr:rowOff>9525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FC762F87-5C3D-4C58-AA32-DB5E6F878F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338819</xdr:colOff>
      <xdr:row>1</xdr:row>
      <xdr:rowOff>12246</xdr:rowOff>
    </xdr:from>
    <xdr:to>
      <xdr:col>18</xdr:col>
      <xdr:colOff>110219</xdr:colOff>
      <xdr:row>16</xdr:row>
      <xdr:rowOff>31296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D1E72359-E818-4B88-BAD3-07CF788112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31977</xdr:colOff>
      <xdr:row>18</xdr:row>
      <xdr:rowOff>19050</xdr:rowOff>
    </xdr:from>
    <xdr:to>
      <xdr:col>18</xdr:col>
      <xdr:colOff>489177</xdr:colOff>
      <xdr:row>34</xdr:row>
      <xdr:rowOff>19050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C154C16-D9D9-418F-BEF4-5DD4044D29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681719</xdr:colOff>
      <xdr:row>1</xdr:row>
      <xdr:rowOff>21771</xdr:rowOff>
    </xdr:from>
    <xdr:to>
      <xdr:col>18</xdr:col>
      <xdr:colOff>453119</xdr:colOff>
      <xdr:row>16</xdr:row>
      <xdr:rowOff>40821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E488122A-086C-4F30-A7CC-3EA73F649C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683758</xdr:colOff>
      <xdr:row>18</xdr:row>
      <xdr:rowOff>6804</xdr:rowOff>
    </xdr:from>
    <xdr:to>
      <xdr:col>16</xdr:col>
      <xdr:colOff>455158</xdr:colOff>
      <xdr:row>34</xdr:row>
      <xdr:rowOff>16329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7CF4924-92D3-4674-A79F-85903D9943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647700</xdr:colOff>
      <xdr:row>1</xdr:row>
      <xdr:rowOff>19050</xdr:rowOff>
    </xdr:from>
    <xdr:to>
      <xdr:col>16</xdr:col>
      <xdr:colOff>419100</xdr:colOff>
      <xdr:row>16</xdr:row>
      <xdr:rowOff>28575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DEADAFC9-BAA1-4D1E-A69C-0840B91A5F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8726</xdr:colOff>
      <xdr:row>18</xdr:row>
      <xdr:rowOff>166658</xdr:rowOff>
    </xdr:from>
    <xdr:to>
      <xdr:col>16</xdr:col>
      <xdr:colOff>467583</xdr:colOff>
      <xdr:row>35</xdr:row>
      <xdr:rowOff>2249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ABE92D2-9955-4024-B69F-F53DBCB3AB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684972</xdr:colOff>
      <xdr:row>1</xdr:row>
      <xdr:rowOff>4970</xdr:rowOff>
    </xdr:from>
    <xdr:to>
      <xdr:col>16</xdr:col>
      <xdr:colOff>456372</xdr:colOff>
      <xdr:row>17</xdr:row>
      <xdr:rowOff>14495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3270C6F6-F2F8-4508-AC06-365D3C67F0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28575</xdr:colOff>
      <xdr:row>1</xdr:row>
      <xdr:rowOff>9525</xdr:rowOff>
    </xdr:from>
    <xdr:to>
      <xdr:col>17</xdr:col>
      <xdr:colOff>485775</xdr:colOff>
      <xdr:row>16</xdr:row>
      <xdr:rowOff>19050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65F686B5-37AB-4B52-8CA9-D26472F448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18</xdr:row>
      <xdr:rowOff>24848</xdr:rowOff>
    </xdr:from>
    <xdr:to>
      <xdr:col>17</xdr:col>
      <xdr:colOff>447261</xdr:colOff>
      <xdr:row>33</xdr:row>
      <xdr:rowOff>168552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ADCE1779-5151-41EF-BE8F-99974200B6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36058</xdr:colOff>
      <xdr:row>17</xdr:row>
      <xdr:rowOff>73479</xdr:rowOff>
    </xdr:from>
    <xdr:to>
      <xdr:col>21</xdr:col>
      <xdr:colOff>493258</xdr:colOff>
      <xdr:row>33</xdr:row>
      <xdr:rowOff>83004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DF90F9D-1F4C-4790-86EA-462288F872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1</xdr:row>
      <xdr:rowOff>0</xdr:rowOff>
    </xdr:from>
    <xdr:to>
      <xdr:col>21</xdr:col>
      <xdr:colOff>457200</xdr:colOff>
      <xdr:row>15</xdr:row>
      <xdr:rowOff>95250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56E51F9A-EFB2-4BA4-BE0F-AA85B706E4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17</xdr:col>
      <xdr:colOff>457200</xdr:colOff>
      <xdr:row>15</xdr:row>
      <xdr:rowOff>133350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63F3FEB9-F79F-44C9-92E7-2B1ADB7D3F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8282</xdr:colOff>
      <xdr:row>17</xdr:row>
      <xdr:rowOff>33130</xdr:rowOff>
    </xdr:from>
    <xdr:to>
      <xdr:col>17</xdr:col>
      <xdr:colOff>455543</xdr:colOff>
      <xdr:row>33</xdr:row>
      <xdr:rowOff>2899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61E6E114-BA1D-4519-B9B3-09A8F7C916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64FA9-22CD-408E-A95E-AA5414975833}">
  <dimension ref="A1:K106"/>
  <sheetViews>
    <sheetView tabSelected="1" topLeftCell="A2" zoomScaleNormal="100" workbookViewId="0">
      <selection activeCell="A2" sqref="A1:XFD1048576"/>
    </sheetView>
  </sheetViews>
  <sheetFormatPr defaultRowHeight="16.5" x14ac:dyDescent="0.15"/>
  <cols>
    <col min="1" max="1" width="9.125" style="2" bestFit="1" customWidth="1"/>
    <col min="2" max="2" width="11.375" style="2" bestFit="1" customWidth="1"/>
    <col min="3" max="3" width="9" style="2"/>
    <col min="4" max="4" width="9.125" style="2" bestFit="1" customWidth="1"/>
    <col min="5" max="5" width="13.875" style="2" bestFit="1" customWidth="1"/>
    <col min="6" max="6" width="14.25" style="2" bestFit="1" customWidth="1"/>
    <col min="7" max="7" width="14.5" style="2" bestFit="1" customWidth="1"/>
    <col min="8" max="8" width="13.875" style="2" bestFit="1" customWidth="1"/>
    <col min="9" max="11" width="9.125" style="2" bestFit="1" customWidth="1"/>
    <col min="12" max="16384" width="9" style="2"/>
  </cols>
  <sheetData>
    <row r="1" spans="1:11" s="1" customFormat="1" ht="17.25" thickBot="1" x14ac:dyDescent="0.2">
      <c r="A1" s="7" t="s">
        <v>0</v>
      </c>
      <c r="B1" s="4" t="s">
        <v>15</v>
      </c>
    </row>
    <row r="2" spans="1:11" ht="17.25" thickBot="1" x14ac:dyDescent="0.2">
      <c r="A2" s="7" t="s">
        <v>2</v>
      </c>
      <c r="B2" s="13">
        <v>1</v>
      </c>
    </row>
    <row r="3" spans="1:11" ht="17.25" thickBot="1" x14ac:dyDescent="0.2">
      <c r="A3" s="7" t="s">
        <v>1</v>
      </c>
      <c r="B3" s="13">
        <v>2</v>
      </c>
    </row>
    <row r="4" spans="1:11" ht="17.25" thickBot="1" x14ac:dyDescent="0.2">
      <c r="A4" s="6" t="s">
        <v>3</v>
      </c>
      <c r="B4" s="14">
        <v>9.9999999999999995E-7</v>
      </c>
    </row>
    <row r="5" spans="1:11" ht="17.25" thickBot="1" x14ac:dyDescent="0.2"/>
    <row r="6" spans="1:11" ht="17.25" thickBot="1" x14ac:dyDescent="0.2">
      <c r="A6" s="1" t="s">
        <v>5</v>
      </c>
      <c r="B6" s="1" t="s">
        <v>6</v>
      </c>
      <c r="D6" s="3" t="s">
        <v>11</v>
      </c>
      <c r="E6" s="4" t="str">
        <f>A2</f>
        <v>Lower</v>
      </c>
      <c r="F6" s="5" t="str">
        <f>A3</f>
        <v>Upper</v>
      </c>
      <c r="G6" s="4" t="s">
        <v>4</v>
      </c>
      <c r="H6" s="5" t="s">
        <v>12</v>
      </c>
      <c r="I6" s="4" t="s">
        <v>13</v>
      </c>
      <c r="J6" s="5" t="s">
        <v>14</v>
      </c>
      <c r="K6" s="4" t="s">
        <v>10</v>
      </c>
    </row>
    <row r="7" spans="1:11" x14ac:dyDescent="0.15">
      <c r="A7" s="2">
        <v>-5</v>
      </c>
      <c r="B7" s="2" cm="1">
        <f t="array" ref="B7">Function(A7)</f>
        <v>-122</v>
      </c>
      <c r="D7" s="15">
        <v>1</v>
      </c>
      <c r="E7" s="16">
        <f>B2</f>
        <v>1</v>
      </c>
      <c r="F7" s="17">
        <f>B3</f>
        <v>2</v>
      </c>
      <c r="G7" s="16">
        <f t="shared" ref="G7:G28" si="0">(E7+F7)/2</f>
        <v>1.5</v>
      </c>
      <c r="H7" s="17" cm="1">
        <f t="array" ref="H7">Function(E7)</f>
        <v>-2</v>
      </c>
      <c r="I7" s="16" cm="1">
        <f t="array" ref="I7">Function(F7)</f>
        <v>4</v>
      </c>
      <c r="J7" s="17" cm="1">
        <f t="array" ref="J7">Function(G7)</f>
        <v>-0.125</v>
      </c>
      <c r="K7" s="16">
        <f t="shared" ref="K7:K28" si="1">ABS(F7-E7)</f>
        <v>1</v>
      </c>
    </row>
    <row r="8" spans="1:11" x14ac:dyDescent="0.15">
      <c r="A8" s="2">
        <v>-4.9000000000000004</v>
      </c>
      <c r="B8" s="2" cm="1">
        <f t="array" ref="B8">Function(A8)</f>
        <v>-114.74900000000002</v>
      </c>
      <c r="D8" s="18">
        <v>2</v>
      </c>
      <c r="E8" s="19">
        <f t="shared" ref="E8:E28" si="2">IF(H7*J7&lt;0, E7, G7)</f>
        <v>1.5</v>
      </c>
      <c r="F8" s="20">
        <f>IF(H7*J7&lt;0, G7, F7)</f>
        <v>2</v>
      </c>
      <c r="G8" s="19">
        <f t="shared" si="0"/>
        <v>1.75</v>
      </c>
      <c r="H8" s="20" cm="1">
        <f t="array" ref="H8">Function(E8)</f>
        <v>-0.125</v>
      </c>
      <c r="I8" s="19" cm="1">
        <f t="array" ref="I8">Function(F8)</f>
        <v>4</v>
      </c>
      <c r="J8" s="20" cm="1">
        <f t="array" ref="J8">Function(G8)</f>
        <v>1.609375</v>
      </c>
      <c r="K8" s="19">
        <f t="shared" si="1"/>
        <v>0.5</v>
      </c>
    </row>
    <row r="9" spans="1:11" x14ac:dyDescent="0.15">
      <c r="A9" s="2">
        <v>-4.8</v>
      </c>
      <c r="B9" s="2" cm="1">
        <f t="array" ref="B9">Function(A9)</f>
        <v>-107.792</v>
      </c>
      <c r="D9" s="18">
        <v>3</v>
      </c>
      <c r="E9" s="19">
        <f t="shared" si="2"/>
        <v>1.5</v>
      </c>
      <c r="F9" s="20">
        <f t="shared" ref="F9:F28" si="3">IF(H8*J8&lt;0, G8, F8)</f>
        <v>1.75</v>
      </c>
      <c r="G9" s="19">
        <f t="shared" si="0"/>
        <v>1.625</v>
      </c>
      <c r="H9" s="20" cm="1">
        <f t="array" ref="H9">Function(E9)</f>
        <v>-0.125</v>
      </c>
      <c r="I9" s="19" cm="1">
        <f t="array" ref="I9">Function(F9)</f>
        <v>1.609375</v>
      </c>
      <c r="J9" s="20" cm="1">
        <f t="array" ref="J9">Function(G9)</f>
        <v>0.666015625</v>
      </c>
      <c r="K9" s="19">
        <f t="shared" si="1"/>
        <v>0.25</v>
      </c>
    </row>
    <row r="10" spans="1:11" x14ac:dyDescent="0.15">
      <c r="A10" s="2">
        <v>-4.7</v>
      </c>
      <c r="B10" s="2" cm="1">
        <f t="array" ref="B10">Function(A10)</f>
        <v>-101.12300000000002</v>
      </c>
      <c r="D10" s="18">
        <v>4</v>
      </c>
      <c r="E10" s="19">
        <f t="shared" si="2"/>
        <v>1.5</v>
      </c>
      <c r="F10" s="20">
        <f t="shared" si="3"/>
        <v>1.625</v>
      </c>
      <c r="G10" s="19">
        <f t="shared" si="0"/>
        <v>1.5625</v>
      </c>
      <c r="H10" s="20" cm="1">
        <f t="array" ref="H10">Function(E10)</f>
        <v>-0.125</v>
      </c>
      <c r="I10" s="19" cm="1">
        <f t="array" ref="I10">Function(F10)</f>
        <v>0.666015625</v>
      </c>
      <c r="J10" s="20" cm="1">
        <f t="array" ref="J10">Function(G10)</f>
        <v>0.252197265625</v>
      </c>
      <c r="K10" s="19">
        <f t="shared" si="1"/>
        <v>0.125</v>
      </c>
    </row>
    <row r="11" spans="1:11" x14ac:dyDescent="0.15">
      <c r="A11" s="2">
        <v>-4.5999999999999996</v>
      </c>
      <c r="B11" s="2" cm="1">
        <f t="array" ref="B11">Function(A11)</f>
        <v>-94.735999999999976</v>
      </c>
      <c r="D11" s="18">
        <v>5</v>
      </c>
      <c r="E11" s="19">
        <f t="shared" si="2"/>
        <v>1.5</v>
      </c>
      <c r="F11" s="20">
        <f t="shared" si="3"/>
        <v>1.5625</v>
      </c>
      <c r="G11" s="19">
        <f t="shared" si="0"/>
        <v>1.53125</v>
      </c>
      <c r="H11" s="20" cm="1">
        <f t="array" ref="H11">Function(E11)</f>
        <v>-0.125</v>
      </c>
      <c r="I11" s="19" cm="1">
        <f t="array" ref="I11">Function(F11)</f>
        <v>0.252197265625</v>
      </c>
      <c r="J11" s="20" cm="1">
        <f t="array" ref="J11">Function(G11)</f>
        <v>5.9112548828125E-2</v>
      </c>
      <c r="K11" s="19">
        <f t="shared" si="1"/>
        <v>6.25E-2</v>
      </c>
    </row>
    <row r="12" spans="1:11" x14ac:dyDescent="0.15">
      <c r="A12" s="2">
        <v>-4.5</v>
      </c>
      <c r="B12" s="2" cm="1">
        <f t="array" ref="B12">Function(A12)</f>
        <v>-88.625</v>
      </c>
      <c r="D12" s="18">
        <v>6</v>
      </c>
      <c r="E12" s="19">
        <f t="shared" si="2"/>
        <v>1.5</v>
      </c>
      <c r="F12" s="20">
        <f t="shared" si="3"/>
        <v>1.53125</v>
      </c>
      <c r="G12" s="19">
        <f t="shared" si="0"/>
        <v>1.515625</v>
      </c>
      <c r="H12" s="20" cm="1">
        <f t="array" ref="H12">Function(E12)</f>
        <v>-0.125</v>
      </c>
      <c r="I12" s="19" cm="1">
        <f t="array" ref="I12">Function(F12)</f>
        <v>5.9112548828125E-2</v>
      </c>
      <c r="J12" s="20" cm="1">
        <f t="array" ref="J12">Function(G12)</f>
        <v>-3.4053802490234375E-2</v>
      </c>
      <c r="K12" s="19">
        <f t="shared" si="1"/>
        <v>3.125E-2</v>
      </c>
    </row>
    <row r="13" spans="1:11" x14ac:dyDescent="0.15">
      <c r="A13" s="2">
        <v>-4.4000000000000004</v>
      </c>
      <c r="B13" s="2" cm="1">
        <f t="array" ref="B13">Function(A13)</f>
        <v>-82.78400000000002</v>
      </c>
      <c r="D13" s="18">
        <v>7</v>
      </c>
      <c r="E13" s="19">
        <f t="shared" si="2"/>
        <v>1.515625</v>
      </c>
      <c r="F13" s="20">
        <f t="shared" si="3"/>
        <v>1.53125</v>
      </c>
      <c r="G13" s="19">
        <f t="shared" si="0"/>
        <v>1.5234375</v>
      </c>
      <c r="H13" s="20" cm="1">
        <f t="array" ref="H13">Function(E13)</f>
        <v>-3.4053802490234375E-2</v>
      </c>
      <c r="I13" s="19" cm="1">
        <f t="array" ref="I13">Function(F13)</f>
        <v>5.9112548828125E-2</v>
      </c>
      <c r="J13" s="20" cm="1">
        <f t="array" ref="J13">Function(G13)</f>
        <v>1.2250423431396484E-2</v>
      </c>
      <c r="K13" s="19">
        <f t="shared" si="1"/>
        <v>1.5625E-2</v>
      </c>
    </row>
    <row r="14" spans="1:11" x14ac:dyDescent="0.15">
      <c r="A14" s="2">
        <v>-4.3</v>
      </c>
      <c r="B14" s="2" cm="1">
        <f t="array" ref="B14">Function(A14)</f>
        <v>-77.206999999999994</v>
      </c>
      <c r="D14" s="18">
        <v>8</v>
      </c>
      <c r="E14" s="19">
        <f t="shared" si="2"/>
        <v>1.515625</v>
      </c>
      <c r="F14" s="20">
        <f t="shared" si="3"/>
        <v>1.5234375</v>
      </c>
      <c r="G14" s="19">
        <f t="shared" si="0"/>
        <v>1.51953125</v>
      </c>
      <c r="H14" s="20" cm="1">
        <f t="array" ref="H14">Function(E14)</f>
        <v>-3.4053802490234375E-2</v>
      </c>
      <c r="I14" s="19" cm="1">
        <f t="array" ref="I14">Function(F14)</f>
        <v>1.2250423431396484E-2</v>
      </c>
      <c r="J14" s="20" cm="1">
        <f t="array" ref="J14">Function(G14)</f>
        <v>-1.0971248149871826E-2</v>
      </c>
      <c r="K14" s="19">
        <f t="shared" si="1"/>
        <v>7.8125E-3</v>
      </c>
    </row>
    <row r="15" spans="1:11" x14ac:dyDescent="0.15">
      <c r="A15" s="2">
        <v>-4.2</v>
      </c>
      <c r="B15" s="2" cm="1">
        <f t="array" ref="B15">Function(A15)</f>
        <v>-71.888000000000005</v>
      </c>
      <c r="D15" s="18">
        <v>9</v>
      </c>
      <c r="E15" s="19">
        <f t="shared" si="2"/>
        <v>1.51953125</v>
      </c>
      <c r="F15" s="20">
        <f t="shared" si="3"/>
        <v>1.5234375</v>
      </c>
      <c r="G15" s="19">
        <f t="shared" si="0"/>
        <v>1.521484375</v>
      </c>
      <c r="H15" s="20" cm="1">
        <f t="array" ref="H15">Function(E15)</f>
        <v>-1.0971248149871826E-2</v>
      </c>
      <c r="I15" s="19" cm="1">
        <f t="array" ref="I15">Function(F15)</f>
        <v>1.2250423431396484E-2</v>
      </c>
      <c r="J15" s="20" cm="1">
        <f t="array" ref="J15">Function(G15)</f>
        <v>6.2217563390731812E-4</v>
      </c>
      <c r="K15" s="19">
        <f t="shared" si="1"/>
        <v>3.90625E-3</v>
      </c>
    </row>
    <row r="16" spans="1:11" x14ac:dyDescent="0.15">
      <c r="A16" s="2">
        <v>-4.0999999999999996</v>
      </c>
      <c r="B16" s="2" cm="1">
        <f t="array" ref="B16">Function(A16)</f>
        <v>-66.820999999999998</v>
      </c>
      <c r="D16" s="18">
        <v>10</v>
      </c>
      <c r="E16" s="19">
        <f t="shared" si="2"/>
        <v>1.51953125</v>
      </c>
      <c r="F16" s="20">
        <f t="shared" si="3"/>
        <v>1.521484375</v>
      </c>
      <c r="G16" s="19">
        <f t="shared" si="0"/>
        <v>1.5205078125</v>
      </c>
      <c r="H16" s="20" cm="1">
        <f t="array" ref="H16">Function(E16)</f>
        <v>-1.0971248149871826E-2</v>
      </c>
      <c r="I16" s="19" cm="1">
        <f t="array" ref="I16">Function(F16)</f>
        <v>6.2217563390731812E-4</v>
      </c>
      <c r="J16" s="20" cm="1">
        <f t="array" ref="J16">Function(G16)</f>
        <v>-5.1788864657282829E-3</v>
      </c>
      <c r="K16" s="19">
        <f t="shared" si="1"/>
        <v>1.953125E-3</v>
      </c>
    </row>
    <row r="17" spans="1:11" x14ac:dyDescent="0.15">
      <c r="A17" s="2">
        <v>-4</v>
      </c>
      <c r="B17" s="2" cm="1">
        <f t="array" ref="B17">Function(A17)</f>
        <v>-62</v>
      </c>
      <c r="D17" s="18">
        <v>11</v>
      </c>
      <c r="E17" s="19">
        <f t="shared" si="2"/>
        <v>1.5205078125</v>
      </c>
      <c r="F17" s="20">
        <f t="shared" si="3"/>
        <v>1.521484375</v>
      </c>
      <c r="G17" s="19">
        <f t="shared" si="0"/>
        <v>1.52099609375</v>
      </c>
      <c r="H17" s="20" cm="1">
        <f t="array" ref="H17">Function(E17)</f>
        <v>-5.1788864657282829E-3</v>
      </c>
      <c r="I17" s="19" cm="1">
        <f t="array" ref="I17">Function(F17)</f>
        <v>6.2217563390731812E-4</v>
      </c>
      <c r="J17" s="20" cm="1">
        <f t="array" ref="J17">Function(G17)</f>
        <v>-2.2794433170929551E-3</v>
      </c>
      <c r="K17" s="19">
        <f t="shared" si="1"/>
        <v>9.765625E-4</v>
      </c>
    </row>
    <row r="18" spans="1:11" x14ac:dyDescent="0.15">
      <c r="A18" s="2">
        <v>-3.9</v>
      </c>
      <c r="B18" s="2" cm="1">
        <f t="array" ref="B18">Function(A18)</f>
        <v>-57.418999999999997</v>
      </c>
      <c r="D18" s="18">
        <v>12</v>
      </c>
      <c r="E18" s="19">
        <f t="shared" si="2"/>
        <v>1.52099609375</v>
      </c>
      <c r="F18" s="20">
        <f t="shared" si="3"/>
        <v>1.521484375</v>
      </c>
      <c r="G18" s="19">
        <f t="shared" si="0"/>
        <v>1.521240234375</v>
      </c>
      <c r="H18" s="20" cm="1">
        <f t="array" ref="H18">Function(E18)</f>
        <v>-2.2794433170929551E-3</v>
      </c>
      <c r="I18" s="19" cm="1">
        <f t="array" ref="I18">Function(F18)</f>
        <v>6.2217563390731812E-4</v>
      </c>
      <c r="J18" s="20" cm="1">
        <f t="array" ref="J18">Function(G18)</f>
        <v>-8.2890586054418236E-4</v>
      </c>
      <c r="K18" s="19">
        <f t="shared" si="1"/>
        <v>4.8828125E-4</v>
      </c>
    </row>
    <row r="19" spans="1:11" x14ac:dyDescent="0.15">
      <c r="A19" s="2">
        <v>-3.8</v>
      </c>
      <c r="B19" s="2" cm="1">
        <f t="array" ref="B19">Function(A19)</f>
        <v>-53.071999999999996</v>
      </c>
      <c r="D19" s="18">
        <v>13</v>
      </c>
      <c r="E19" s="19">
        <f t="shared" si="2"/>
        <v>1.521240234375</v>
      </c>
      <c r="F19" s="20">
        <f t="shared" si="3"/>
        <v>1.521484375</v>
      </c>
      <c r="G19" s="19">
        <f t="shared" si="0"/>
        <v>1.5213623046875</v>
      </c>
      <c r="H19" s="20" cm="1">
        <f t="array" ref="H19">Function(E19)</f>
        <v>-8.2890586054418236E-4</v>
      </c>
      <c r="I19" s="19" cm="1">
        <f t="array" ref="I19">Function(F19)</f>
        <v>6.2217563390731812E-4</v>
      </c>
      <c r="J19" s="20" cm="1">
        <f t="array" ref="J19">Function(G19)</f>
        <v>-1.034331235132413E-4</v>
      </c>
      <c r="K19" s="19">
        <f t="shared" si="1"/>
        <v>2.44140625E-4</v>
      </c>
    </row>
    <row r="20" spans="1:11" x14ac:dyDescent="0.15">
      <c r="A20" s="2">
        <v>-3.7</v>
      </c>
      <c r="B20" s="2" cm="1">
        <f t="array" ref="B20">Function(A20)</f>
        <v>-48.953000000000003</v>
      </c>
      <c r="D20" s="18">
        <v>14</v>
      </c>
      <c r="E20" s="19">
        <f t="shared" si="2"/>
        <v>1.5213623046875</v>
      </c>
      <c r="F20" s="20">
        <f t="shared" si="3"/>
        <v>1.521484375</v>
      </c>
      <c r="G20" s="19">
        <f t="shared" si="0"/>
        <v>1.52142333984375</v>
      </c>
      <c r="H20" s="20" cm="1">
        <f t="array" ref="H20">Function(E20)</f>
        <v>-1.034331235132413E-4</v>
      </c>
      <c r="I20" s="19" cm="1">
        <f t="array" ref="I20">Function(F20)</f>
        <v>6.2217563390731812E-4</v>
      </c>
      <c r="J20" s="20" cm="1">
        <f t="array" ref="J20">Function(G20)</f>
        <v>2.5935425196621509E-4</v>
      </c>
      <c r="K20" s="19">
        <f t="shared" si="1"/>
        <v>1.220703125E-4</v>
      </c>
    </row>
    <row r="21" spans="1:11" x14ac:dyDescent="0.15">
      <c r="A21" s="2">
        <v>-3.6</v>
      </c>
      <c r="B21" s="2" cm="1">
        <f t="array" ref="B21">Function(A21)</f>
        <v>-45.056000000000004</v>
      </c>
      <c r="D21" s="18">
        <v>15</v>
      </c>
      <c r="E21" s="19">
        <f t="shared" si="2"/>
        <v>1.5213623046875</v>
      </c>
      <c r="F21" s="20">
        <f t="shared" si="3"/>
        <v>1.52142333984375</v>
      </c>
      <c r="G21" s="19">
        <f t="shared" si="0"/>
        <v>1.521392822265625</v>
      </c>
      <c r="H21" s="20" cm="1">
        <f t="array" ref="H21">Function(E21)</f>
        <v>-1.034331235132413E-4</v>
      </c>
      <c r="I21" s="19" cm="1">
        <f t="array" ref="I21">Function(F21)</f>
        <v>2.5935425196621509E-4</v>
      </c>
      <c r="J21" s="20" cm="1">
        <f t="array" ref="J21">Function(G21)</f>
        <v>7.7956313504046193E-5</v>
      </c>
      <c r="K21" s="19">
        <f t="shared" si="1"/>
        <v>6.103515625E-5</v>
      </c>
    </row>
    <row r="22" spans="1:11" x14ac:dyDescent="0.15">
      <c r="A22" s="2">
        <v>-3.5000000000000102</v>
      </c>
      <c r="B22" s="2" cm="1">
        <f t="array" ref="B22">Function(A22)</f>
        <v>-41.375000000000369</v>
      </c>
      <c r="D22" s="18">
        <v>16</v>
      </c>
      <c r="E22" s="19">
        <f t="shared" si="2"/>
        <v>1.5213623046875</v>
      </c>
      <c r="F22" s="20">
        <f t="shared" si="3"/>
        <v>1.521392822265625</v>
      </c>
      <c r="G22" s="19">
        <f t="shared" si="0"/>
        <v>1.5213775634765625</v>
      </c>
      <c r="H22" s="20" cm="1">
        <f t="array" ref="H22">Function(E22)</f>
        <v>-1.034331235132413E-4</v>
      </c>
      <c r="I22" s="19" cm="1">
        <f t="array" ref="I22">Function(F22)</f>
        <v>7.7956313504046193E-5</v>
      </c>
      <c r="J22" s="20" cm="1">
        <f t="array" ref="J22">Function(G22)</f>
        <v>-1.2739467674549587E-5</v>
      </c>
      <c r="K22" s="19">
        <f t="shared" si="1"/>
        <v>3.0517578125E-5</v>
      </c>
    </row>
    <row r="23" spans="1:11" x14ac:dyDescent="0.15">
      <c r="A23" s="2">
        <v>-3.4000000000000101</v>
      </c>
      <c r="B23" s="2" cm="1">
        <f t="array" ref="B23">Function(A23)</f>
        <v>-37.904000000000337</v>
      </c>
      <c r="D23" s="18">
        <v>17</v>
      </c>
      <c r="E23" s="19">
        <f t="shared" si="2"/>
        <v>1.5213775634765625</v>
      </c>
      <c r="F23" s="20">
        <f t="shared" si="3"/>
        <v>1.521392822265625</v>
      </c>
      <c r="G23" s="19">
        <f t="shared" si="0"/>
        <v>1.5213851928710938</v>
      </c>
      <c r="H23" s="20" cm="1">
        <f t="array" ref="H23">Function(E23)</f>
        <v>-1.2739467674549587E-5</v>
      </c>
      <c r="I23" s="19" cm="1">
        <f t="array" ref="I23">Function(F23)</f>
        <v>7.7956313504046193E-5</v>
      </c>
      <c r="J23" s="20" cm="1">
        <f t="array" ref="J23">Function(G23)</f>
        <v>3.2608157245928027E-5</v>
      </c>
      <c r="K23" s="19">
        <f t="shared" si="1"/>
        <v>1.52587890625E-5</v>
      </c>
    </row>
    <row r="24" spans="1:11" x14ac:dyDescent="0.15">
      <c r="A24" s="2">
        <v>-3.30000000000001</v>
      </c>
      <c r="B24" s="2" cm="1">
        <f t="array" ref="B24">Function(A24)</f>
        <v>-34.63700000000032</v>
      </c>
      <c r="D24" s="18">
        <v>18</v>
      </c>
      <c r="E24" s="19">
        <f t="shared" si="2"/>
        <v>1.5213775634765625</v>
      </c>
      <c r="F24" s="20">
        <f t="shared" si="3"/>
        <v>1.5213851928710938</v>
      </c>
      <c r="G24" s="19">
        <f t="shared" si="0"/>
        <v>1.5213813781738281</v>
      </c>
      <c r="H24" s="20" cm="1">
        <f t="array" ref="H24">Function(E24)</f>
        <v>-1.2739467674549587E-5</v>
      </c>
      <c r="I24" s="19" cm="1">
        <f t="array" ref="I24">Function(F24)</f>
        <v>3.2608157245928027E-5</v>
      </c>
      <c r="J24" s="20" cm="1">
        <f t="array" ref="J24">Function(G24)</f>
        <v>9.9342783688172176E-6</v>
      </c>
      <c r="K24" s="19">
        <f t="shared" si="1"/>
        <v>7.62939453125E-6</v>
      </c>
    </row>
    <row r="25" spans="1:11" x14ac:dyDescent="0.15">
      <c r="A25" s="2">
        <v>-3.2000000000000099</v>
      </c>
      <c r="B25" s="2" cm="1">
        <f t="array" ref="B25">Function(A25)</f>
        <v>-31.568000000000296</v>
      </c>
      <c r="D25" s="18">
        <v>19</v>
      </c>
      <c r="E25" s="19">
        <f t="shared" si="2"/>
        <v>1.5213775634765625</v>
      </c>
      <c r="F25" s="20">
        <f t="shared" si="3"/>
        <v>1.5213813781738281</v>
      </c>
      <c r="G25" s="19">
        <f t="shared" si="0"/>
        <v>1.5213794708251953</v>
      </c>
      <c r="H25" s="20" cm="1">
        <f t="array" ref="H25">Function(E25)</f>
        <v>-1.2739467674549587E-5</v>
      </c>
      <c r="I25" s="19" cm="1">
        <f t="array" ref="I25">Function(F25)</f>
        <v>9.9342783688172176E-6</v>
      </c>
      <c r="J25" s="20" cm="1">
        <f t="array" ref="J25">Function(G25)</f>
        <v>-1.4026112573617411E-6</v>
      </c>
      <c r="K25" s="19">
        <f t="shared" si="1"/>
        <v>3.814697265625E-6</v>
      </c>
    </row>
    <row r="26" spans="1:11" x14ac:dyDescent="0.15">
      <c r="A26" s="2">
        <v>-3.1000000000000099</v>
      </c>
      <c r="B26" s="2" cm="1">
        <f t="array" ref="B26">Function(A26)</f>
        <v>-28.691000000000276</v>
      </c>
      <c r="D26" s="18">
        <v>20</v>
      </c>
      <c r="E26" s="19">
        <f t="shared" si="2"/>
        <v>1.5213794708251953</v>
      </c>
      <c r="F26" s="20">
        <f t="shared" si="3"/>
        <v>1.5213813781738281</v>
      </c>
      <c r="G26" s="19">
        <f t="shared" si="0"/>
        <v>1.5213804244995117</v>
      </c>
      <c r="H26" s="20" cm="1">
        <f t="array" ref="H26">Function(E26)</f>
        <v>-1.4026112573617411E-6</v>
      </c>
      <c r="I26" s="19" cm="1">
        <f t="array" ref="I26">Function(F26)</f>
        <v>9.9342783688172176E-6</v>
      </c>
      <c r="J26" s="20" cm="1">
        <f t="array" ref="J26">Function(G26)</f>
        <v>4.2658294048258938E-6</v>
      </c>
      <c r="K26" s="19">
        <f t="shared" si="1"/>
        <v>1.9073486328125E-6</v>
      </c>
    </row>
    <row r="27" spans="1:11" x14ac:dyDescent="0.15">
      <c r="A27" s="2">
        <v>-3.0000000000000102</v>
      </c>
      <c r="B27" s="2" cm="1">
        <f t="array" ref="B27">Function(A27)</f>
        <v>-26.000000000000263</v>
      </c>
      <c r="D27" s="18">
        <v>21</v>
      </c>
      <c r="E27" s="19">
        <f t="shared" si="2"/>
        <v>1.5213794708251953</v>
      </c>
      <c r="F27" s="20">
        <f t="shared" si="3"/>
        <v>1.5213804244995117</v>
      </c>
      <c r="G27" s="19">
        <f t="shared" si="0"/>
        <v>1.5213799476623535</v>
      </c>
      <c r="H27" s="20" cm="1">
        <f t="array" ref="H27">Function(E27)</f>
        <v>-1.4026112573617411E-6</v>
      </c>
      <c r="I27" s="19" cm="1">
        <f t="array" ref="I27">Function(F27)</f>
        <v>4.2658294048258938E-6</v>
      </c>
      <c r="J27" s="20" cm="1">
        <f t="array" ref="J27">Function(G27)</f>
        <v>1.4316080361176375E-6</v>
      </c>
      <c r="K27" s="19">
        <f t="shared" si="1"/>
        <v>9.5367431640625E-7</v>
      </c>
    </row>
    <row r="28" spans="1:11" ht="17.25" thickBot="1" x14ac:dyDescent="0.2">
      <c r="A28" s="2">
        <v>-2.9000000000000101</v>
      </c>
      <c r="B28" s="2" cm="1">
        <f t="array" ref="B28">Function(A28)</f>
        <v>-23.489000000000246</v>
      </c>
      <c r="D28" s="21">
        <v>22</v>
      </c>
      <c r="E28" s="22">
        <f t="shared" si="2"/>
        <v>1.5213794708251953</v>
      </c>
      <c r="F28" s="23">
        <f t="shared" si="3"/>
        <v>1.5213799476623535</v>
      </c>
      <c r="G28" s="22">
        <f t="shared" si="0"/>
        <v>1.5213797092437744</v>
      </c>
      <c r="H28" s="23" cm="1">
        <f t="array" ref="H28">Function(E28)</f>
        <v>-1.4026112573617411E-6</v>
      </c>
      <c r="I28" s="22" cm="1">
        <f t="array" ref="I28">Function(F28)</f>
        <v>1.4316080361176375E-6</v>
      </c>
      <c r="J28" s="23" cm="1">
        <f t="array" ref="J28">Function(G28)</f>
        <v>1.4498129807805071E-8</v>
      </c>
      <c r="K28" s="22">
        <f t="shared" si="1"/>
        <v>4.76837158203125E-7</v>
      </c>
    </row>
    <row r="29" spans="1:11" x14ac:dyDescent="0.15">
      <c r="A29" s="2">
        <v>-2.80000000000001</v>
      </c>
      <c r="B29" s="2" cm="1">
        <f t="array" ref="B29">Function(A29)</f>
        <v>-21.152000000000225</v>
      </c>
    </row>
    <row r="30" spans="1:11" x14ac:dyDescent="0.15">
      <c r="A30" s="2">
        <v>-2.7000000000000099</v>
      </c>
      <c r="B30" s="2" cm="1">
        <f t="array" ref="B30">Function(A30)</f>
        <v>-18.983000000000207</v>
      </c>
    </row>
    <row r="31" spans="1:11" x14ac:dyDescent="0.15">
      <c r="A31" s="2">
        <v>-2.6000000000000099</v>
      </c>
      <c r="B31" s="2" cm="1">
        <f t="array" ref="B31">Function(A31)</f>
        <v>-16.976000000000191</v>
      </c>
    </row>
    <row r="32" spans="1:11" x14ac:dyDescent="0.15">
      <c r="A32" s="2">
        <v>-2.5000000000000102</v>
      </c>
      <c r="B32" s="2" cm="1">
        <f t="array" ref="B32">Function(A32)</f>
        <v>-15.125000000000181</v>
      </c>
    </row>
    <row r="33" spans="1:2" x14ac:dyDescent="0.15">
      <c r="A33" s="2">
        <v>-2.4000000000000101</v>
      </c>
      <c r="B33" s="2" cm="1">
        <f t="array" ref="B33">Function(A33)</f>
        <v>-13.424000000000166</v>
      </c>
    </row>
    <row r="34" spans="1:2" x14ac:dyDescent="0.15">
      <c r="A34" s="2">
        <v>-2.30000000000001</v>
      </c>
      <c r="B34" s="2" cm="1">
        <f t="array" ref="B34">Function(A34)</f>
        <v>-11.86700000000015</v>
      </c>
    </row>
    <row r="35" spans="1:2" x14ac:dyDescent="0.15">
      <c r="A35" s="2">
        <v>-2.2000000000000099</v>
      </c>
      <c r="B35" s="2" cm="1">
        <f t="array" ref="B35">Function(A35)</f>
        <v>-10.448000000000134</v>
      </c>
    </row>
    <row r="36" spans="1:2" x14ac:dyDescent="0.15">
      <c r="A36" s="2">
        <v>-2.1000000000000099</v>
      </c>
      <c r="B36" s="2" cm="1">
        <f t="array" ref="B36">Function(A36)</f>
        <v>-9.1610000000001186</v>
      </c>
    </row>
    <row r="37" spans="1:2" x14ac:dyDescent="0.15">
      <c r="A37" s="2">
        <v>-2.0000000000000102</v>
      </c>
      <c r="B37" s="2" cm="1">
        <f t="array" ref="B37">Function(A37)</f>
        <v>-8.0000000000001119</v>
      </c>
    </row>
    <row r="38" spans="1:2" x14ac:dyDescent="0.15">
      <c r="A38" s="2">
        <v>-1.9000000000000099</v>
      </c>
      <c r="B38" s="2" cm="1">
        <f t="array" ref="B38">Function(A38)</f>
        <v>-6.9590000000000973</v>
      </c>
    </row>
    <row r="39" spans="1:2" x14ac:dyDescent="0.15">
      <c r="A39" s="2">
        <v>-1.80000000000001</v>
      </c>
      <c r="B39" s="2" cm="1">
        <f t="array" ref="B39">Function(A39)</f>
        <v>-6.0320000000000871</v>
      </c>
    </row>
    <row r="40" spans="1:2" x14ac:dyDescent="0.15">
      <c r="A40" s="2">
        <v>-1.7000000000000099</v>
      </c>
      <c r="B40" s="2" cm="1">
        <f t="array" ref="B40">Function(A40)</f>
        <v>-5.2130000000000765</v>
      </c>
    </row>
    <row r="41" spans="1:2" x14ac:dyDescent="0.15">
      <c r="A41" s="2">
        <v>-1.6000000000000101</v>
      </c>
      <c r="B41" s="2" cm="1">
        <f t="array" ref="B41">Function(A41)</f>
        <v>-4.4960000000000671</v>
      </c>
    </row>
    <row r="42" spans="1:2" x14ac:dyDescent="0.15">
      <c r="A42" s="2">
        <v>-1.50000000000001</v>
      </c>
      <c r="B42" s="2" cm="1">
        <f t="array" ref="B42">Function(A42)</f>
        <v>-3.8750000000000577</v>
      </c>
    </row>
    <row r="43" spans="1:2" x14ac:dyDescent="0.15">
      <c r="A43" s="2">
        <v>-1.4000000000000099</v>
      </c>
      <c r="B43" s="2" cm="1">
        <f t="array" ref="B43">Function(A43)</f>
        <v>-3.3440000000000483</v>
      </c>
    </row>
    <row r="44" spans="1:2" x14ac:dyDescent="0.15">
      <c r="A44" s="2">
        <v>-1.30000000000001</v>
      </c>
      <c r="B44" s="2" cm="1">
        <f t="array" ref="B44">Function(A44)</f>
        <v>-2.8970000000000411</v>
      </c>
    </row>
    <row r="45" spans="1:2" x14ac:dyDescent="0.15">
      <c r="A45" s="2">
        <v>-1.2000000000000099</v>
      </c>
      <c r="B45" s="2" cm="1">
        <f t="array" ref="B45">Function(A45)</f>
        <v>-2.5280000000000333</v>
      </c>
    </row>
    <row r="46" spans="1:2" x14ac:dyDescent="0.15">
      <c r="A46" s="2">
        <v>-1.1000000000000101</v>
      </c>
      <c r="B46" s="2" cm="1">
        <f t="array" ref="B46">Function(A46)</f>
        <v>-2.2310000000000265</v>
      </c>
    </row>
    <row r="47" spans="1:2" x14ac:dyDescent="0.15">
      <c r="A47" s="2">
        <v>-1.00000000000001</v>
      </c>
      <c r="B47" s="2" cm="1">
        <f t="array" ref="B47">Function(A47)</f>
        <v>-2.00000000000002</v>
      </c>
    </row>
    <row r="48" spans="1:2" x14ac:dyDescent="0.15">
      <c r="A48" s="2">
        <v>-0.90000000000001001</v>
      </c>
      <c r="B48" s="2" cm="1">
        <f t="array" ref="B48">Function(A48)</f>
        <v>-1.8290000000000144</v>
      </c>
    </row>
    <row r="49" spans="1:2" x14ac:dyDescent="0.15">
      <c r="A49" s="2">
        <v>-0.80000000000001004</v>
      </c>
      <c r="B49" s="2" cm="1">
        <f t="array" ref="B49">Function(A49)</f>
        <v>-1.7120000000000093</v>
      </c>
    </row>
    <row r="50" spans="1:2" x14ac:dyDescent="0.15">
      <c r="A50" s="2">
        <v>-0.70000000000002005</v>
      </c>
      <c r="B50" s="2" cm="1">
        <f t="array" ref="B50">Function(A50)</f>
        <v>-1.6430000000000096</v>
      </c>
    </row>
    <row r="51" spans="1:2" x14ac:dyDescent="0.15">
      <c r="A51" s="2">
        <v>-0.60000000000001996</v>
      </c>
      <c r="B51" s="2" cm="1">
        <f t="array" ref="B51">Function(A51)</f>
        <v>-1.6160000000000017</v>
      </c>
    </row>
    <row r="52" spans="1:2" x14ac:dyDescent="0.15">
      <c r="A52" s="2">
        <v>-0.50000000000001998</v>
      </c>
      <c r="B52" s="2" cm="1">
        <f t="array" ref="B52">Function(A52)</f>
        <v>-1.6249999999999951</v>
      </c>
    </row>
    <row r="53" spans="1:2" x14ac:dyDescent="0.15">
      <c r="A53" s="2">
        <v>-0.40000000000002001</v>
      </c>
      <c r="B53" s="2" cm="1">
        <f t="array" ref="B53">Function(A53)</f>
        <v>-1.6639999999999895</v>
      </c>
    </row>
    <row r="54" spans="1:2" x14ac:dyDescent="0.15">
      <c r="A54" s="2">
        <v>-0.30000000000001997</v>
      </c>
      <c r="B54" s="2" cm="1">
        <f t="array" ref="B54">Function(A54)</f>
        <v>-1.7269999999999854</v>
      </c>
    </row>
    <row r="55" spans="1:2" x14ac:dyDescent="0.15">
      <c r="A55" s="2">
        <v>-0.20000000000002</v>
      </c>
      <c r="B55" s="2" cm="1">
        <f t="array" ref="B55">Function(A55)</f>
        <v>-1.8079999999999825</v>
      </c>
    </row>
    <row r="56" spans="1:2" x14ac:dyDescent="0.15">
      <c r="A56" s="2">
        <v>-0.10000000000002</v>
      </c>
      <c r="B56" s="2" cm="1">
        <f t="array" ref="B56">Function(A56)</f>
        <v>-1.9009999999999807</v>
      </c>
    </row>
    <row r="57" spans="1:2" x14ac:dyDescent="0.15">
      <c r="A57" s="2">
        <v>-2.0428103653102899E-14</v>
      </c>
      <c r="B57" s="2" cm="1">
        <f t="array" ref="B57">Function(A57)</f>
        <v>-1.9999999999999796</v>
      </c>
    </row>
    <row r="58" spans="1:2" x14ac:dyDescent="0.15">
      <c r="A58" s="2">
        <v>9.9999999999980105E-2</v>
      </c>
      <c r="B58" s="2" cm="1">
        <f t="array" ref="B58">Function(A58)</f>
        <v>-2.0989999999999807</v>
      </c>
    </row>
    <row r="59" spans="1:2" x14ac:dyDescent="0.15">
      <c r="A59" s="2">
        <v>0.19999999999998</v>
      </c>
      <c r="B59" s="2" cm="1">
        <f t="array" ref="B59">Function(A59)</f>
        <v>-2.1919999999999824</v>
      </c>
    </row>
    <row r="60" spans="1:2" x14ac:dyDescent="0.15">
      <c r="A60" s="2">
        <v>0.29999999999998</v>
      </c>
      <c r="B60" s="2" cm="1">
        <f t="array" ref="B60">Function(A60)</f>
        <v>-2.2729999999999855</v>
      </c>
    </row>
    <row r="61" spans="1:2" x14ac:dyDescent="0.15">
      <c r="A61" s="2">
        <v>0.39999999999997998</v>
      </c>
      <c r="B61" s="2" cm="1">
        <f t="array" ref="B61">Function(A61)</f>
        <v>-2.3359999999999896</v>
      </c>
    </row>
    <row r="62" spans="1:2" x14ac:dyDescent="0.15">
      <c r="A62" s="2">
        <v>0.49999999999998002</v>
      </c>
      <c r="B62" s="2" cm="1">
        <f t="array" ref="B62">Function(A62)</f>
        <v>-2.3749999999999951</v>
      </c>
    </row>
    <row r="63" spans="1:2" x14ac:dyDescent="0.15">
      <c r="A63" s="2">
        <v>0.59999999999997999</v>
      </c>
      <c r="B63" s="2" cm="1">
        <f t="array" ref="B63">Function(A63)</f>
        <v>-2.3840000000000017</v>
      </c>
    </row>
    <row r="64" spans="1:2" x14ac:dyDescent="0.15">
      <c r="A64" s="2">
        <v>0.69999999999997997</v>
      </c>
      <c r="B64" s="2" cm="1">
        <f t="array" ref="B64">Function(A64)</f>
        <v>-2.3570000000000095</v>
      </c>
    </row>
    <row r="65" spans="1:2" x14ac:dyDescent="0.15">
      <c r="A65" s="2">
        <v>0.79999999999997995</v>
      </c>
      <c r="B65" s="2" cm="1">
        <f t="array" ref="B65">Function(A65)</f>
        <v>-2.2880000000000185</v>
      </c>
    </row>
    <row r="66" spans="1:2" x14ac:dyDescent="0.15">
      <c r="A66" s="2">
        <v>0.89999999999998004</v>
      </c>
      <c r="B66" s="2" cm="1">
        <f t="array" ref="B66">Function(A66)</f>
        <v>-2.1710000000000287</v>
      </c>
    </row>
    <row r="67" spans="1:2" x14ac:dyDescent="0.15">
      <c r="A67" s="2">
        <v>0.99999999999998002</v>
      </c>
      <c r="B67" s="2" cm="1">
        <f t="array" ref="B67">Function(A67)</f>
        <v>-2.00000000000004</v>
      </c>
    </row>
    <row r="68" spans="1:2" x14ac:dyDescent="0.15">
      <c r="A68" s="2">
        <v>1.0999999999999801</v>
      </c>
      <c r="B68" s="2" cm="1">
        <f t="array" ref="B68">Function(A68)</f>
        <v>-1.7690000000000523</v>
      </c>
    </row>
    <row r="69" spans="1:2" x14ac:dyDescent="0.15">
      <c r="A69" s="2">
        <v>1.19999999999998</v>
      </c>
      <c r="B69" s="2" cm="1">
        <f t="array" ref="B69">Function(A69)</f>
        <v>-1.4720000000000664</v>
      </c>
    </row>
    <row r="70" spans="1:2" x14ac:dyDescent="0.15">
      <c r="A70" s="2">
        <v>1.2999999999999801</v>
      </c>
      <c r="B70" s="2" cm="1">
        <f t="array" ref="B70">Function(A70)</f>
        <v>-1.1030000000000812</v>
      </c>
    </row>
    <row r="71" spans="1:2" x14ac:dyDescent="0.15">
      <c r="A71" s="2">
        <v>1.3999999999999799</v>
      </c>
      <c r="B71" s="2" cm="1">
        <f t="array" ref="B71">Function(A71)</f>
        <v>-0.65600000000009784</v>
      </c>
    </row>
    <row r="72" spans="1:2" x14ac:dyDescent="0.15">
      <c r="A72" s="2">
        <v>1.49999999999998</v>
      </c>
      <c r="B72" s="2" cm="1">
        <f t="array" ref="B72">Function(A72)</f>
        <v>-0.12500000000011502</v>
      </c>
    </row>
    <row r="73" spans="1:2" x14ac:dyDescent="0.15">
      <c r="A73" s="2">
        <v>1.5999999999999801</v>
      </c>
      <c r="B73" s="2" cm="1">
        <f t="array" ref="B73">Function(A73)</f>
        <v>0.49599999999986721</v>
      </c>
    </row>
    <row r="74" spans="1:2" x14ac:dyDescent="0.15">
      <c r="A74" s="2">
        <v>1.69999999999998</v>
      </c>
      <c r="B74" s="2" cm="1">
        <f t="array" ref="B74">Function(A74)</f>
        <v>1.2129999999998464</v>
      </c>
    </row>
    <row r="75" spans="1:2" x14ac:dyDescent="0.15">
      <c r="A75" s="2">
        <v>1.7999999999999801</v>
      </c>
      <c r="B75" s="2" cm="1">
        <f t="array" ref="B75">Function(A75)</f>
        <v>2.0319999999998259</v>
      </c>
    </row>
    <row r="76" spans="1:2" x14ac:dyDescent="0.15">
      <c r="A76" s="2">
        <v>1.8999999999999799</v>
      </c>
      <c r="B76" s="2" cm="1">
        <f t="array" ref="B76">Function(A76)</f>
        <v>2.9589999999998033</v>
      </c>
    </row>
    <row r="77" spans="1:2" x14ac:dyDescent="0.15">
      <c r="A77" s="2">
        <v>1.99999999999998</v>
      </c>
      <c r="B77" s="2" cm="1">
        <f t="array" ref="B77">Function(A77)</f>
        <v>3.9999999999997797</v>
      </c>
    </row>
    <row r="78" spans="1:2" x14ac:dyDescent="0.15">
      <c r="A78" s="2">
        <v>2.0999999999999699</v>
      </c>
      <c r="B78" s="2" cm="1">
        <f t="array" ref="B78">Function(A78)</f>
        <v>5.1609999999996319</v>
      </c>
    </row>
    <row r="79" spans="1:2" x14ac:dyDescent="0.15">
      <c r="A79" s="2">
        <v>2.19999999999997</v>
      </c>
      <c r="B79" s="2" cm="1">
        <f t="array" ref="B79">Function(A79)</f>
        <v>6.4479999999995918</v>
      </c>
    </row>
    <row r="80" spans="1:2" x14ac:dyDescent="0.15">
      <c r="A80" s="2">
        <v>2.2999999999999701</v>
      </c>
      <c r="B80" s="2" cm="1">
        <f t="array" ref="B80">Function(A80)</f>
        <v>7.866999999999555</v>
      </c>
    </row>
    <row r="81" spans="1:2" x14ac:dyDescent="0.15">
      <c r="A81" s="2">
        <v>2.3999999999999702</v>
      </c>
      <c r="B81" s="2" cm="1">
        <f t="array" ref="B81">Function(A81)</f>
        <v>9.4239999999995145</v>
      </c>
    </row>
    <row r="82" spans="1:2" x14ac:dyDescent="0.15">
      <c r="A82" s="2">
        <v>2.4999999999999698</v>
      </c>
      <c r="B82" s="2" cm="1">
        <f t="array" ref="B82">Function(A82)</f>
        <v>11.124999999999464</v>
      </c>
    </row>
    <row r="83" spans="1:2" x14ac:dyDescent="0.15">
      <c r="A83" s="2">
        <v>2.5999999999999699</v>
      </c>
      <c r="B83" s="2" cm="1">
        <f t="array" ref="B83">Function(A83)</f>
        <v>12.97599999999942</v>
      </c>
    </row>
    <row r="84" spans="1:2" x14ac:dyDescent="0.15">
      <c r="A84" s="2">
        <v>2.69999999999997</v>
      </c>
      <c r="B84" s="2" cm="1">
        <f t="array" ref="B84">Function(A84)</f>
        <v>14.982999999999372</v>
      </c>
    </row>
    <row r="85" spans="1:2" x14ac:dyDescent="0.15">
      <c r="A85" s="2">
        <v>2.7999999999999701</v>
      </c>
      <c r="B85" s="2" cm="1">
        <f t="array" ref="B85">Function(A85)</f>
        <v>17.151999999999326</v>
      </c>
    </row>
    <row r="86" spans="1:2" x14ac:dyDescent="0.15">
      <c r="A86" s="2">
        <v>2.8999999999999702</v>
      </c>
      <c r="B86" s="2" cm="1">
        <f t="array" ref="B86">Function(A86)</f>
        <v>19.488999999999276</v>
      </c>
    </row>
    <row r="87" spans="1:2" x14ac:dyDescent="0.15">
      <c r="A87" s="2">
        <v>2.9999999999999698</v>
      </c>
      <c r="B87" s="2" cm="1">
        <f t="array" ref="B87">Function(A87)</f>
        <v>21.999999999999211</v>
      </c>
    </row>
    <row r="88" spans="1:2" x14ac:dyDescent="0.15">
      <c r="A88" s="2">
        <v>3.0999999999999699</v>
      </c>
      <c r="B88" s="2" cm="1">
        <f t="array" ref="B88">Function(A88)</f>
        <v>24.690999999999161</v>
      </c>
    </row>
    <row r="89" spans="1:2" x14ac:dyDescent="0.15">
      <c r="A89" s="2">
        <v>3.19999999999997</v>
      </c>
      <c r="B89" s="2" cm="1">
        <f t="array" ref="B89">Function(A89)</f>
        <v>27.567999999999106</v>
      </c>
    </row>
    <row r="90" spans="1:2" x14ac:dyDescent="0.15">
      <c r="A90" s="2">
        <v>3.2999999999999701</v>
      </c>
      <c r="B90" s="2" cm="1">
        <f t="array" ref="B90">Function(A90)</f>
        <v>30.636999999999048</v>
      </c>
    </row>
    <row r="91" spans="1:2" x14ac:dyDescent="0.15">
      <c r="A91" s="2">
        <v>3.3999999999999702</v>
      </c>
      <c r="B91" s="2" cm="1">
        <f t="array" ref="B91">Function(A91)</f>
        <v>33.903999999998994</v>
      </c>
    </row>
    <row r="92" spans="1:2" x14ac:dyDescent="0.15">
      <c r="A92" s="2">
        <v>3.4999999999999698</v>
      </c>
      <c r="B92" s="2" cm="1">
        <f t="array" ref="B92">Function(A92)</f>
        <v>37.37499999999892</v>
      </c>
    </row>
    <row r="93" spans="1:2" x14ac:dyDescent="0.15">
      <c r="A93" s="2">
        <v>3.5999999999999699</v>
      </c>
      <c r="B93" s="2" cm="1">
        <f t="array" ref="B93">Function(A93)</f>
        <v>41.055999999998853</v>
      </c>
    </row>
    <row r="94" spans="1:2" x14ac:dyDescent="0.15">
      <c r="A94" s="2">
        <v>3.69999999999997</v>
      </c>
      <c r="B94" s="2" cm="1">
        <f t="array" ref="B94">Function(A94)</f>
        <v>44.952999999998795</v>
      </c>
    </row>
    <row r="95" spans="1:2" x14ac:dyDescent="0.15">
      <c r="A95" s="2">
        <v>3.7999999999999701</v>
      </c>
      <c r="B95" s="2" cm="1">
        <f t="array" ref="B95">Function(A95)</f>
        <v>49.071999999998731</v>
      </c>
    </row>
    <row r="96" spans="1:2" x14ac:dyDescent="0.15">
      <c r="A96" s="2">
        <v>3.8999999999999702</v>
      </c>
      <c r="B96" s="2" cm="1">
        <f t="array" ref="B96">Function(A96)</f>
        <v>53.418999999998668</v>
      </c>
    </row>
    <row r="97" spans="1:2" x14ac:dyDescent="0.15">
      <c r="A97" s="2">
        <v>3.9999999999999698</v>
      </c>
      <c r="B97" s="2" cm="1">
        <f t="array" ref="B97">Function(A97)</f>
        <v>57.999999999998579</v>
      </c>
    </row>
    <row r="98" spans="1:2" x14ac:dyDescent="0.15">
      <c r="A98" s="2">
        <v>4.0999999999999703</v>
      </c>
      <c r="B98" s="2" cm="1">
        <f t="array" ref="B98">Function(A98)</f>
        <v>62.820999999998534</v>
      </c>
    </row>
    <row r="99" spans="1:2" x14ac:dyDescent="0.15">
      <c r="A99" s="2">
        <v>4.19999999999997</v>
      </c>
      <c r="B99" s="2" cm="1">
        <f t="array" ref="B99">Function(A99)</f>
        <v>67.887999999998442</v>
      </c>
    </row>
    <row r="100" spans="1:2" x14ac:dyDescent="0.15">
      <c r="A100" s="2">
        <v>4.2999999999999696</v>
      </c>
      <c r="B100" s="2" cm="1">
        <f t="array" ref="B100">Function(A100)</f>
        <v>73.206999999998345</v>
      </c>
    </row>
    <row r="101" spans="1:2" x14ac:dyDescent="0.15">
      <c r="A101" s="2">
        <v>4.3999999999999702</v>
      </c>
      <c r="B101" s="2" cm="1">
        <f t="array" ref="B101">Function(A101)</f>
        <v>78.783999999998287</v>
      </c>
    </row>
    <row r="102" spans="1:2" x14ac:dyDescent="0.15">
      <c r="A102" s="2">
        <v>4.4999999999999698</v>
      </c>
      <c r="B102" s="2" cm="1">
        <f t="array" ref="B102">Function(A102)</f>
        <v>84.624999999998195</v>
      </c>
    </row>
    <row r="103" spans="1:2" x14ac:dyDescent="0.15">
      <c r="A103" s="2">
        <v>4.5999999999999703</v>
      </c>
      <c r="B103" s="2" cm="1">
        <f t="array" ref="B103">Function(A103)</f>
        <v>90.735999999998143</v>
      </c>
    </row>
    <row r="104" spans="1:2" x14ac:dyDescent="0.15">
      <c r="A104" s="2">
        <v>4.69999999999997</v>
      </c>
      <c r="B104" s="2" cm="1">
        <f t="array" ref="B104">Function(A104)</f>
        <v>97.122999999998044</v>
      </c>
    </row>
    <row r="105" spans="1:2" x14ac:dyDescent="0.15">
      <c r="A105" s="2">
        <v>4.7999999999999696</v>
      </c>
      <c r="B105" s="2" cm="1">
        <f t="array" ref="B105">Function(A105)</f>
        <v>103.79199999999793</v>
      </c>
    </row>
    <row r="106" spans="1:2" x14ac:dyDescent="0.15">
      <c r="A106" s="2">
        <v>4.8999999999999604</v>
      </c>
      <c r="B106" s="2" cm="1">
        <f t="array" ref="B106">Function(A106)</f>
        <v>110.74899999999718</v>
      </c>
    </row>
  </sheetData>
  <phoneticPr fontId="1"/>
  <conditionalFormatting sqref="K7:K106">
    <cfRule type="cellIs" dxfId="7" priority="3" operator="greaterThanOrEqual">
      <formula>$B$4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BA49F-7C57-4A45-8E8B-E84A22574EC2}">
  <dimension ref="A1:K106"/>
  <sheetViews>
    <sheetView zoomScaleNormal="100" workbookViewId="0">
      <selection sqref="A1:XFD1048576"/>
    </sheetView>
  </sheetViews>
  <sheetFormatPr defaultRowHeight="16.5" x14ac:dyDescent="0.15"/>
  <cols>
    <col min="1" max="1" width="9" style="2"/>
    <col min="2" max="2" width="11.25" style="2" bestFit="1" customWidth="1"/>
    <col min="3" max="4" width="9" style="2"/>
    <col min="5" max="5" width="13.75" style="2" bestFit="1" customWidth="1"/>
    <col min="6" max="6" width="6.5" style="2" bestFit="1" customWidth="1"/>
    <col min="7" max="7" width="13.875" style="2" bestFit="1" customWidth="1"/>
    <col min="8" max="8" width="9" style="2"/>
    <col min="9" max="9" width="13.375" style="2" bestFit="1" customWidth="1"/>
    <col min="10" max="10" width="14.25" style="2" bestFit="1" customWidth="1"/>
    <col min="11" max="16384" width="9" style="2"/>
  </cols>
  <sheetData>
    <row r="1" spans="1:11" s="1" customFormat="1" ht="17.25" thickBot="1" x14ac:dyDescent="0.2">
      <c r="A1" s="7" t="s">
        <v>0</v>
      </c>
      <c r="B1" s="4" t="s">
        <v>15</v>
      </c>
    </row>
    <row r="2" spans="1:11" ht="17.25" thickBot="1" x14ac:dyDescent="0.2">
      <c r="A2" s="7" t="s">
        <v>2</v>
      </c>
      <c r="B2" s="13">
        <v>1</v>
      </c>
    </row>
    <row r="3" spans="1:11" ht="17.25" thickBot="1" x14ac:dyDescent="0.2">
      <c r="A3" s="7" t="s">
        <v>1</v>
      </c>
      <c r="B3" s="13">
        <v>2</v>
      </c>
    </row>
    <row r="4" spans="1:11" ht="17.25" thickBot="1" x14ac:dyDescent="0.2">
      <c r="A4" s="6" t="s">
        <v>3</v>
      </c>
      <c r="B4" s="14">
        <v>9.9999999999999995E-7</v>
      </c>
    </row>
    <row r="5" spans="1:11" ht="17.25" thickBot="1" x14ac:dyDescent="0.2"/>
    <row r="6" spans="1:11" ht="17.25" thickBot="1" x14ac:dyDescent="0.2">
      <c r="A6" s="1" t="s">
        <v>5</v>
      </c>
      <c r="B6" s="1" t="s">
        <v>6</v>
      </c>
      <c r="D6" s="3" t="s">
        <v>11</v>
      </c>
      <c r="E6" s="4" t="str">
        <f>A2</f>
        <v>Lower</v>
      </c>
      <c r="F6" s="4" t="str">
        <f>A3</f>
        <v>Upper</v>
      </c>
      <c r="G6" s="5" t="s">
        <v>12</v>
      </c>
      <c r="H6" s="4" t="s">
        <v>13</v>
      </c>
      <c r="I6" s="4" t="s">
        <v>16</v>
      </c>
      <c r="J6" s="5" t="s">
        <v>17</v>
      </c>
      <c r="K6" s="4" t="s">
        <v>10</v>
      </c>
    </row>
    <row r="7" spans="1:11" x14ac:dyDescent="0.15">
      <c r="A7" s="2">
        <v>-5</v>
      </c>
      <c r="B7" s="2" cm="1">
        <f t="array" ref="B7">Function(A7)</f>
        <v>-122</v>
      </c>
      <c r="D7" s="24">
        <v>1</v>
      </c>
      <c r="E7" s="25">
        <f>B2</f>
        <v>1</v>
      </c>
      <c r="F7" s="25">
        <f>B3</f>
        <v>2</v>
      </c>
      <c r="G7" s="26" cm="1">
        <f t="array" ref="G7">Function(E7)</f>
        <v>-2</v>
      </c>
      <c r="H7" s="25" cm="1">
        <f t="array" ref="H7">Function(F7)</f>
        <v>4</v>
      </c>
      <c r="I7" s="25">
        <f>(E7*H7-F7*G7)/(H7-G7)</f>
        <v>1.3333333333333333</v>
      </c>
      <c r="J7" s="26" cm="1">
        <f t="array" ref="J7">Function(I7)</f>
        <v>-0.96296296296296302</v>
      </c>
      <c r="K7" s="25">
        <v>1</v>
      </c>
    </row>
    <row r="8" spans="1:11" x14ac:dyDescent="0.15">
      <c r="A8" s="2">
        <v>-4.9000000000000004</v>
      </c>
      <c r="B8" s="2" cm="1">
        <f t="array" ref="B8">Function(A8)</f>
        <v>-114.74900000000002</v>
      </c>
      <c r="D8" s="18">
        <v>2</v>
      </c>
      <c r="E8" s="19">
        <f>IF(G7*J7&lt;0,E7,I7)</f>
        <v>1.3333333333333333</v>
      </c>
      <c r="F8" s="19">
        <f>IF(G7*J7&lt;0,I7,F7)</f>
        <v>2</v>
      </c>
      <c r="G8" s="20" cm="1">
        <f t="array" ref="G8">Function(E8)</f>
        <v>-0.96296296296296302</v>
      </c>
      <c r="H8" s="19" cm="1">
        <f t="array" ref="H8">Function(F8)</f>
        <v>4</v>
      </c>
      <c r="I8" s="16">
        <f t="shared" ref="I8" si="0">(E8*H8-F8*G8)/(H8-G8)</f>
        <v>1.4626865671641791</v>
      </c>
      <c r="J8" s="17" cm="1">
        <f t="array" ref="J8">Function(I8)</f>
        <v>-0.33333887479510449</v>
      </c>
      <c r="K8" s="19">
        <f>ABS(I8-I7)</f>
        <v>0.12935323383084585</v>
      </c>
    </row>
    <row r="9" spans="1:11" x14ac:dyDescent="0.15">
      <c r="A9" s="2">
        <v>-4.8</v>
      </c>
      <c r="B9" s="2" cm="1">
        <f t="array" ref="B9">Function(A9)</f>
        <v>-107.792</v>
      </c>
      <c r="D9" s="18">
        <v>3</v>
      </c>
      <c r="E9" s="19">
        <f t="shared" ref="E9:E21" si="1">IF(G8*J8&lt;0,E8,I8)</f>
        <v>1.4626865671641791</v>
      </c>
      <c r="F9" s="19">
        <f t="shared" ref="F9:F21" si="2">IF(G8*J8&lt;0,I8,F8)</f>
        <v>2</v>
      </c>
      <c r="G9" s="20" cm="1">
        <f t="array" ref="G9">Function(E9)</f>
        <v>-0.33333887479510449</v>
      </c>
      <c r="H9" s="19" cm="1">
        <f t="array" ref="H9">Function(F9)</f>
        <v>4</v>
      </c>
      <c r="I9" s="16">
        <f t="shared" ref="I9:I21" si="3">(E9*H9-F9*G9)/(H9-G9)</f>
        <v>1.504019003949949</v>
      </c>
      <c r="J9" s="17" cm="1">
        <f t="array" ref="J9">Function(I9)</f>
        <v>-0.10181797660388914</v>
      </c>
      <c r="K9" s="19">
        <f t="shared" ref="K9:K21" si="4">ABS(I9-I8)</f>
        <v>4.1332436785769922E-2</v>
      </c>
    </row>
    <row r="10" spans="1:11" x14ac:dyDescent="0.15">
      <c r="A10" s="2">
        <v>-4.7</v>
      </c>
      <c r="B10" s="2" cm="1">
        <f t="array" ref="B10">Function(A10)</f>
        <v>-101.12300000000002</v>
      </c>
      <c r="D10" s="18">
        <v>4</v>
      </c>
      <c r="E10" s="19">
        <f t="shared" si="1"/>
        <v>1.504019003949949</v>
      </c>
      <c r="F10" s="19">
        <f t="shared" si="2"/>
        <v>2</v>
      </c>
      <c r="G10" s="20" cm="1">
        <f t="array" ref="G10">Function(E10)</f>
        <v>-0.10181797660388914</v>
      </c>
      <c r="H10" s="19" cm="1">
        <f t="array" ref="H10">Function(F10)</f>
        <v>4</v>
      </c>
      <c r="I10" s="16">
        <f t="shared" si="3"/>
        <v>1.5163305647602632</v>
      </c>
      <c r="J10" s="17" cm="1">
        <f t="array" ref="J10">Function(I10)</f>
        <v>-2.9894804419271059E-2</v>
      </c>
      <c r="K10" s="19">
        <f t="shared" si="4"/>
        <v>1.2311560810314148E-2</v>
      </c>
    </row>
    <row r="11" spans="1:11" x14ac:dyDescent="0.15">
      <c r="A11" s="2">
        <v>-4.5999999999999996</v>
      </c>
      <c r="B11" s="2" cm="1">
        <f t="array" ref="B11">Function(A11)</f>
        <v>-94.735999999999976</v>
      </c>
      <c r="D11" s="18">
        <v>5</v>
      </c>
      <c r="E11" s="19">
        <f t="shared" ref="E11:E19" si="5">IF(G10*J10&lt;0,E10,I10)</f>
        <v>1.5163305647602632</v>
      </c>
      <c r="F11" s="19">
        <f t="shared" ref="F11:F19" si="6">IF(G10*J10&lt;0,I10,F10)</f>
        <v>2</v>
      </c>
      <c r="G11" s="20" cm="1">
        <f t="array" ref="G11">Function(E11)</f>
        <v>-2.9894804419271059E-2</v>
      </c>
      <c r="H11" s="19" cm="1">
        <f t="array" ref="H11">Function(F11)</f>
        <v>4</v>
      </c>
      <c r="I11" s="16">
        <f t="shared" ref="I11:I19" si="7">(E11*H11-F11*G11)/(H11-G11)</f>
        <v>1.5199185500233559</v>
      </c>
      <c r="J11" s="17" cm="1">
        <f t="array" ref="J11">Function(I11)</f>
        <v>-8.6750658505221345E-3</v>
      </c>
      <c r="K11" s="19">
        <f t="shared" ref="K11:K19" si="8">ABS(I11-I10)</f>
        <v>3.5879852630926745E-3</v>
      </c>
    </row>
    <row r="12" spans="1:11" x14ac:dyDescent="0.15">
      <c r="A12" s="2">
        <v>-4.5</v>
      </c>
      <c r="B12" s="2" cm="1">
        <f t="array" ref="B12">Function(A12)</f>
        <v>-88.625</v>
      </c>
      <c r="D12" s="18">
        <v>6</v>
      </c>
      <c r="E12" s="19">
        <f t="shared" si="5"/>
        <v>1.5199185500233559</v>
      </c>
      <c r="F12" s="19">
        <f t="shared" si="6"/>
        <v>2</v>
      </c>
      <c r="G12" s="20" cm="1">
        <f t="array" ref="G12">Function(E12)</f>
        <v>-8.6750658505221345E-3</v>
      </c>
      <c r="H12" s="19" cm="1">
        <f t="array" ref="H12">Function(F12)</f>
        <v>4</v>
      </c>
      <c r="I12" s="16">
        <f t="shared" si="7"/>
        <v>1.5209574813719307</v>
      </c>
      <c r="J12" s="17" cm="1">
        <f t="array" ref="J12">Function(I12)</f>
        <v>-2.5088051351807028E-3</v>
      </c>
      <c r="K12" s="19">
        <f t="shared" si="8"/>
        <v>1.0389313485748009E-3</v>
      </c>
    </row>
    <row r="13" spans="1:11" x14ac:dyDescent="0.15">
      <c r="A13" s="2">
        <v>-4.4000000000000004</v>
      </c>
      <c r="B13" s="2" cm="1">
        <f t="array" ref="B13">Function(A13)</f>
        <v>-82.78400000000002</v>
      </c>
      <c r="D13" s="18">
        <v>7</v>
      </c>
      <c r="E13" s="19">
        <f t="shared" si="5"/>
        <v>1.5209574813719307</v>
      </c>
      <c r="F13" s="19">
        <f t="shared" si="6"/>
        <v>2</v>
      </c>
      <c r="G13" s="20" cm="1">
        <f t="array" ref="G13">Function(E13)</f>
        <v>-2.5088051351807028E-3</v>
      </c>
      <c r="H13" s="19" cm="1">
        <f t="array" ref="H13">Function(F13)</f>
        <v>4</v>
      </c>
      <c r="I13" s="16">
        <f t="shared" si="7"/>
        <v>1.5212577491262858</v>
      </c>
      <c r="J13" s="17" cm="1">
        <f t="array" ref="J13">Function(I13)</f>
        <v>-7.2482277863672451E-4</v>
      </c>
      <c r="K13" s="19">
        <f t="shared" si="8"/>
        <v>3.0026775435509911E-4</v>
      </c>
    </row>
    <row r="14" spans="1:11" x14ac:dyDescent="0.15">
      <c r="A14" s="2">
        <v>-4.3</v>
      </c>
      <c r="B14" s="2" cm="1">
        <f t="array" ref="B14">Function(A14)</f>
        <v>-77.206999999999994</v>
      </c>
      <c r="D14" s="18">
        <v>8</v>
      </c>
      <c r="E14" s="19">
        <f t="shared" si="5"/>
        <v>1.5212577491262858</v>
      </c>
      <c r="F14" s="19">
        <f t="shared" si="6"/>
        <v>2</v>
      </c>
      <c r="G14" s="20" cm="1">
        <f t="array" ref="G14">Function(E14)</f>
        <v>-7.2482277863672451E-4</v>
      </c>
      <c r="H14" s="19" cm="1">
        <f t="array" ref="H14">Function(F14)</f>
        <v>4</v>
      </c>
      <c r="I14" s="16">
        <f t="shared" si="7"/>
        <v>1.5213444842315231</v>
      </c>
      <c r="J14" s="17" cm="1">
        <f t="array" ref="J14">Function(I14)</f>
        <v>-2.093498670585614E-4</v>
      </c>
      <c r="K14" s="19">
        <f t="shared" si="8"/>
        <v>8.6735105237378818E-5</v>
      </c>
    </row>
    <row r="15" spans="1:11" x14ac:dyDescent="0.15">
      <c r="A15" s="2">
        <v>-4.2</v>
      </c>
      <c r="B15" s="2" cm="1">
        <f t="array" ref="B15">Function(A15)</f>
        <v>-71.888000000000005</v>
      </c>
      <c r="D15" s="18">
        <v>9</v>
      </c>
      <c r="E15" s="19">
        <f t="shared" si="5"/>
        <v>1.5213444842315231</v>
      </c>
      <c r="F15" s="19">
        <f t="shared" si="6"/>
        <v>2</v>
      </c>
      <c r="G15" s="20" cm="1">
        <f t="array" ref="G15">Function(E15)</f>
        <v>-2.093498670585614E-4</v>
      </c>
      <c r="H15" s="19" cm="1">
        <f t="array" ref="H15">Function(F15)</f>
        <v>4</v>
      </c>
      <c r="I15" s="16">
        <f t="shared" si="7"/>
        <v>1.5213695345376017</v>
      </c>
      <c r="J15" s="17" cm="1">
        <f t="array" ref="J15">Function(I15)</f>
        <v>-6.0461332529460066E-5</v>
      </c>
      <c r="K15" s="19">
        <f t="shared" si="8"/>
        <v>2.5050306078577833E-5</v>
      </c>
    </row>
    <row r="16" spans="1:11" x14ac:dyDescent="0.15">
      <c r="A16" s="2">
        <v>-4.0999999999999996</v>
      </c>
      <c r="B16" s="2" cm="1">
        <f t="array" ref="B16">Function(A16)</f>
        <v>-66.820999999999998</v>
      </c>
      <c r="D16" s="18">
        <v>10</v>
      </c>
      <c r="E16" s="19">
        <f t="shared" si="5"/>
        <v>1.5213695345376017</v>
      </c>
      <c r="F16" s="19">
        <f t="shared" si="6"/>
        <v>2</v>
      </c>
      <c r="G16" s="20" cm="1">
        <f t="array" ref="G16">Function(E16)</f>
        <v>-6.0461332529460066E-5</v>
      </c>
      <c r="H16" s="19" cm="1">
        <f t="array" ref="H16">Function(F16)</f>
        <v>4</v>
      </c>
      <c r="I16" s="16">
        <f t="shared" si="7"/>
        <v>1.521376769087182</v>
      </c>
      <c r="J16" s="17" cm="1">
        <f t="array" ref="J16">Function(I16)</f>
        <v>-1.7461131825324827E-5</v>
      </c>
      <c r="K16" s="19">
        <f t="shared" si="8"/>
        <v>7.2345495802927928E-6</v>
      </c>
    </row>
    <row r="17" spans="1:11" x14ac:dyDescent="0.15">
      <c r="A17" s="2">
        <v>-4</v>
      </c>
      <c r="B17" s="2" cm="1">
        <f t="array" ref="B17">Function(A17)</f>
        <v>-62</v>
      </c>
      <c r="D17" s="18">
        <v>11</v>
      </c>
      <c r="E17" s="19">
        <f t="shared" si="5"/>
        <v>1.521376769087182</v>
      </c>
      <c r="F17" s="19">
        <f t="shared" si="6"/>
        <v>2</v>
      </c>
      <c r="G17" s="20" cm="1">
        <f t="array" ref="G17">Function(E17)</f>
        <v>-1.7461131825324827E-5</v>
      </c>
      <c r="H17" s="19" cm="1">
        <f t="array" ref="H17">Function(F17)</f>
        <v>4</v>
      </c>
      <c r="I17" s="16">
        <f t="shared" si="7"/>
        <v>1.5213788584038939</v>
      </c>
      <c r="J17" s="17" cm="1">
        <f t="array" ref="J17">Function(I17)</f>
        <v>-5.0427109987705165E-6</v>
      </c>
      <c r="K17" s="19">
        <f t="shared" si="8"/>
        <v>2.089316711861855E-6</v>
      </c>
    </row>
    <row r="18" spans="1:11" x14ac:dyDescent="0.15">
      <c r="A18" s="2">
        <v>-3.9</v>
      </c>
      <c r="B18" s="2" cm="1">
        <f t="array" ref="B18">Function(A18)</f>
        <v>-57.418999999999997</v>
      </c>
      <c r="D18" s="18">
        <v>12</v>
      </c>
      <c r="E18" s="19">
        <f t="shared" si="5"/>
        <v>1.5213788584038939</v>
      </c>
      <c r="F18" s="19">
        <f t="shared" si="6"/>
        <v>2</v>
      </c>
      <c r="G18" s="20" cm="1">
        <f t="array" ref="G18">Function(E18)</f>
        <v>-5.0427109987705165E-6</v>
      </c>
      <c r="H18" s="19" cm="1">
        <f t="array" ref="H18">Function(F18)</f>
        <v>4</v>
      </c>
      <c r="I18" s="16">
        <f t="shared" si="7"/>
        <v>1.5213794617901568</v>
      </c>
      <c r="J18" s="17" cm="1">
        <f t="array" ref="J18">Function(I18)</f>
        <v>-1.4563135968259644E-6</v>
      </c>
      <c r="K18" s="19">
        <f t="shared" si="8"/>
        <v>6.0338626295397546E-7</v>
      </c>
    </row>
    <row r="19" spans="1:11" x14ac:dyDescent="0.15">
      <c r="A19" s="2">
        <v>-3.8</v>
      </c>
      <c r="B19" s="2" cm="1">
        <f t="array" ref="B19">Function(A19)</f>
        <v>-53.071999999999996</v>
      </c>
      <c r="D19" s="18">
        <v>13</v>
      </c>
      <c r="E19" s="19">
        <f t="shared" si="5"/>
        <v>1.5213794617901568</v>
      </c>
      <c r="F19" s="19">
        <f t="shared" si="6"/>
        <v>2</v>
      </c>
      <c r="G19" s="20" cm="1">
        <f t="array" ref="G19">Function(E19)</f>
        <v>-1.4563135968259644E-6</v>
      </c>
      <c r="H19" s="19" cm="1">
        <f t="array" ref="H19">Function(F19)</f>
        <v>4</v>
      </c>
      <c r="I19" s="16">
        <f t="shared" si="7"/>
        <v>1.5213796360454928</v>
      </c>
      <c r="J19" s="17" cm="1">
        <f t="array" ref="J19">Function(I19)</f>
        <v>-4.2057696170161307E-7</v>
      </c>
      <c r="K19" s="19">
        <f t="shared" si="8"/>
        <v>1.7425533593851128E-7</v>
      </c>
    </row>
    <row r="20" spans="1:11" x14ac:dyDescent="0.15">
      <c r="A20" s="2">
        <v>-3.7</v>
      </c>
      <c r="B20" s="2" cm="1">
        <f t="array" ref="B20">Function(A20)</f>
        <v>-48.953000000000003</v>
      </c>
      <c r="D20" s="18">
        <v>14</v>
      </c>
      <c r="E20" s="19">
        <f t="shared" si="1"/>
        <v>1.5213796360454928</v>
      </c>
      <c r="F20" s="19">
        <f t="shared" si="2"/>
        <v>2</v>
      </c>
      <c r="G20" s="20" cm="1">
        <f t="array" ref="G20">Function(E20)</f>
        <v>-4.2057696170161307E-7</v>
      </c>
      <c r="H20" s="19" cm="1">
        <f t="array" ref="H20">Function(F20)</f>
        <v>4</v>
      </c>
      <c r="I20" s="16">
        <f t="shared" si="3"/>
        <v>1.521379686369662</v>
      </c>
      <c r="J20" s="17" cm="1">
        <f t="array" ref="J20">Function(I20)</f>
        <v>-1.2146075789587485E-7</v>
      </c>
      <c r="K20" s="19">
        <f t="shared" si="4"/>
        <v>5.0324169276194652E-8</v>
      </c>
    </row>
    <row r="21" spans="1:11" ht="17.25" thickBot="1" x14ac:dyDescent="0.2">
      <c r="A21" s="2">
        <v>-3.6</v>
      </c>
      <c r="B21" s="2" cm="1">
        <f t="array" ref="B21">Function(A21)</f>
        <v>-45.056000000000004</v>
      </c>
      <c r="D21" s="21">
        <v>15</v>
      </c>
      <c r="E21" s="22">
        <f t="shared" si="1"/>
        <v>1.521379686369662</v>
      </c>
      <c r="F21" s="22">
        <f t="shared" si="2"/>
        <v>2</v>
      </c>
      <c r="G21" s="23" cm="1">
        <f t="array" ref="G21">Function(E21)</f>
        <v>-1.2146075789587485E-7</v>
      </c>
      <c r="H21" s="22" cm="1">
        <f t="array" ref="H21">Function(F21)</f>
        <v>4</v>
      </c>
      <c r="I21" s="27">
        <f t="shared" si="3"/>
        <v>1.5213797009030581</v>
      </c>
      <c r="J21" s="28" cm="1">
        <f t="array" ref="J21">Function(I21)</f>
        <v>-3.5077325266641424E-8</v>
      </c>
      <c r="K21" s="22">
        <f t="shared" si="4"/>
        <v>1.4533396042182289E-8</v>
      </c>
    </row>
    <row r="22" spans="1:11" x14ac:dyDescent="0.15">
      <c r="A22" s="2">
        <v>-3.5000000000000102</v>
      </c>
      <c r="B22" s="2" cm="1">
        <f t="array" ref="B22">Function(A22)</f>
        <v>-41.375000000000369</v>
      </c>
    </row>
    <row r="23" spans="1:11" x14ac:dyDescent="0.15">
      <c r="A23" s="2">
        <v>-3.4000000000000101</v>
      </c>
      <c r="B23" s="2" cm="1">
        <f t="array" ref="B23">Function(A23)</f>
        <v>-37.904000000000337</v>
      </c>
    </row>
    <row r="24" spans="1:11" x14ac:dyDescent="0.15">
      <c r="A24" s="2">
        <v>-3.30000000000001</v>
      </c>
      <c r="B24" s="2" cm="1">
        <f t="array" ref="B24">Function(A24)</f>
        <v>-34.63700000000032</v>
      </c>
    </row>
    <row r="25" spans="1:11" x14ac:dyDescent="0.15">
      <c r="A25" s="2">
        <v>-3.2000000000000099</v>
      </c>
      <c r="B25" s="2" cm="1">
        <f t="array" ref="B25">Function(A25)</f>
        <v>-31.568000000000296</v>
      </c>
    </row>
    <row r="26" spans="1:11" x14ac:dyDescent="0.15">
      <c r="A26" s="2">
        <v>-3.1000000000000099</v>
      </c>
      <c r="B26" s="2" cm="1">
        <f t="array" ref="B26">Function(A26)</f>
        <v>-28.691000000000276</v>
      </c>
    </row>
    <row r="27" spans="1:11" x14ac:dyDescent="0.15">
      <c r="A27" s="2">
        <v>-3.0000000000000102</v>
      </c>
      <c r="B27" s="2" cm="1">
        <f t="array" ref="B27">Function(A27)</f>
        <v>-26.000000000000263</v>
      </c>
    </row>
    <row r="28" spans="1:11" x14ac:dyDescent="0.15">
      <c r="A28" s="2">
        <v>-2.9000000000000101</v>
      </c>
      <c r="B28" s="2" cm="1">
        <f t="array" ref="B28">Function(A28)</f>
        <v>-23.489000000000246</v>
      </c>
    </row>
    <row r="29" spans="1:11" x14ac:dyDescent="0.15">
      <c r="A29" s="2">
        <v>-2.80000000000001</v>
      </c>
      <c r="B29" s="2" cm="1">
        <f t="array" ref="B29">Function(A29)</f>
        <v>-21.152000000000225</v>
      </c>
    </row>
    <row r="30" spans="1:11" x14ac:dyDescent="0.15">
      <c r="A30" s="2">
        <v>-2.7000000000000099</v>
      </c>
      <c r="B30" s="2" cm="1">
        <f t="array" ref="B30">Function(A30)</f>
        <v>-18.983000000000207</v>
      </c>
    </row>
    <row r="31" spans="1:11" x14ac:dyDescent="0.15">
      <c r="A31" s="2">
        <v>-2.6000000000000099</v>
      </c>
      <c r="B31" s="2" cm="1">
        <f t="array" ref="B31">Function(A31)</f>
        <v>-16.976000000000191</v>
      </c>
    </row>
    <row r="32" spans="1:11" x14ac:dyDescent="0.15">
      <c r="A32" s="2">
        <v>-2.5000000000000102</v>
      </c>
      <c r="B32" s="2" cm="1">
        <f t="array" ref="B32">Function(A32)</f>
        <v>-15.125000000000181</v>
      </c>
    </row>
    <row r="33" spans="1:2" x14ac:dyDescent="0.15">
      <c r="A33" s="2">
        <v>-2.4000000000000101</v>
      </c>
      <c r="B33" s="2" cm="1">
        <f t="array" ref="B33">Function(A33)</f>
        <v>-13.424000000000166</v>
      </c>
    </row>
    <row r="34" spans="1:2" x14ac:dyDescent="0.15">
      <c r="A34" s="2">
        <v>-2.30000000000001</v>
      </c>
      <c r="B34" s="2" cm="1">
        <f t="array" ref="B34">Function(A34)</f>
        <v>-11.86700000000015</v>
      </c>
    </row>
    <row r="35" spans="1:2" x14ac:dyDescent="0.15">
      <c r="A35" s="2">
        <v>-2.2000000000000099</v>
      </c>
      <c r="B35" s="2" cm="1">
        <f t="array" ref="B35">Function(A35)</f>
        <v>-10.448000000000134</v>
      </c>
    </row>
    <row r="36" spans="1:2" x14ac:dyDescent="0.15">
      <c r="A36" s="2">
        <v>-2.1000000000000099</v>
      </c>
      <c r="B36" s="2" cm="1">
        <f t="array" ref="B36">Function(A36)</f>
        <v>-9.1610000000001186</v>
      </c>
    </row>
    <row r="37" spans="1:2" x14ac:dyDescent="0.15">
      <c r="A37" s="2">
        <v>-2.0000000000000102</v>
      </c>
      <c r="B37" s="2" cm="1">
        <f t="array" ref="B37">Function(A37)</f>
        <v>-8.0000000000001119</v>
      </c>
    </row>
    <row r="38" spans="1:2" x14ac:dyDescent="0.15">
      <c r="A38" s="2">
        <v>-1.9000000000000099</v>
      </c>
      <c r="B38" s="2" cm="1">
        <f t="array" ref="B38">Function(A38)</f>
        <v>-6.9590000000000973</v>
      </c>
    </row>
    <row r="39" spans="1:2" x14ac:dyDescent="0.15">
      <c r="A39" s="2">
        <v>-1.80000000000001</v>
      </c>
      <c r="B39" s="2" cm="1">
        <f t="array" ref="B39">Function(A39)</f>
        <v>-6.0320000000000871</v>
      </c>
    </row>
    <row r="40" spans="1:2" x14ac:dyDescent="0.15">
      <c r="A40" s="2">
        <v>-1.7000000000000099</v>
      </c>
      <c r="B40" s="2" cm="1">
        <f t="array" ref="B40">Function(A40)</f>
        <v>-5.2130000000000765</v>
      </c>
    </row>
    <row r="41" spans="1:2" x14ac:dyDescent="0.15">
      <c r="A41" s="2">
        <v>-1.6000000000000101</v>
      </c>
      <c r="B41" s="2" cm="1">
        <f t="array" ref="B41">Function(A41)</f>
        <v>-4.4960000000000671</v>
      </c>
    </row>
    <row r="42" spans="1:2" x14ac:dyDescent="0.15">
      <c r="A42" s="2">
        <v>-1.50000000000001</v>
      </c>
      <c r="B42" s="2" cm="1">
        <f t="array" ref="B42">Function(A42)</f>
        <v>-3.8750000000000577</v>
      </c>
    </row>
    <row r="43" spans="1:2" x14ac:dyDescent="0.15">
      <c r="A43" s="2">
        <v>-1.4000000000000099</v>
      </c>
      <c r="B43" s="2" cm="1">
        <f t="array" ref="B43">Function(A43)</f>
        <v>-3.3440000000000483</v>
      </c>
    </row>
    <row r="44" spans="1:2" x14ac:dyDescent="0.15">
      <c r="A44" s="2">
        <v>-1.30000000000001</v>
      </c>
      <c r="B44" s="2" cm="1">
        <f t="array" ref="B44">Function(A44)</f>
        <v>-2.8970000000000411</v>
      </c>
    </row>
    <row r="45" spans="1:2" x14ac:dyDescent="0.15">
      <c r="A45" s="2">
        <v>-1.2000000000000099</v>
      </c>
      <c r="B45" s="2" cm="1">
        <f t="array" ref="B45">Function(A45)</f>
        <v>-2.5280000000000333</v>
      </c>
    </row>
    <row r="46" spans="1:2" x14ac:dyDescent="0.15">
      <c r="A46" s="2">
        <v>-1.1000000000000101</v>
      </c>
      <c r="B46" s="2" cm="1">
        <f t="array" ref="B46">Function(A46)</f>
        <v>-2.2310000000000265</v>
      </c>
    </row>
    <row r="47" spans="1:2" x14ac:dyDescent="0.15">
      <c r="A47" s="2">
        <v>-1.00000000000001</v>
      </c>
      <c r="B47" s="2" cm="1">
        <f t="array" ref="B47">Function(A47)</f>
        <v>-2.00000000000002</v>
      </c>
    </row>
    <row r="48" spans="1:2" x14ac:dyDescent="0.15">
      <c r="A48" s="2">
        <v>-0.90000000000001001</v>
      </c>
      <c r="B48" s="2" cm="1">
        <f t="array" ref="B48">Function(A48)</f>
        <v>-1.8290000000000144</v>
      </c>
    </row>
    <row r="49" spans="1:2" x14ac:dyDescent="0.15">
      <c r="A49" s="2">
        <v>-0.80000000000001004</v>
      </c>
      <c r="B49" s="2" cm="1">
        <f t="array" ref="B49">Function(A49)</f>
        <v>-1.7120000000000093</v>
      </c>
    </row>
    <row r="50" spans="1:2" x14ac:dyDescent="0.15">
      <c r="A50" s="2">
        <v>-0.70000000000002005</v>
      </c>
      <c r="B50" s="2" cm="1">
        <f t="array" ref="B50">Function(A50)</f>
        <v>-1.6430000000000096</v>
      </c>
    </row>
    <row r="51" spans="1:2" x14ac:dyDescent="0.15">
      <c r="A51" s="2">
        <v>-0.60000000000001996</v>
      </c>
      <c r="B51" s="2" cm="1">
        <f t="array" ref="B51">Function(A51)</f>
        <v>-1.6160000000000017</v>
      </c>
    </row>
    <row r="52" spans="1:2" x14ac:dyDescent="0.15">
      <c r="A52" s="2">
        <v>-0.50000000000001998</v>
      </c>
      <c r="B52" s="2" cm="1">
        <f t="array" ref="B52">Function(A52)</f>
        <v>-1.6249999999999951</v>
      </c>
    </row>
    <row r="53" spans="1:2" x14ac:dyDescent="0.15">
      <c r="A53" s="2">
        <v>-0.40000000000002001</v>
      </c>
      <c r="B53" s="2" cm="1">
        <f t="array" ref="B53">Function(A53)</f>
        <v>-1.6639999999999895</v>
      </c>
    </row>
    <row r="54" spans="1:2" x14ac:dyDescent="0.15">
      <c r="A54" s="2">
        <v>-0.30000000000001997</v>
      </c>
      <c r="B54" s="2" cm="1">
        <f t="array" ref="B54">Function(A54)</f>
        <v>-1.7269999999999854</v>
      </c>
    </row>
    <row r="55" spans="1:2" x14ac:dyDescent="0.15">
      <c r="A55" s="2">
        <v>-0.20000000000002</v>
      </c>
      <c r="B55" s="2" cm="1">
        <f t="array" ref="B55">Function(A55)</f>
        <v>-1.8079999999999825</v>
      </c>
    </row>
    <row r="56" spans="1:2" x14ac:dyDescent="0.15">
      <c r="A56" s="2">
        <v>-0.10000000000002</v>
      </c>
      <c r="B56" s="2" cm="1">
        <f t="array" ref="B56">Function(A56)</f>
        <v>-1.9009999999999807</v>
      </c>
    </row>
    <row r="57" spans="1:2" x14ac:dyDescent="0.15">
      <c r="A57" s="2">
        <v>-2.0428103653102899E-14</v>
      </c>
      <c r="B57" s="2" cm="1">
        <f t="array" ref="B57">Function(A57)</f>
        <v>-1.9999999999999796</v>
      </c>
    </row>
    <row r="58" spans="1:2" x14ac:dyDescent="0.15">
      <c r="A58" s="2">
        <v>9.9999999999980105E-2</v>
      </c>
      <c r="B58" s="2" cm="1">
        <f t="array" ref="B58">Function(A58)</f>
        <v>-2.0989999999999807</v>
      </c>
    </row>
    <row r="59" spans="1:2" x14ac:dyDescent="0.15">
      <c r="A59" s="2">
        <v>0.19999999999998</v>
      </c>
      <c r="B59" s="2" cm="1">
        <f t="array" ref="B59">Function(A59)</f>
        <v>-2.1919999999999824</v>
      </c>
    </row>
    <row r="60" spans="1:2" x14ac:dyDescent="0.15">
      <c r="A60" s="2">
        <v>0.29999999999998</v>
      </c>
      <c r="B60" s="2" cm="1">
        <f t="array" ref="B60">Function(A60)</f>
        <v>-2.2729999999999855</v>
      </c>
    </row>
    <row r="61" spans="1:2" x14ac:dyDescent="0.15">
      <c r="A61" s="2">
        <v>0.39999999999997998</v>
      </c>
      <c r="B61" s="2" cm="1">
        <f t="array" ref="B61">Function(A61)</f>
        <v>-2.3359999999999896</v>
      </c>
    </row>
    <row r="62" spans="1:2" x14ac:dyDescent="0.15">
      <c r="A62" s="2">
        <v>0.49999999999998002</v>
      </c>
      <c r="B62" s="2" cm="1">
        <f t="array" ref="B62">Function(A62)</f>
        <v>-2.3749999999999951</v>
      </c>
    </row>
    <row r="63" spans="1:2" x14ac:dyDescent="0.15">
      <c r="A63" s="2">
        <v>0.59999999999997999</v>
      </c>
      <c r="B63" s="2" cm="1">
        <f t="array" ref="B63">Function(A63)</f>
        <v>-2.3840000000000017</v>
      </c>
    </row>
    <row r="64" spans="1:2" x14ac:dyDescent="0.15">
      <c r="A64" s="2">
        <v>0.69999999999997997</v>
      </c>
      <c r="B64" s="2" cm="1">
        <f t="array" ref="B64">Function(A64)</f>
        <v>-2.3570000000000095</v>
      </c>
    </row>
    <row r="65" spans="1:2" x14ac:dyDescent="0.15">
      <c r="A65" s="2">
        <v>0.79999999999997995</v>
      </c>
      <c r="B65" s="2" cm="1">
        <f t="array" ref="B65">Function(A65)</f>
        <v>-2.2880000000000185</v>
      </c>
    </row>
    <row r="66" spans="1:2" x14ac:dyDescent="0.15">
      <c r="A66" s="2">
        <v>0.89999999999998004</v>
      </c>
      <c r="B66" s="2" cm="1">
        <f t="array" ref="B66">Function(A66)</f>
        <v>-2.1710000000000287</v>
      </c>
    </row>
    <row r="67" spans="1:2" x14ac:dyDescent="0.15">
      <c r="A67" s="2">
        <v>0.99999999999998002</v>
      </c>
      <c r="B67" s="2" cm="1">
        <f t="array" ref="B67">Function(A67)</f>
        <v>-2.00000000000004</v>
      </c>
    </row>
    <row r="68" spans="1:2" x14ac:dyDescent="0.15">
      <c r="A68" s="2">
        <v>1.0999999999999801</v>
      </c>
      <c r="B68" s="2" cm="1">
        <f t="array" ref="B68">Function(A68)</f>
        <v>-1.7690000000000523</v>
      </c>
    </row>
    <row r="69" spans="1:2" x14ac:dyDescent="0.15">
      <c r="A69" s="2">
        <v>1.19999999999998</v>
      </c>
      <c r="B69" s="2" cm="1">
        <f t="array" ref="B69">Function(A69)</f>
        <v>-1.4720000000000664</v>
      </c>
    </row>
    <row r="70" spans="1:2" x14ac:dyDescent="0.15">
      <c r="A70" s="2">
        <v>1.2999999999999801</v>
      </c>
      <c r="B70" s="2" cm="1">
        <f t="array" ref="B70">Function(A70)</f>
        <v>-1.1030000000000812</v>
      </c>
    </row>
    <row r="71" spans="1:2" x14ac:dyDescent="0.15">
      <c r="A71" s="2">
        <v>1.3999999999999799</v>
      </c>
      <c r="B71" s="2" cm="1">
        <f t="array" ref="B71">Function(A71)</f>
        <v>-0.65600000000009784</v>
      </c>
    </row>
    <row r="72" spans="1:2" x14ac:dyDescent="0.15">
      <c r="A72" s="2">
        <v>1.49999999999998</v>
      </c>
      <c r="B72" s="2" cm="1">
        <f t="array" ref="B72">Function(A72)</f>
        <v>-0.12500000000011502</v>
      </c>
    </row>
    <row r="73" spans="1:2" x14ac:dyDescent="0.15">
      <c r="A73" s="2">
        <v>1.5999999999999801</v>
      </c>
      <c r="B73" s="2" cm="1">
        <f t="array" ref="B73">Function(A73)</f>
        <v>0.49599999999986721</v>
      </c>
    </row>
    <row r="74" spans="1:2" x14ac:dyDescent="0.15">
      <c r="A74" s="2">
        <v>1.69999999999998</v>
      </c>
      <c r="B74" s="2" cm="1">
        <f t="array" ref="B74">Function(A74)</f>
        <v>1.2129999999998464</v>
      </c>
    </row>
    <row r="75" spans="1:2" x14ac:dyDescent="0.15">
      <c r="A75" s="2">
        <v>1.7999999999999801</v>
      </c>
      <c r="B75" s="2" cm="1">
        <f t="array" ref="B75">Function(A75)</f>
        <v>2.0319999999998259</v>
      </c>
    </row>
    <row r="76" spans="1:2" x14ac:dyDescent="0.15">
      <c r="A76" s="2">
        <v>1.8999999999999799</v>
      </c>
      <c r="B76" s="2" cm="1">
        <f t="array" ref="B76">Function(A76)</f>
        <v>2.9589999999998033</v>
      </c>
    </row>
    <row r="77" spans="1:2" x14ac:dyDescent="0.15">
      <c r="A77" s="2">
        <v>1.99999999999998</v>
      </c>
      <c r="B77" s="2" cm="1">
        <f t="array" ref="B77">Function(A77)</f>
        <v>3.9999999999997797</v>
      </c>
    </row>
    <row r="78" spans="1:2" x14ac:dyDescent="0.15">
      <c r="A78" s="2">
        <v>2.0999999999999699</v>
      </c>
      <c r="B78" s="2" cm="1">
        <f t="array" ref="B78">Function(A78)</f>
        <v>5.1609999999996319</v>
      </c>
    </row>
    <row r="79" spans="1:2" x14ac:dyDescent="0.15">
      <c r="A79" s="2">
        <v>2.19999999999997</v>
      </c>
      <c r="B79" s="2" cm="1">
        <f t="array" ref="B79">Function(A79)</f>
        <v>6.4479999999995918</v>
      </c>
    </row>
    <row r="80" spans="1:2" x14ac:dyDescent="0.15">
      <c r="A80" s="2">
        <v>2.2999999999999701</v>
      </c>
      <c r="B80" s="2" cm="1">
        <f t="array" ref="B80">Function(A80)</f>
        <v>7.866999999999555</v>
      </c>
    </row>
    <row r="81" spans="1:2" x14ac:dyDescent="0.15">
      <c r="A81" s="2">
        <v>2.3999999999999702</v>
      </c>
      <c r="B81" s="2" cm="1">
        <f t="array" ref="B81">Function(A81)</f>
        <v>9.4239999999995145</v>
      </c>
    </row>
    <row r="82" spans="1:2" x14ac:dyDescent="0.15">
      <c r="A82" s="2">
        <v>2.4999999999999698</v>
      </c>
      <c r="B82" s="2" cm="1">
        <f t="array" ref="B82">Function(A82)</f>
        <v>11.124999999999464</v>
      </c>
    </row>
    <row r="83" spans="1:2" x14ac:dyDescent="0.15">
      <c r="A83" s="2">
        <v>2.5999999999999699</v>
      </c>
      <c r="B83" s="2" cm="1">
        <f t="array" ref="B83">Function(A83)</f>
        <v>12.97599999999942</v>
      </c>
    </row>
    <row r="84" spans="1:2" x14ac:dyDescent="0.15">
      <c r="A84" s="2">
        <v>2.69999999999997</v>
      </c>
      <c r="B84" s="2" cm="1">
        <f t="array" ref="B84">Function(A84)</f>
        <v>14.982999999999372</v>
      </c>
    </row>
    <row r="85" spans="1:2" x14ac:dyDescent="0.15">
      <c r="A85" s="2">
        <v>2.7999999999999701</v>
      </c>
      <c r="B85" s="2" cm="1">
        <f t="array" ref="B85">Function(A85)</f>
        <v>17.151999999999326</v>
      </c>
    </row>
    <row r="86" spans="1:2" x14ac:dyDescent="0.15">
      <c r="A86" s="2">
        <v>2.8999999999999702</v>
      </c>
      <c r="B86" s="2" cm="1">
        <f t="array" ref="B86">Function(A86)</f>
        <v>19.488999999999276</v>
      </c>
    </row>
    <row r="87" spans="1:2" x14ac:dyDescent="0.15">
      <c r="A87" s="2">
        <v>2.9999999999999698</v>
      </c>
      <c r="B87" s="2" cm="1">
        <f t="array" ref="B87">Function(A87)</f>
        <v>21.999999999999211</v>
      </c>
    </row>
    <row r="88" spans="1:2" x14ac:dyDescent="0.15">
      <c r="A88" s="2">
        <v>3.0999999999999699</v>
      </c>
      <c r="B88" s="2" cm="1">
        <f t="array" ref="B88">Function(A88)</f>
        <v>24.690999999999161</v>
      </c>
    </row>
    <row r="89" spans="1:2" x14ac:dyDescent="0.15">
      <c r="A89" s="2">
        <v>3.19999999999997</v>
      </c>
      <c r="B89" s="2" cm="1">
        <f t="array" ref="B89">Function(A89)</f>
        <v>27.567999999999106</v>
      </c>
    </row>
    <row r="90" spans="1:2" x14ac:dyDescent="0.15">
      <c r="A90" s="2">
        <v>3.2999999999999701</v>
      </c>
      <c r="B90" s="2" cm="1">
        <f t="array" ref="B90">Function(A90)</f>
        <v>30.636999999999048</v>
      </c>
    </row>
    <row r="91" spans="1:2" x14ac:dyDescent="0.15">
      <c r="A91" s="2">
        <v>3.3999999999999702</v>
      </c>
      <c r="B91" s="2" cm="1">
        <f t="array" ref="B91">Function(A91)</f>
        <v>33.903999999998994</v>
      </c>
    </row>
    <row r="92" spans="1:2" x14ac:dyDescent="0.15">
      <c r="A92" s="2">
        <v>3.4999999999999698</v>
      </c>
      <c r="B92" s="2" cm="1">
        <f t="array" ref="B92">Function(A92)</f>
        <v>37.37499999999892</v>
      </c>
    </row>
    <row r="93" spans="1:2" x14ac:dyDescent="0.15">
      <c r="A93" s="2">
        <v>3.5999999999999699</v>
      </c>
      <c r="B93" s="2" cm="1">
        <f t="array" ref="B93">Function(A93)</f>
        <v>41.055999999998853</v>
      </c>
    </row>
    <row r="94" spans="1:2" x14ac:dyDescent="0.15">
      <c r="A94" s="2">
        <v>3.69999999999997</v>
      </c>
      <c r="B94" s="2" cm="1">
        <f t="array" ref="B94">Function(A94)</f>
        <v>44.952999999998795</v>
      </c>
    </row>
    <row r="95" spans="1:2" x14ac:dyDescent="0.15">
      <c r="A95" s="2">
        <v>3.7999999999999701</v>
      </c>
      <c r="B95" s="2" cm="1">
        <f t="array" ref="B95">Function(A95)</f>
        <v>49.071999999998731</v>
      </c>
    </row>
    <row r="96" spans="1:2" x14ac:dyDescent="0.15">
      <c r="A96" s="2">
        <v>3.8999999999999702</v>
      </c>
      <c r="B96" s="2" cm="1">
        <f t="array" ref="B96">Function(A96)</f>
        <v>53.418999999998668</v>
      </c>
    </row>
    <row r="97" spans="1:2" x14ac:dyDescent="0.15">
      <c r="A97" s="2">
        <v>3.9999999999999698</v>
      </c>
      <c r="B97" s="2" cm="1">
        <f t="array" ref="B97">Function(A97)</f>
        <v>57.999999999998579</v>
      </c>
    </row>
    <row r="98" spans="1:2" x14ac:dyDescent="0.15">
      <c r="A98" s="2">
        <v>4.0999999999999703</v>
      </c>
      <c r="B98" s="2" cm="1">
        <f t="array" ref="B98">Function(A98)</f>
        <v>62.820999999998534</v>
      </c>
    </row>
    <row r="99" spans="1:2" x14ac:dyDescent="0.15">
      <c r="A99" s="2">
        <v>4.19999999999997</v>
      </c>
      <c r="B99" s="2" cm="1">
        <f t="array" ref="B99">Function(A99)</f>
        <v>67.887999999998442</v>
      </c>
    </row>
    <row r="100" spans="1:2" x14ac:dyDescent="0.15">
      <c r="A100" s="2">
        <v>4.2999999999999696</v>
      </c>
      <c r="B100" s="2" cm="1">
        <f t="array" ref="B100">Function(A100)</f>
        <v>73.206999999998345</v>
      </c>
    </row>
    <row r="101" spans="1:2" x14ac:dyDescent="0.15">
      <c r="A101" s="2">
        <v>4.3999999999999702</v>
      </c>
      <c r="B101" s="2" cm="1">
        <f t="array" ref="B101">Function(A101)</f>
        <v>78.783999999998287</v>
      </c>
    </row>
    <row r="102" spans="1:2" x14ac:dyDescent="0.15">
      <c r="A102" s="2">
        <v>4.4999999999999698</v>
      </c>
      <c r="B102" s="2" cm="1">
        <f t="array" ref="B102">Function(A102)</f>
        <v>84.624999999998195</v>
      </c>
    </row>
    <row r="103" spans="1:2" x14ac:dyDescent="0.15">
      <c r="A103" s="2">
        <v>4.5999999999999703</v>
      </c>
      <c r="B103" s="2" cm="1">
        <f t="array" ref="B103">Function(A103)</f>
        <v>90.735999999998143</v>
      </c>
    </row>
    <row r="104" spans="1:2" x14ac:dyDescent="0.15">
      <c r="A104" s="2">
        <v>4.69999999999997</v>
      </c>
      <c r="B104" s="2" cm="1">
        <f t="array" ref="B104">Function(A104)</f>
        <v>97.122999999998044</v>
      </c>
    </row>
    <row r="105" spans="1:2" x14ac:dyDescent="0.15">
      <c r="A105" s="2">
        <v>4.7999999999999696</v>
      </c>
      <c r="B105" s="2" cm="1">
        <f t="array" ref="B105">Function(A105)</f>
        <v>103.79199999999793</v>
      </c>
    </row>
    <row r="106" spans="1:2" x14ac:dyDescent="0.15">
      <c r="A106" s="2">
        <v>4.8999999999999604</v>
      </c>
      <c r="B106" s="2" cm="1">
        <f t="array" ref="B106">Function(A106)</f>
        <v>110.74899999999718</v>
      </c>
    </row>
  </sheetData>
  <phoneticPr fontId="1"/>
  <conditionalFormatting sqref="K7:K106">
    <cfRule type="cellIs" dxfId="6" priority="1" operator="greaterThanOrEqual">
      <formula>$B$4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41D7D-0E9D-4E2F-8489-686F7577AFBF}">
  <dimension ref="A1:K106"/>
  <sheetViews>
    <sheetView zoomScaleNormal="100" workbookViewId="0">
      <selection sqref="A1:XFD1048576"/>
    </sheetView>
  </sheetViews>
  <sheetFormatPr defaultRowHeight="16.5" x14ac:dyDescent="0.15"/>
  <cols>
    <col min="1" max="1" width="9" style="2"/>
    <col min="2" max="2" width="11.25" style="2" bestFit="1" customWidth="1"/>
    <col min="3" max="3" width="9" style="2"/>
    <col min="4" max="4" width="7.875" style="2" bestFit="1" customWidth="1"/>
    <col min="5" max="5" width="13.75" style="2" bestFit="1" customWidth="1"/>
    <col min="6" max="6" width="6.5" style="2" bestFit="1" customWidth="1"/>
    <col min="7" max="7" width="13.875" style="2" bestFit="1" customWidth="1"/>
    <col min="8" max="8" width="9" style="2"/>
    <col min="9" max="9" width="13.375" style="2" bestFit="1" customWidth="1"/>
    <col min="10" max="10" width="14.25" style="2" bestFit="1" customWidth="1"/>
    <col min="11" max="16384" width="9" style="2"/>
  </cols>
  <sheetData>
    <row r="1" spans="1:11" s="1" customFormat="1" ht="17.25" thickBot="1" x14ac:dyDescent="0.2">
      <c r="A1" s="7" t="s">
        <v>0</v>
      </c>
      <c r="B1" s="4" t="s">
        <v>15</v>
      </c>
    </row>
    <row r="2" spans="1:11" ht="17.25" thickBot="1" x14ac:dyDescent="0.2">
      <c r="A2" s="7" t="s">
        <v>2</v>
      </c>
      <c r="B2" s="13">
        <v>1</v>
      </c>
    </row>
    <row r="3" spans="1:11" ht="17.25" thickBot="1" x14ac:dyDescent="0.2">
      <c r="A3" s="7" t="s">
        <v>1</v>
      </c>
      <c r="B3" s="13">
        <v>2</v>
      </c>
    </row>
    <row r="4" spans="1:11" ht="17.25" thickBot="1" x14ac:dyDescent="0.2">
      <c r="A4" s="6" t="s">
        <v>3</v>
      </c>
      <c r="B4" s="14">
        <v>9.9999999999999995E-7</v>
      </c>
    </row>
    <row r="5" spans="1:11" ht="17.25" thickBot="1" x14ac:dyDescent="0.2"/>
    <row r="6" spans="1:11" ht="17.25" thickBot="1" x14ac:dyDescent="0.2">
      <c r="A6" s="1" t="s">
        <v>5</v>
      </c>
      <c r="B6" s="1" t="s">
        <v>6</v>
      </c>
      <c r="D6" s="8" t="s">
        <v>11</v>
      </c>
      <c r="E6" s="9" t="str">
        <f>A2</f>
        <v>Lower</v>
      </c>
      <c r="F6" s="11" t="str">
        <f>A3</f>
        <v>Upper</v>
      </c>
      <c r="G6" s="9" t="s">
        <v>12</v>
      </c>
      <c r="H6" s="11" t="s">
        <v>13</v>
      </c>
      <c r="I6" s="9" t="s">
        <v>36</v>
      </c>
      <c r="J6" s="9" t="s">
        <v>37</v>
      </c>
      <c r="K6" s="12" t="s">
        <v>10</v>
      </c>
    </row>
    <row r="7" spans="1:11" x14ac:dyDescent="0.15">
      <c r="A7" s="2">
        <v>-5</v>
      </c>
      <c r="B7" s="2" cm="1">
        <f t="array" ref="B7">Function(A7)</f>
        <v>-122</v>
      </c>
      <c r="D7" s="24">
        <v>1</v>
      </c>
      <c r="E7" s="25">
        <f>B2</f>
        <v>1</v>
      </c>
      <c r="F7" s="26">
        <f>B3</f>
        <v>2</v>
      </c>
      <c r="G7" s="25" cm="1">
        <f t="array" ref="G7">Function(E7)</f>
        <v>-2</v>
      </c>
      <c r="H7" s="26" cm="1">
        <f t="array" ref="H7">Function(F7)</f>
        <v>4</v>
      </c>
      <c r="I7" s="25">
        <f>F7 - H7*(F7-E7)/(H7-G7)</f>
        <v>1.3333333333333335</v>
      </c>
      <c r="J7" s="25" cm="1">
        <f t="array" ref="J7">Function(I7)</f>
        <v>-0.96296296296296235</v>
      </c>
      <c r="K7" s="29">
        <v>1</v>
      </c>
    </row>
    <row r="8" spans="1:11" x14ac:dyDescent="0.15">
      <c r="A8" s="2">
        <v>-4.9000000000000004</v>
      </c>
      <c r="B8" s="2" cm="1">
        <f t="array" ref="B8">Function(A8)</f>
        <v>-114.74900000000002</v>
      </c>
      <c r="D8" s="18">
        <v>2</v>
      </c>
      <c r="E8" s="19">
        <f>IF(G7*J7&lt;0,E7,IF(G7*J7&gt;0,I7,E7))</f>
        <v>1.3333333333333335</v>
      </c>
      <c r="F8" s="20">
        <f>IF(H7*J7&lt;0,F7,IF(H7*J7&gt;0,I7,F7))</f>
        <v>2</v>
      </c>
      <c r="G8" s="19" cm="1">
        <f t="array" ref="G8">Function(E8)</f>
        <v>-0.96296296296296235</v>
      </c>
      <c r="H8" s="20" cm="1">
        <f t="array" ref="H8">Function(F8)</f>
        <v>4</v>
      </c>
      <c r="I8" s="19">
        <f>F8 - H8*(F8-E8)/(H8-G8)</f>
        <v>1.4626865671641791</v>
      </c>
      <c r="J8" s="19" cm="1">
        <f t="array" ref="J8">Function(I8)</f>
        <v>-0.33333887479510449</v>
      </c>
      <c r="K8" s="30">
        <f t="shared" ref="K8:K21" si="0">ABS(I8-I7)</f>
        <v>0.12935323383084563</v>
      </c>
    </row>
    <row r="9" spans="1:11" x14ac:dyDescent="0.15">
      <c r="A9" s="2">
        <v>-4.8</v>
      </c>
      <c r="B9" s="2" cm="1">
        <f t="array" ref="B9">Function(A9)</f>
        <v>-107.792</v>
      </c>
      <c r="D9" s="18">
        <v>3</v>
      </c>
      <c r="E9" s="19">
        <f t="shared" ref="E9:E21" si="1">IF(G8*J8&lt;0,E8,IF(G8*J8&gt;0,I8,E8))</f>
        <v>1.4626865671641791</v>
      </c>
      <c r="F9" s="20">
        <f t="shared" ref="F9:F21" si="2">IF(H8*J8&lt;0,F8,IF(H8*J8&gt;0,I8,F8))</f>
        <v>2</v>
      </c>
      <c r="G9" s="19" cm="1">
        <f t="array" ref="G9">Function(E9)</f>
        <v>-0.33333887479510449</v>
      </c>
      <c r="H9" s="20" cm="1">
        <f t="array" ref="H9">Function(F9)</f>
        <v>4</v>
      </c>
      <c r="I9" s="19">
        <f t="shared" ref="I9:I21" si="3">F9 - H9*(F9-E9)/(H9-G9)</f>
        <v>1.5040190039499488</v>
      </c>
      <c r="J9" s="19" cm="1">
        <f t="array" ref="J9">Function(I9)</f>
        <v>-0.10181797660389069</v>
      </c>
      <c r="K9" s="30">
        <f t="shared" si="0"/>
        <v>4.1332436785769699E-2</v>
      </c>
    </row>
    <row r="10" spans="1:11" x14ac:dyDescent="0.15">
      <c r="A10" s="2">
        <v>-4.7</v>
      </c>
      <c r="B10" s="2" cm="1">
        <f t="array" ref="B10">Function(A10)</f>
        <v>-101.12300000000002</v>
      </c>
      <c r="D10" s="18">
        <v>4</v>
      </c>
      <c r="E10" s="19">
        <f t="shared" si="1"/>
        <v>1.5040190039499488</v>
      </c>
      <c r="F10" s="20">
        <f t="shared" si="2"/>
        <v>2</v>
      </c>
      <c r="G10" s="19" cm="1">
        <f t="array" ref="G10">Function(E10)</f>
        <v>-0.10181797660389069</v>
      </c>
      <c r="H10" s="20" cm="1">
        <f t="array" ref="H10">Function(F10)</f>
        <v>4</v>
      </c>
      <c r="I10" s="19">
        <f t="shared" si="3"/>
        <v>1.516330564760263</v>
      </c>
      <c r="J10" s="19" cm="1">
        <f t="array" ref="J10">Function(I10)</f>
        <v>-2.9894804419272614E-2</v>
      </c>
      <c r="K10" s="30">
        <f t="shared" si="0"/>
        <v>1.2311560810314148E-2</v>
      </c>
    </row>
    <row r="11" spans="1:11" x14ac:dyDescent="0.15">
      <c r="A11" s="2">
        <v>-4.5999999999999996</v>
      </c>
      <c r="B11" s="2" cm="1">
        <f t="array" ref="B11">Function(A11)</f>
        <v>-94.735999999999976</v>
      </c>
      <c r="D11" s="18">
        <v>5</v>
      </c>
      <c r="E11" s="19">
        <f t="shared" si="1"/>
        <v>1.516330564760263</v>
      </c>
      <c r="F11" s="20">
        <f t="shared" si="2"/>
        <v>2</v>
      </c>
      <c r="G11" s="19" cm="1">
        <f t="array" ref="G11">Function(E11)</f>
        <v>-2.9894804419272614E-2</v>
      </c>
      <c r="H11" s="20" cm="1">
        <f t="array" ref="H11">Function(F11)</f>
        <v>4</v>
      </c>
      <c r="I11" s="19">
        <f t="shared" si="3"/>
        <v>1.5199185500233561</v>
      </c>
      <c r="J11" s="19" cm="1">
        <f t="array" ref="J11">Function(I11)</f>
        <v>-8.6750658505205802E-3</v>
      </c>
      <c r="K11" s="30">
        <f t="shared" si="0"/>
        <v>3.5879852630931186E-3</v>
      </c>
    </row>
    <row r="12" spans="1:11" x14ac:dyDescent="0.15">
      <c r="A12" s="2">
        <v>-4.5</v>
      </c>
      <c r="B12" s="2" cm="1">
        <f t="array" ref="B12">Function(A12)</f>
        <v>-88.625</v>
      </c>
      <c r="D12" s="18">
        <v>6</v>
      </c>
      <c r="E12" s="19">
        <f t="shared" si="1"/>
        <v>1.5199185500233561</v>
      </c>
      <c r="F12" s="20">
        <f t="shared" si="2"/>
        <v>2</v>
      </c>
      <c r="G12" s="19" cm="1">
        <f t="array" ref="G12">Function(E12)</f>
        <v>-8.6750658505205802E-3</v>
      </c>
      <c r="H12" s="20" cm="1">
        <f t="array" ref="H12">Function(F12)</f>
        <v>4</v>
      </c>
      <c r="I12" s="19">
        <f t="shared" si="3"/>
        <v>1.5209574813719304</v>
      </c>
      <c r="J12" s="19" cm="1">
        <f t="array" ref="J12">Function(I12)</f>
        <v>-2.5088051351813689E-3</v>
      </c>
      <c r="K12" s="30">
        <f t="shared" si="0"/>
        <v>1.0389313485743568E-3</v>
      </c>
    </row>
    <row r="13" spans="1:11" x14ac:dyDescent="0.15">
      <c r="A13" s="2">
        <v>-4.4000000000000004</v>
      </c>
      <c r="B13" s="2" cm="1">
        <f t="array" ref="B13">Function(A13)</f>
        <v>-82.78400000000002</v>
      </c>
      <c r="D13" s="18">
        <v>7</v>
      </c>
      <c r="E13" s="19">
        <f t="shared" si="1"/>
        <v>1.5209574813719304</v>
      </c>
      <c r="F13" s="20">
        <f t="shared" si="2"/>
        <v>2</v>
      </c>
      <c r="G13" s="19" cm="1">
        <f t="array" ref="G13">Function(E13)</f>
        <v>-2.5088051351813689E-3</v>
      </c>
      <c r="H13" s="20" cm="1">
        <f t="array" ref="H13">Function(F13)</f>
        <v>4</v>
      </c>
      <c r="I13" s="19">
        <f t="shared" si="3"/>
        <v>1.5212577491262855</v>
      </c>
      <c r="J13" s="19" cm="1">
        <f t="array" ref="J13">Function(I13)</f>
        <v>-7.2482277863739064E-4</v>
      </c>
      <c r="K13" s="30">
        <f t="shared" si="0"/>
        <v>3.0026775435509911E-4</v>
      </c>
    </row>
    <row r="14" spans="1:11" x14ac:dyDescent="0.15">
      <c r="A14" s="2">
        <v>-4.3</v>
      </c>
      <c r="B14" s="2" cm="1">
        <f t="array" ref="B14">Function(A14)</f>
        <v>-77.206999999999994</v>
      </c>
      <c r="D14" s="18">
        <v>8</v>
      </c>
      <c r="E14" s="19">
        <f t="shared" si="1"/>
        <v>1.5212577491262855</v>
      </c>
      <c r="F14" s="20">
        <f t="shared" si="2"/>
        <v>2</v>
      </c>
      <c r="G14" s="19" cm="1">
        <f t="array" ref="G14">Function(E14)</f>
        <v>-7.2482277863739064E-4</v>
      </c>
      <c r="H14" s="20" cm="1">
        <f t="array" ref="H14">Function(F14)</f>
        <v>4</v>
      </c>
      <c r="I14" s="19">
        <f t="shared" si="3"/>
        <v>1.5213444842315229</v>
      </c>
      <c r="J14" s="19" cm="1">
        <f t="array" ref="J14">Function(I14)</f>
        <v>-2.0934986706011571E-4</v>
      </c>
      <c r="K14" s="30">
        <f t="shared" si="0"/>
        <v>8.6735105237378818E-5</v>
      </c>
    </row>
    <row r="15" spans="1:11" x14ac:dyDescent="0.15">
      <c r="A15" s="2">
        <v>-4.2</v>
      </c>
      <c r="B15" s="2" cm="1">
        <f t="array" ref="B15">Function(A15)</f>
        <v>-71.888000000000005</v>
      </c>
      <c r="D15" s="18">
        <v>9</v>
      </c>
      <c r="E15" s="19">
        <f t="shared" si="1"/>
        <v>1.5213444842315229</v>
      </c>
      <c r="F15" s="20">
        <f t="shared" si="2"/>
        <v>2</v>
      </c>
      <c r="G15" s="19" cm="1">
        <f t="array" ref="G15">Function(E15)</f>
        <v>-2.0934986706011571E-4</v>
      </c>
      <c r="H15" s="20" cm="1">
        <f t="array" ref="H15">Function(F15)</f>
        <v>4</v>
      </c>
      <c r="I15" s="19">
        <f t="shared" si="3"/>
        <v>1.5213695345376017</v>
      </c>
      <c r="J15" s="19" cm="1">
        <f t="array" ref="J15">Function(I15)</f>
        <v>-6.0461332529460066E-5</v>
      </c>
      <c r="K15" s="30">
        <f t="shared" si="0"/>
        <v>2.5050306078799878E-5</v>
      </c>
    </row>
    <row r="16" spans="1:11" x14ac:dyDescent="0.15">
      <c r="A16" s="2">
        <v>-4.0999999999999996</v>
      </c>
      <c r="B16" s="2" cm="1">
        <f t="array" ref="B16">Function(A16)</f>
        <v>-66.820999999999998</v>
      </c>
      <c r="D16" s="18">
        <v>10</v>
      </c>
      <c r="E16" s="19">
        <f t="shared" si="1"/>
        <v>1.5213695345376017</v>
      </c>
      <c r="F16" s="20">
        <f t="shared" si="2"/>
        <v>2</v>
      </c>
      <c r="G16" s="19" cm="1">
        <f t="array" ref="G16">Function(E16)</f>
        <v>-6.0461332529460066E-5</v>
      </c>
      <c r="H16" s="20" cm="1">
        <f t="array" ref="H16">Function(F16)</f>
        <v>4</v>
      </c>
      <c r="I16" s="19">
        <f t="shared" si="3"/>
        <v>1.5213767690871818</v>
      </c>
      <c r="J16" s="19" cm="1">
        <f t="array" ref="J16">Function(I16)</f>
        <v>-1.746113182643505E-5</v>
      </c>
      <c r="K16" s="30">
        <f t="shared" si="0"/>
        <v>7.2345495800707482E-6</v>
      </c>
    </row>
    <row r="17" spans="1:11" x14ac:dyDescent="0.15">
      <c r="A17" s="2">
        <v>-4</v>
      </c>
      <c r="B17" s="2" cm="1">
        <f t="array" ref="B17">Function(A17)</f>
        <v>-62</v>
      </c>
      <c r="D17" s="18">
        <v>11</v>
      </c>
      <c r="E17" s="19">
        <f t="shared" si="1"/>
        <v>1.5213767690871818</v>
      </c>
      <c r="F17" s="20">
        <f t="shared" si="2"/>
        <v>2</v>
      </c>
      <c r="G17" s="19" cm="1">
        <f t="array" ref="G17">Function(E17)</f>
        <v>-1.746113182643505E-5</v>
      </c>
      <c r="H17" s="20" cm="1">
        <f t="array" ref="H17">Function(F17)</f>
        <v>4</v>
      </c>
      <c r="I17" s="19">
        <f t="shared" si="3"/>
        <v>1.5213788584038939</v>
      </c>
      <c r="J17" s="19" cm="1">
        <f t="array" ref="J17">Function(I17)</f>
        <v>-5.0427109987705165E-6</v>
      </c>
      <c r="K17" s="30">
        <f t="shared" si="0"/>
        <v>2.0893167120838996E-6</v>
      </c>
    </row>
    <row r="18" spans="1:11" x14ac:dyDescent="0.15">
      <c r="A18" s="2">
        <v>-3.9</v>
      </c>
      <c r="B18" s="2" cm="1">
        <f t="array" ref="B18">Function(A18)</f>
        <v>-57.418999999999997</v>
      </c>
      <c r="D18" s="18">
        <v>12</v>
      </c>
      <c r="E18" s="19">
        <f t="shared" si="1"/>
        <v>1.5213788584038939</v>
      </c>
      <c r="F18" s="20">
        <f t="shared" si="2"/>
        <v>2</v>
      </c>
      <c r="G18" s="19" cm="1">
        <f t="array" ref="G18">Function(E18)</f>
        <v>-5.0427109987705165E-6</v>
      </c>
      <c r="H18" s="20" cm="1">
        <f t="array" ref="H18">Function(F18)</f>
        <v>4</v>
      </c>
      <c r="I18" s="19">
        <f t="shared" si="3"/>
        <v>1.521379461790157</v>
      </c>
      <c r="J18" s="19" cm="1">
        <f t="array" ref="J18">Function(I18)</f>
        <v>-1.4563135952716522E-6</v>
      </c>
      <c r="K18" s="30">
        <f t="shared" si="0"/>
        <v>6.0338626317602007E-7</v>
      </c>
    </row>
    <row r="19" spans="1:11" x14ac:dyDescent="0.15">
      <c r="A19" s="2">
        <v>-3.8</v>
      </c>
      <c r="B19" s="2" cm="1">
        <f t="array" ref="B19">Function(A19)</f>
        <v>-53.071999999999996</v>
      </c>
      <c r="D19" s="18">
        <v>13</v>
      </c>
      <c r="E19" s="19">
        <f t="shared" si="1"/>
        <v>1.521379461790157</v>
      </c>
      <c r="F19" s="20">
        <f t="shared" si="2"/>
        <v>2</v>
      </c>
      <c r="G19" s="19" cm="1">
        <f t="array" ref="G19">Function(E19)</f>
        <v>-1.4563135952716522E-6</v>
      </c>
      <c r="H19" s="20" cm="1">
        <f t="array" ref="H19">Function(F19)</f>
        <v>4</v>
      </c>
      <c r="I19" s="19">
        <f t="shared" si="3"/>
        <v>1.5213796360454928</v>
      </c>
      <c r="J19" s="19" cm="1">
        <f t="array" ref="J19">Function(I19)</f>
        <v>-4.2057696170161307E-7</v>
      </c>
      <c r="K19" s="30">
        <f t="shared" si="0"/>
        <v>1.7425533571646667E-7</v>
      </c>
    </row>
    <row r="20" spans="1:11" x14ac:dyDescent="0.15">
      <c r="A20" s="2">
        <v>-3.7</v>
      </c>
      <c r="B20" s="2" cm="1">
        <f t="array" ref="B20">Function(A20)</f>
        <v>-48.953000000000003</v>
      </c>
      <c r="D20" s="18">
        <v>14</v>
      </c>
      <c r="E20" s="19">
        <f t="shared" si="1"/>
        <v>1.5213796360454928</v>
      </c>
      <c r="F20" s="20">
        <f t="shared" si="2"/>
        <v>2</v>
      </c>
      <c r="G20" s="19" cm="1">
        <f t="array" ref="G20">Function(E20)</f>
        <v>-4.2057696170161307E-7</v>
      </c>
      <c r="H20" s="20" cm="1">
        <f t="array" ref="H20">Function(F20)</f>
        <v>4</v>
      </c>
      <c r="I20" s="19">
        <f t="shared" si="3"/>
        <v>1.521379686369662</v>
      </c>
      <c r="J20" s="19" cm="1">
        <f t="array" ref="J20">Function(I20)</f>
        <v>-1.2146075789587485E-7</v>
      </c>
      <c r="K20" s="30">
        <f t="shared" si="0"/>
        <v>5.0324169276194652E-8</v>
      </c>
    </row>
    <row r="21" spans="1:11" ht="17.25" thickBot="1" x14ac:dyDescent="0.2">
      <c r="A21" s="2">
        <v>-3.6</v>
      </c>
      <c r="B21" s="2" cm="1">
        <f t="array" ref="B21">Function(A21)</f>
        <v>-45.056000000000004</v>
      </c>
      <c r="D21" s="21">
        <v>15</v>
      </c>
      <c r="E21" s="22">
        <f t="shared" si="1"/>
        <v>1.521379686369662</v>
      </c>
      <c r="F21" s="23">
        <f t="shared" si="2"/>
        <v>2</v>
      </c>
      <c r="G21" s="22" cm="1">
        <f t="array" ref="G21">Function(E21)</f>
        <v>-1.2146075789587485E-7</v>
      </c>
      <c r="H21" s="23" cm="1">
        <f t="array" ref="H21">Function(F21)</f>
        <v>4</v>
      </c>
      <c r="I21" s="22">
        <f t="shared" si="3"/>
        <v>1.5213797009030581</v>
      </c>
      <c r="J21" s="22" cm="1">
        <f t="array" ref="J21">Function(I21)</f>
        <v>-3.5077325266641424E-8</v>
      </c>
      <c r="K21" s="31">
        <f t="shared" si="0"/>
        <v>1.4533396042182289E-8</v>
      </c>
    </row>
    <row r="22" spans="1:11" x14ac:dyDescent="0.15">
      <c r="A22" s="2">
        <v>-3.5000000000000102</v>
      </c>
      <c r="B22" s="2" cm="1">
        <f t="array" ref="B22">Function(A22)</f>
        <v>-41.375000000000369</v>
      </c>
    </row>
    <row r="23" spans="1:11" x14ac:dyDescent="0.15">
      <c r="A23" s="2">
        <v>-3.4000000000000101</v>
      </c>
      <c r="B23" s="2" cm="1">
        <f t="array" ref="B23">Function(A23)</f>
        <v>-37.904000000000337</v>
      </c>
    </row>
    <row r="24" spans="1:11" x14ac:dyDescent="0.15">
      <c r="A24" s="2">
        <v>-3.30000000000001</v>
      </c>
      <c r="B24" s="2" cm="1">
        <f t="array" ref="B24">Function(A24)</f>
        <v>-34.63700000000032</v>
      </c>
    </row>
    <row r="25" spans="1:11" x14ac:dyDescent="0.15">
      <c r="A25" s="2">
        <v>-3.2000000000000099</v>
      </c>
      <c r="B25" s="2" cm="1">
        <f t="array" ref="B25">Function(A25)</f>
        <v>-31.568000000000296</v>
      </c>
    </row>
    <row r="26" spans="1:11" x14ac:dyDescent="0.15">
      <c r="A26" s="2">
        <v>-3.1000000000000099</v>
      </c>
      <c r="B26" s="2" cm="1">
        <f t="array" ref="B26">Function(A26)</f>
        <v>-28.691000000000276</v>
      </c>
    </row>
    <row r="27" spans="1:11" x14ac:dyDescent="0.15">
      <c r="A27" s="2">
        <v>-3.0000000000000102</v>
      </c>
      <c r="B27" s="2" cm="1">
        <f t="array" ref="B27">Function(A27)</f>
        <v>-26.000000000000263</v>
      </c>
    </row>
    <row r="28" spans="1:11" x14ac:dyDescent="0.15">
      <c r="A28" s="2">
        <v>-2.9000000000000101</v>
      </c>
      <c r="B28" s="2" cm="1">
        <f t="array" ref="B28">Function(A28)</f>
        <v>-23.489000000000246</v>
      </c>
    </row>
    <row r="29" spans="1:11" x14ac:dyDescent="0.15">
      <c r="A29" s="2">
        <v>-2.80000000000001</v>
      </c>
      <c r="B29" s="2" cm="1">
        <f t="array" ref="B29">Function(A29)</f>
        <v>-21.152000000000225</v>
      </c>
    </row>
    <row r="30" spans="1:11" x14ac:dyDescent="0.15">
      <c r="A30" s="2">
        <v>-2.7000000000000099</v>
      </c>
      <c r="B30" s="2" cm="1">
        <f t="array" ref="B30">Function(A30)</f>
        <v>-18.983000000000207</v>
      </c>
    </row>
    <row r="31" spans="1:11" x14ac:dyDescent="0.15">
      <c r="A31" s="2">
        <v>-2.6000000000000099</v>
      </c>
      <c r="B31" s="2" cm="1">
        <f t="array" ref="B31">Function(A31)</f>
        <v>-16.976000000000191</v>
      </c>
    </row>
    <row r="32" spans="1:11" x14ac:dyDescent="0.15">
      <c r="A32" s="2">
        <v>-2.5000000000000102</v>
      </c>
      <c r="B32" s="2" cm="1">
        <f t="array" ref="B32">Function(A32)</f>
        <v>-15.125000000000181</v>
      </c>
    </row>
    <row r="33" spans="1:2" x14ac:dyDescent="0.15">
      <c r="A33" s="2">
        <v>-2.4000000000000101</v>
      </c>
      <c r="B33" s="2" cm="1">
        <f t="array" ref="B33">Function(A33)</f>
        <v>-13.424000000000166</v>
      </c>
    </row>
    <row r="34" spans="1:2" x14ac:dyDescent="0.15">
      <c r="A34" s="2">
        <v>-2.30000000000001</v>
      </c>
      <c r="B34" s="2" cm="1">
        <f t="array" ref="B34">Function(A34)</f>
        <v>-11.86700000000015</v>
      </c>
    </row>
    <row r="35" spans="1:2" x14ac:dyDescent="0.15">
      <c r="A35" s="2">
        <v>-2.2000000000000099</v>
      </c>
      <c r="B35" s="2" cm="1">
        <f t="array" ref="B35">Function(A35)</f>
        <v>-10.448000000000134</v>
      </c>
    </row>
    <row r="36" spans="1:2" x14ac:dyDescent="0.15">
      <c r="A36" s="2">
        <v>-2.1000000000000099</v>
      </c>
      <c r="B36" s="2" cm="1">
        <f t="array" ref="B36">Function(A36)</f>
        <v>-9.1610000000001186</v>
      </c>
    </row>
    <row r="37" spans="1:2" x14ac:dyDescent="0.15">
      <c r="A37" s="2">
        <v>-2.0000000000000102</v>
      </c>
      <c r="B37" s="2" cm="1">
        <f t="array" ref="B37">Function(A37)</f>
        <v>-8.0000000000001119</v>
      </c>
    </row>
    <row r="38" spans="1:2" x14ac:dyDescent="0.15">
      <c r="A38" s="2">
        <v>-1.9000000000000099</v>
      </c>
      <c r="B38" s="2" cm="1">
        <f t="array" ref="B38">Function(A38)</f>
        <v>-6.9590000000000973</v>
      </c>
    </row>
    <row r="39" spans="1:2" x14ac:dyDescent="0.15">
      <c r="A39" s="2">
        <v>-1.80000000000001</v>
      </c>
      <c r="B39" s="2" cm="1">
        <f t="array" ref="B39">Function(A39)</f>
        <v>-6.0320000000000871</v>
      </c>
    </row>
    <row r="40" spans="1:2" x14ac:dyDescent="0.15">
      <c r="A40" s="2">
        <v>-1.7000000000000099</v>
      </c>
      <c r="B40" s="2" cm="1">
        <f t="array" ref="B40">Function(A40)</f>
        <v>-5.2130000000000765</v>
      </c>
    </row>
    <row r="41" spans="1:2" x14ac:dyDescent="0.15">
      <c r="A41" s="2">
        <v>-1.6000000000000101</v>
      </c>
      <c r="B41" s="2" cm="1">
        <f t="array" ref="B41">Function(A41)</f>
        <v>-4.4960000000000671</v>
      </c>
    </row>
    <row r="42" spans="1:2" x14ac:dyDescent="0.15">
      <c r="A42" s="2">
        <v>-1.50000000000001</v>
      </c>
      <c r="B42" s="2" cm="1">
        <f t="array" ref="B42">Function(A42)</f>
        <v>-3.8750000000000577</v>
      </c>
    </row>
    <row r="43" spans="1:2" x14ac:dyDescent="0.15">
      <c r="A43" s="2">
        <v>-1.4000000000000099</v>
      </c>
      <c r="B43" s="2" cm="1">
        <f t="array" ref="B43">Function(A43)</f>
        <v>-3.3440000000000483</v>
      </c>
    </row>
    <row r="44" spans="1:2" x14ac:dyDescent="0.15">
      <c r="A44" s="2">
        <v>-1.30000000000001</v>
      </c>
      <c r="B44" s="2" cm="1">
        <f t="array" ref="B44">Function(A44)</f>
        <v>-2.8970000000000411</v>
      </c>
    </row>
    <row r="45" spans="1:2" x14ac:dyDescent="0.15">
      <c r="A45" s="2">
        <v>-1.2000000000000099</v>
      </c>
      <c r="B45" s="2" cm="1">
        <f t="array" ref="B45">Function(A45)</f>
        <v>-2.5280000000000333</v>
      </c>
    </row>
    <row r="46" spans="1:2" x14ac:dyDescent="0.15">
      <c r="A46" s="2">
        <v>-1.1000000000000101</v>
      </c>
      <c r="B46" s="2" cm="1">
        <f t="array" ref="B46">Function(A46)</f>
        <v>-2.2310000000000265</v>
      </c>
    </row>
    <row r="47" spans="1:2" x14ac:dyDescent="0.15">
      <c r="A47" s="2">
        <v>-1.00000000000001</v>
      </c>
      <c r="B47" s="2" cm="1">
        <f t="array" ref="B47">Function(A47)</f>
        <v>-2.00000000000002</v>
      </c>
    </row>
    <row r="48" spans="1:2" x14ac:dyDescent="0.15">
      <c r="A48" s="2">
        <v>-0.90000000000001001</v>
      </c>
      <c r="B48" s="2" cm="1">
        <f t="array" ref="B48">Function(A48)</f>
        <v>-1.8290000000000144</v>
      </c>
    </row>
    <row r="49" spans="1:2" x14ac:dyDescent="0.15">
      <c r="A49" s="2">
        <v>-0.80000000000001004</v>
      </c>
      <c r="B49" s="2" cm="1">
        <f t="array" ref="B49">Function(A49)</f>
        <v>-1.7120000000000093</v>
      </c>
    </row>
    <row r="50" spans="1:2" x14ac:dyDescent="0.15">
      <c r="A50" s="2">
        <v>-0.70000000000002005</v>
      </c>
      <c r="B50" s="2" cm="1">
        <f t="array" ref="B50">Function(A50)</f>
        <v>-1.6430000000000096</v>
      </c>
    </row>
    <row r="51" spans="1:2" x14ac:dyDescent="0.15">
      <c r="A51" s="2">
        <v>-0.60000000000001996</v>
      </c>
      <c r="B51" s="2" cm="1">
        <f t="array" ref="B51">Function(A51)</f>
        <v>-1.6160000000000017</v>
      </c>
    </row>
    <row r="52" spans="1:2" x14ac:dyDescent="0.15">
      <c r="A52" s="2">
        <v>-0.50000000000001998</v>
      </c>
      <c r="B52" s="2" cm="1">
        <f t="array" ref="B52">Function(A52)</f>
        <v>-1.6249999999999951</v>
      </c>
    </row>
    <row r="53" spans="1:2" x14ac:dyDescent="0.15">
      <c r="A53" s="2">
        <v>-0.40000000000002001</v>
      </c>
      <c r="B53" s="2" cm="1">
        <f t="array" ref="B53">Function(A53)</f>
        <v>-1.6639999999999895</v>
      </c>
    </row>
    <row r="54" spans="1:2" x14ac:dyDescent="0.15">
      <c r="A54" s="2">
        <v>-0.30000000000001997</v>
      </c>
      <c r="B54" s="2" cm="1">
        <f t="array" ref="B54">Function(A54)</f>
        <v>-1.7269999999999854</v>
      </c>
    </row>
    <row r="55" spans="1:2" x14ac:dyDescent="0.15">
      <c r="A55" s="2">
        <v>-0.20000000000002</v>
      </c>
      <c r="B55" s="2" cm="1">
        <f t="array" ref="B55">Function(A55)</f>
        <v>-1.8079999999999825</v>
      </c>
    </row>
    <row r="56" spans="1:2" x14ac:dyDescent="0.15">
      <c r="A56" s="2">
        <v>-0.10000000000002</v>
      </c>
      <c r="B56" s="2" cm="1">
        <f t="array" ref="B56">Function(A56)</f>
        <v>-1.9009999999999807</v>
      </c>
    </row>
    <row r="57" spans="1:2" x14ac:dyDescent="0.15">
      <c r="A57" s="2">
        <v>-2.0428103653102899E-14</v>
      </c>
      <c r="B57" s="2" cm="1">
        <f t="array" ref="B57">Function(A57)</f>
        <v>-1.9999999999999796</v>
      </c>
    </row>
    <row r="58" spans="1:2" x14ac:dyDescent="0.15">
      <c r="A58" s="2">
        <v>9.9999999999980105E-2</v>
      </c>
      <c r="B58" s="2" cm="1">
        <f t="array" ref="B58">Function(A58)</f>
        <v>-2.0989999999999807</v>
      </c>
    </row>
    <row r="59" spans="1:2" x14ac:dyDescent="0.15">
      <c r="A59" s="2">
        <v>0.19999999999998</v>
      </c>
      <c r="B59" s="2" cm="1">
        <f t="array" ref="B59">Function(A59)</f>
        <v>-2.1919999999999824</v>
      </c>
    </row>
    <row r="60" spans="1:2" x14ac:dyDescent="0.15">
      <c r="A60" s="2">
        <v>0.29999999999998</v>
      </c>
      <c r="B60" s="2" cm="1">
        <f t="array" ref="B60">Function(A60)</f>
        <v>-2.2729999999999855</v>
      </c>
    </row>
    <row r="61" spans="1:2" x14ac:dyDescent="0.15">
      <c r="A61" s="2">
        <v>0.39999999999997998</v>
      </c>
      <c r="B61" s="2" cm="1">
        <f t="array" ref="B61">Function(A61)</f>
        <v>-2.3359999999999896</v>
      </c>
    </row>
    <row r="62" spans="1:2" x14ac:dyDescent="0.15">
      <c r="A62" s="2">
        <v>0.49999999999998002</v>
      </c>
      <c r="B62" s="2" cm="1">
        <f t="array" ref="B62">Function(A62)</f>
        <v>-2.3749999999999951</v>
      </c>
    </row>
    <row r="63" spans="1:2" x14ac:dyDescent="0.15">
      <c r="A63" s="2">
        <v>0.59999999999997999</v>
      </c>
      <c r="B63" s="2" cm="1">
        <f t="array" ref="B63">Function(A63)</f>
        <v>-2.3840000000000017</v>
      </c>
    </row>
    <row r="64" spans="1:2" x14ac:dyDescent="0.15">
      <c r="A64" s="2">
        <v>0.69999999999997997</v>
      </c>
      <c r="B64" s="2" cm="1">
        <f t="array" ref="B64">Function(A64)</f>
        <v>-2.3570000000000095</v>
      </c>
    </row>
    <row r="65" spans="1:2" x14ac:dyDescent="0.15">
      <c r="A65" s="2">
        <v>0.79999999999997995</v>
      </c>
      <c r="B65" s="2" cm="1">
        <f t="array" ref="B65">Function(A65)</f>
        <v>-2.2880000000000185</v>
      </c>
    </row>
    <row r="66" spans="1:2" x14ac:dyDescent="0.15">
      <c r="A66" s="2">
        <v>0.89999999999998004</v>
      </c>
      <c r="B66" s="2" cm="1">
        <f t="array" ref="B66">Function(A66)</f>
        <v>-2.1710000000000287</v>
      </c>
    </row>
    <row r="67" spans="1:2" x14ac:dyDescent="0.15">
      <c r="A67" s="2">
        <v>0.99999999999998002</v>
      </c>
      <c r="B67" s="2" cm="1">
        <f t="array" ref="B67">Function(A67)</f>
        <v>-2.00000000000004</v>
      </c>
    </row>
    <row r="68" spans="1:2" x14ac:dyDescent="0.15">
      <c r="A68" s="2">
        <v>1.0999999999999801</v>
      </c>
      <c r="B68" s="2" cm="1">
        <f t="array" ref="B68">Function(A68)</f>
        <v>-1.7690000000000523</v>
      </c>
    </row>
    <row r="69" spans="1:2" x14ac:dyDescent="0.15">
      <c r="A69" s="2">
        <v>1.19999999999998</v>
      </c>
      <c r="B69" s="2" cm="1">
        <f t="array" ref="B69">Function(A69)</f>
        <v>-1.4720000000000664</v>
      </c>
    </row>
    <row r="70" spans="1:2" x14ac:dyDescent="0.15">
      <c r="A70" s="2">
        <v>1.2999999999999801</v>
      </c>
      <c r="B70" s="2" cm="1">
        <f t="array" ref="B70">Function(A70)</f>
        <v>-1.1030000000000812</v>
      </c>
    </row>
    <row r="71" spans="1:2" x14ac:dyDescent="0.15">
      <c r="A71" s="2">
        <v>1.3999999999999799</v>
      </c>
      <c r="B71" s="2" cm="1">
        <f t="array" ref="B71">Function(A71)</f>
        <v>-0.65600000000009784</v>
      </c>
    </row>
    <row r="72" spans="1:2" x14ac:dyDescent="0.15">
      <c r="A72" s="2">
        <v>1.49999999999998</v>
      </c>
      <c r="B72" s="2" cm="1">
        <f t="array" ref="B72">Function(A72)</f>
        <v>-0.12500000000011502</v>
      </c>
    </row>
    <row r="73" spans="1:2" x14ac:dyDescent="0.15">
      <c r="A73" s="2">
        <v>1.5999999999999801</v>
      </c>
      <c r="B73" s="2" cm="1">
        <f t="array" ref="B73">Function(A73)</f>
        <v>0.49599999999986721</v>
      </c>
    </row>
    <row r="74" spans="1:2" x14ac:dyDescent="0.15">
      <c r="A74" s="2">
        <v>1.69999999999998</v>
      </c>
      <c r="B74" s="2" cm="1">
        <f t="array" ref="B74">Function(A74)</f>
        <v>1.2129999999998464</v>
      </c>
    </row>
    <row r="75" spans="1:2" x14ac:dyDescent="0.15">
      <c r="A75" s="2">
        <v>1.7999999999999801</v>
      </c>
      <c r="B75" s="2" cm="1">
        <f t="array" ref="B75">Function(A75)</f>
        <v>2.0319999999998259</v>
      </c>
    </row>
    <row r="76" spans="1:2" x14ac:dyDescent="0.15">
      <c r="A76" s="2">
        <v>1.8999999999999799</v>
      </c>
      <c r="B76" s="2" cm="1">
        <f t="array" ref="B76">Function(A76)</f>
        <v>2.9589999999998033</v>
      </c>
    </row>
    <row r="77" spans="1:2" x14ac:dyDescent="0.15">
      <c r="A77" s="2">
        <v>1.99999999999998</v>
      </c>
      <c r="B77" s="2" cm="1">
        <f t="array" ref="B77">Function(A77)</f>
        <v>3.9999999999997797</v>
      </c>
    </row>
    <row r="78" spans="1:2" x14ac:dyDescent="0.15">
      <c r="A78" s="2">
        <v>2.0999999999999699</v>
      </c>
      <c r="B78" s="2" cm="1">
        <f t="array" ref="B78">Function(A78)</f>
        <v>5.1609999999996319</v>
      </c>
    </row>
    <row r="79" spans="1:2" x14ac:dyDescent="0.15">
      <c r="A79" s="2">
        <v>2.19999999999997</v>
      </c>
      <c r="B79" s="2" cm="1">
        <f t="array" ref="B79">Function(A79)</f>
        <v>6.4479999999995918</v>
      </c>
    </row>
    <row r="80" spans="1:2" x14ac:dyDescent="0.15">
      <c r="A80" s="2">
        <v>2.2999999999999701</v>
      </c>
      <c r="B80" s="2" cm="1">
        <f t="array" ref="B80">Function(A80)</f>
        <v>7.866999999999555</v>
      </c>
    </row>
    <row r="81" spans="1:2" x14ac:dyDescent="0.15">
      <c r="A81" s="2">
        <v>2.3999999999999702</v>
      </c>
      <c r="B81" s="2" cm="1">
        <f t="array" ref="B81">Function(A81)</f>
        <v>9.4239999999995145</v>
      </c>
    </row>
    <row r="82" spans="1:2" x14ac:dyDescent="0.15">
      <c r="A82" s="2">
        <v>2.4999999999999698</v>
      </c>
      <c r="B82" s="2" cm="1">
        <f t="array" ref="B82">Function(A82)</f>
        <v>11.124999999999464</v>
      </c>
    </row>
    <row r="83" spans="1:2" x14ac:dyDescent="0.15">
      <c r="A83" s="2">
        <v>2.5999999999999699</v>
      </c>
      <c r="B83" s="2" cm="1">
        <f t="array" ref="B83">Function(A83)</f>
        <v>12.97599999999942</v>
      </c>
    </row>
    <row r="84" spans="1:2" x14ac:dyDescent="0.15">
      <c r="A84" s="2">
        <v>2.69999999999997</v>
      </c>
      <c r="B84" s="2" cm="1">
        <f t="array" ref="B84">Function(A84)</f>
        <v>14.982999999999372</v>
      </c>
    </row>
    <row r="85" spans="1:2" x14ac:dyDescent="0.15">
      <c r="A85" s="2">
        <v>2.7999999999999701</v>
      </c>
      <c r="B85" s="2" cm="1">
        <f t="array" ref="B85">Function(A85)</f>
        <v>17.151999999999326</v>
      </c>
    </row>
    <row r="86" spans="1:2" x14ac:dyDescent="0.15">
      <c r="A86" s="2">
        <v>2.8999999999999702</v>
      </c>
      <c r="B86" s="2" cm="1">
        <f t="array" ref="B86">Function(A86)</f>
        <v>19.488999999999276</v>
      </c>
    </row>
    <row r="87" spans="1:2" x14ac:dyDescent="0.15">
      <c r="A87" s="2">
        <v>2.9999999999999698</v>
      </c>
      <c r="B87" s="2" cm="1">
        <f t="array" ref="B87">Function(A87)</f>
        <v>21.999999999999211</v>
      </c>
    </row>
    <row r="88" spans="1:2" x14ac:dyDescent="0.15">
      <c r="A88" s="2">
        <v>3.0999999999999699</v>
      </c>
      <c r="B88" s="2" cm="1">
        <f t="array" ref="B88">Function(A88)</f>
        <v>24.690999999999161</v>
      </c>
    </row>
    <row r="89" spans="1:2" x14ac:dyDescent="0.15">
      <c r="A89" s="2">
        <v>3.19999999999997</v>
      </c>
      <c r="B89" s="2" cm="1">
        <f t="array" ref="B89">Function(A89)</f>
        <v>27.567999999999106</v>
      </c>
    </row>
    <row r="90" spans="1:2" x14ac:dyDescent="0.15">
      <c r="A90" s="2">
        <v>3.2999999999999701</v>
      </c>
      <c r="B90" s="2" cm="1">
        <f t="array" ref="B90">Function(A90)</f>
        <v>30.636999999999048</v>
      </c>
    </row>
    <row r="91" spans="1:2" x14ac:dyDescent="0.15">
      <c r="A91" s="2">
        <v>3.3999999999999702</v>
      </c>
      <c r="B91" s="2" cm="1">
        <f t="array" ref="B91">Function(A91)</f>
        <v>33.903999999998994</v>
      </c>
    </row>
    <row r="92" spans="1:2" x14ac:dyDescent="0.15">
      <c r="A92" s="2">
        <v>3.4999999999999698</v>
      </c>
      <c r="B92" s="2" cm="1">
        <f t="array" ref="B92">Function(A92)</f>
        <v>37.37499999999892</v>
      </c>
    </row>
    <row r="93" spans="1:2" x14ac:dyDescent="0.15">
      <c r="A93" s="2">
        <v>3.5999999999999699</v>
      </c>
      <c r="B93" s="2" cm="1">
        <f t="array" ref="B93">Function(A93)</f>
        <v>41.055999999998853</v>
      </c>
    </row>
    <row r="94" spans="1:2" x14ac:dyDescent="0.15">
      <c r="A94" s="2">
        <v>3.69999999999997</v>
      </c>
      <c r="B94" s="2" cm="1">
        <f t="array" ref="B94">Function(A94)</f>
        <v>44.952999999998795</v>
      </c>
    </row>
    <row r="95" spans="1:2" x14ac:dyDescent="0.15">
      <c r="A95" s="2">
        <v>3.7999999999999701</v>
      </c>
      <c r="B95" s="2" cm="1">
        <f t="array" ref="B95">Function(A95)</f>
        <v>49.071999999998731</v>
      </c>
    </row>
    <row r="96" spans="1:2" x14ac:dyDescent="0.15">
      <c r="A96" s="2">
        <v>3.8999999999999702</v>
      </c>
      <c r="B96" s="2" cm="1">
        <f t="array" ref="B96">Function(A96)</f>
        <v>53.418999999998668</v>
      </c>
    </row>
    <row r="97" spans="1:2" x14ac:dyDescent="0.15">
      <c r="A97" s="2">
        <v>3.9999999999999698</v>
      </c>
      <c r="B97" s="2" cm="1">
        <f t="array" ref="B97">Function(A97)</f>
        <v>57.999999999998579</v>
      </c>
    </row>
    <row r="98" spans="1:2" x14ac:dyDescent="0.15">
      <c r="A98" s="2">
        <v>4.0999999999999703</v>
      </c>
      <c r="B98" s="2" cm="1">
        <f t="array" ref="B98">Function(A98)</f>
        <v>62.820999999998534</v>
      </c>
    </row>
    <row r="99" spans="1:2" x14ac:dyDescent="0.15">
      <c r="A99" s="2">
        <v>4.19999999999997</v>
      </c>
      <c r="B99" s="2" cm="1">
        <f t="array" ref="B99">Function(A99)</f>
        <v>67.887999999998442</v>
      </c>
    </row>
    <row r="100" spans="1:2" x14ac:dyDescent="0.15">
      <c r="A100" s="2">
        <v>4.2999999999999696</v>
      </c>
      <c r="B100" s="2" cm="1">
        <f t="array" ref="B100">Function(A100)</f>
        <v>73.206999999998345</v>
      </c>
    </row>
    <row r="101" spans="1:2" x14ac:dyDescent="0.15">
      <c r="A101" s="2">
        <v>4.3999999999999702</v>
      </c>
      <c r="B101" s="2" cm="1">
        <f t="array" ref="B101">Function(A101)</f>
        <v>78.783999999998287</v>
      </c>
    </row>
    <row r="102" spans="1:2" x14ac:dyDescent="0.15">
      <c r="A102" s="2">
        <v>4.4999999999999698</v>
      </c>
      <c r="B102" s="2" cm="1">
        <f t="array" ref="B102">Function(A102)</f>
        <v>84.624999999998195</v>
      </c>
    </row>
    <row r="103" spans="1:2" x14ac:dyDescent="0.15">
      <c r="A103" s="2">
        <v>4.5999999999999703</v>
      </c>
      <c r="B103" s="2" cm="1">
        <f t="array" ref="B103">Function(A103)</f>
        <v>90.735999999998143</v>
      </c>
    </row>
    <row r="104" spans="1:2" x14ac:dyDescent="0.15">
      <c r="A104" s="2">
        <v>4.69999999999997</v>
      </c>
      <c r="B104" s="2" cm="1">
        <f t="array" ref="B104">Function(A104)</f>
        <v>97.122999999998044</v>
      </c>
    </row>
    <row r="105" spans="1:2" x14ac:dyDescent="0.15">
      <c r="A105" s="2">
        <v>4.7999999999999696</v>
      </c>
      <c r="B105" s="2" cm="1">
        <f t="array" ref="B105">Function(A105)</f>
        <v>103.79199999999793</v>
      </c>
    </row>
    <row r="106" spans="1:2" x14ac:dyDescent="0.15">
      <c r="A106" s="2">
        <v>4.8999999999999604</v>
      </c>
      <c r="B106" s="2" cm="1">
        <f t="array" ref="B106">Function(A106)</f>
        <v>110.74899999999718</v>
      </c>
    </row>
  </sheetData>
  <phoneticPr fontId="1"/>
  <conditionalFormatting sqref="K7:K21 K50:K106">
    <cfRule type="cellIs" dxfId="5" priority="1" operator="greaterThanOrEqual">
      <formula>$B$4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FA009-E821-423F-B258-99B23565DFC4}">
  <dimension ref="A1:I106"/>
  <sheetViews>
    <sheetView zoomScale="115" zoomScaleNormal="115" workbookViewId="0">
      <selection sqref="A1:XFD1048576"/>
    </sheetView>
  </sheetViews>
  <sheetFormatPr defaultRowHeight="16.5" x14ac:dyDescent="0.15"/>
  <cols>
    <col min="1" max="1" width="9" style="2"/>
    <col min="2" max="2" width="11.25" style="2" bestFit="1" customWidth="1"/>
    <col min="3" max="16384" width="9" style="2"/>
  </cols>
  <sheetData>
    <row r="1" spans="1:9" ht="17.25" thickBot="1" x14ac:dyDescent="0.2">
      <c r="A1" s="7" t="s">
        <v>0</v>
      </c>
      <c r="B1" s="4" t="s">
        <v>15</v>
      </c>
    </row>
    <row r="2" spans="1:9" ht="17.25" thickBot="1" x14ac:dyDescent="0.2">
      <c r="A2" s="7" t="s">
        <v>18</v>
      </c>
      <c r="B2" s="4" t="s">
        <v>19</v>
      </c>
    </row>
    <row r="3" spans="1:9" ht="17.25" thickBot="1" x14ac:dyDescent="0.2">
      <c r="A3" s="7" t="s">
        <v>22</v>
      </c>
      <c r="B3" s="13">
        <v>1.5</v>
      </c>
    </row>
    <row r="4" spans="1:9" ht="17.25" thickBot="1" x14ac:dyDescent="0.2">
      <c r="A4" s="6" t="s">
        <v>3</v>
      </c>
      <c r="B4" s="14">
        <v>9.9999999999999995E-7</v>
      </c>
    </row>
    <row r="5" spans="1:9" ht="17.25" thickBot="1" x14ac:dyDescent="0.2"/>
    <row r="6" spans="1:9" ht="17.25" thickBot="1" x14ac:dyDescent="0.2">
      <c r="A6" s="1" t="s">
        <v>5</v>
      </c>
      <c r="B6" s="1" t="s">
        <v>6</v>
      </c>
      <c r="D6" s="3" t="s">
        <v>11</v>
      </c>
      <c r="E6" s="4" t="s">
        <v>24</v>
      </c>
      <c r="F6" s="5" t="s">
        <v>6</v>
      </c>
      <c r="G6" s="4" t="s">
        <v>20</v>
      </c>
      <c r="H6" s="4" t="s">
        <v>21</v>
      </c>
      <c r="I6" s="10" t="s">
        <v>10</v>
      </c>
    </row>
    <row r="7" spans="1:9" x14ac:dyDescent="0.15">
      <c r="A7" s="2">
        <v>-5</v>
      </c>
      <c r="B7" s="2" cm="1">
        <f t="array" ref="B7">Function(A7)</f>
        <v>-122</v>
      </c>
      <c r="D7" s="15">
        <v>1</v>
      </c>
      <c r="E7" s="16">
        <f>B3</f>
        <v>1.5</v>
      </c>
      <c r="F7" s="17" cm="1">
        <f t="array" ref="F7">Function(E7)</f>
        <v>-0.125</v>
      </c>
      <c r="G7" s="16" cm="1">
        <f t="array" ref="G7">Derivative(E7)</f>
        <v>5.75</v>
      </c>
      <c r="H7" s="16">
        <f>E7-(F7/G7)</f>
        <v>1.5217391304347827</v>
      </c>
      <c r="I7" s="32">
        <f>ABS(H7-E7)</f>
        <v>2.1739130434782705E-2</v>
      </c>
    </row>
    <row r="8" spans="1:9" x14ac:dyDescent="0.15">
      <c r="A8" s="2">
        <v>-4.9000000000000004</v>
      </c>
      <c r="B8" s="2" cm="1">
        <f t="array" ref="B8">Function(A8)</f>
        <v>-114.74900000000002</v>
      </c>
      <c r="D8" s="18">
        <v>2</v>
      </c>
      <c r="E8" s="19">
        <f>H7</f>
        <v>1.5217391304347827</v>
      </c>
      <c r="F8" s="20" cm="1">
        <f t="array" ref="F8">Function(E8)</f>
        <v>2.1369277554041943E-3</v>
      </c>
      <c r="G8" s="19" cm="1">
        <f t="array" ref="G8">Derivative(E8)</f>
        <v>5.9470699432892253</v>
      </c>
      <c r="H8" s="19">
        <f>E8-(F8/G8)</f>
        <v>1.5213798059647863</v>
      </c>
      <c r="I8" s="30">
        <f>ABS(H8-E8)</f>
        <v>3.5932446999642487E-4</v>
      </c>
    </row>
    <row r="9" spans="1:9" x14ac:dyDescent="0.15">
      <c r="A9" s="2">
        <v>-4.8</v>
      </c>
      <c r="B9" s="2" cm="1">
        <f t="array" ref="B9">Function(A9)</f>
        <v>-107.792</v>
      </c>
      <c r="D9" s="18">
        <v>3</v>
      </c>
      <c r="E9" s="19">
        <f>H8</f>
        <v>1.5213798059647863</v>
      </c>
      <c r="F9" s="20" cm="1">
        <f t="array" ref="F9">Function(E9)</f>
        <v>5.8938742597547389E-7</v>
      </c>
      <c r="G9" s="19" cm="1">
        <f t="array" ref="G9">Derivative(E9)</f>
        <v>5.9437895419923521</v>
      </c>
      <c r="H9" s="19">
        <f>E9-(F9/G9)</f>
        <v>1.5213797068045751</v>
      </c>
      <c r="I9" s="30">
        <f>ABS(H9-E9)</f>
        <v>9.916021115330409E-8</v>
      </c>
    </row>
    <row r="10" spans="1:9" ht="17.25" thickBot="1" x14ac:dyDescent="0.2">
      <c r="A10" s="2">
        <v>-4.7</v>
      </c>
      <c r="B10" s="2" cm="1">
        <f t="array" ref="B10">Function(A10)</f>
        <v>-101.12300000000002</v>
      </c>
      <c r="D10" s="21">
        <v>4</v>
      </c>
      <c r="E10" s="22">
        <f>H9</f>
        <v>1.5213797068045751</v>
      </c>
      <c r="F10" s="23" cm="1">
        <f t="array" ref="F10">Function(E10)</f>
        <v>4.5297099404706387E-14</v>
      </c>
      <c r="G10" s="22" cm="1">
        <f t="array" ref="G10">Derivative(E10)</f>
        <v>5.943788636830325</v>
      </c>
      <c r="H10" s="22">
        <f>E10-(F10/G10)</f>
        <v>1.5213797068045676</v>
      </c>
      <c r="I10" s="31">
        <f>ABS(H10-E10)</f>
        <v>7.5495165674510645E-15</v>
      </c>
    </row>
    <row r="11" spans="1:9" x14ac:dyDescent="0.15">
      <c r="A11" s="2">
        <v>-4.5999999999999996</v>
      </c>
      <c r="B11" s="2" cm="1">
        <f t="array" ref="B11">Function(A11)</f>
        <v>-94.735999999999976</v>
      </c>
    </row>
    <row r="12" spans="1:9" x14ac:dyDescent="0.15">
      <c r="A12" s="2">
        <v>-4.5</v>
      </c>
      <c r="B12" s="2" cm="1">
        <f t="array" ref="B12">Function(A12)</f>
        <v>-88.625</v>
      </c>
    </row>
    <row r="13" spans="1:9" x14ac:dyDescent="0.15">
      <c r="A13" s="2">
        <v>-4.4000000000000004</v>
      </c>
      <c r="B13" s="2" cm="1">
        <f t="array" ref="B13">Function(A13)</f>
        <v>-82.78400000000002</v>
      </c>
    </row>
    <row r="14" spans="1:9" x14ac:dyDescent="0.15">
      <c r="A14" s="2">
        <v>-4.3</v>
      </c>
      <c r="B14" s="2" cm="1">
        <f t="array" ref="B14">Function(A14)</f>
        <v>-77.206999999999994</v>
      </c>
    </row>
    <row r="15" spans="1:9" x14ac:dyDescent="0.15">
      <c r="A15" s="2">
        <v>-4.2</v>
      </c>
      <c r="B15" s="2" cm="1">
        <f t="array" ref="B15">Function(A15)</f>
        <v>-71.888000000000005</v>
      </c>
    </row>
    <row r="16" spans="1:9" x14ac:dyDescent="0.15">
      <c r="A16" s="2">
        <v>-4.0999999999999996</v>
      </c>
      <c r="B16" s="2" cm="1">
        <f t="array" ref="B16">Function(A16)</f>
        <v>-66.820999999999998</v>
      </c>
    </row>
    <row r="17" spans="1:2" x14ac:dyDescent="0.15">
      <c r="A17" s="2">
        <v>-4</v>
      </c>
      <c r="B17" s="2" cm="1">
        <f t="array" ref="B17">Function(A17)</f>
        <v>-62</v>
      </c>
    </row>
    <row r="18" spans="1:2" x14ac:dyDescent="0.15">
      <c r="A18" s="2">
        <v>-3.9</v>
      </c>
      <c r="B18" s="2" cm="1">
        <f t="array" ref="B18">Function(A18)</f>
        <v>-57.418999999999997</v>
      </c>
    </row>
    <row r="19" spans="1:2" x14ac:dyDescent="0.15">
      <c r="A19" s="2">
        <v>-3.8</v>
      </c>
      <c r="B19" s="2" cm="1">
        <f t="array" ref="B19">Function(A19)</f>
        <v>-53.071999999999996</v>
      </c>
    </row>
    <row r="20" spans="1:2" x14ac:dyDescent="0.15">
      <c r="A20" s="2">
        <v>-3.7</v>
      </c>
      <c r="B20" s="2" cm="1">
        <f t="array" ref="B20">Function(A20)</f>
        <v>-48.953000000000003</v>
      </c>
    </row>
    <row r="21" spans="1:2" x14ac:dyDescent="0.15">
      <c r="A21" s="2">
        <v>-3.6</v>
      </c>
      <c r="B21" s="2" cm="1">
        <f t="array" ref="B21">Function(A21)</f>
        <v>-45.056000000000004</v>
      </c>
    </row>
    <row r="22" spans="1:2" x14ac:dyDescent="0.15">
      <c r="A22" s="2">
        <v>-3.5000000000000102</v>
      </c>
      <c r="B22" s="2" cm="1">
        <f t="array" ref="B22">Function(A22)</f>
        <v>-41.375000000000369</v>
      </c>
    </row>
    <row r="23" spans="1:2" x14ac:dyDescent="0.15">
      <c r="A23" s="2">
        <v>-3.4000000000000101</v>
      </c>
      <c r="B23" s="2" cm="1">
        <f t="array" ref="B23">Function(A23)</f>
        <v>-37.904000000000337</v>
      </c>
    </row>
    <row r="24" spans="1:2" x14ac:dyDescent="0.15">
      <c r="A24" s="2">
        <v>-3.30000000000001</v>
      </c>
      <c r="B24" s="2" cm="1">
        <f t="array" ref="B24">Function(A24)</f>
        <v>-34.63700000000032</v>
      </c>
    </row>
    <row r="25" spans="1:2" x14ac:dyDescent="0.15">
      <c r="A25" s="2">
        <v>-3.2000000000000099</v>
      </c>
      <c r="B25" s="2" cm="1">
        <f t="array" ref="B25">Function(A25)</f>
        <v>-31.568000000000296</v>
      </c>
    </row>
    <row r="26" spans="1:2" x14ac:dyDescent="0.15">
      <c r="A26" s="2">
        <v>-3.1000000000000099</v>
      </c>
      <c r="B26" s="2" cm="1">
        <f t="array" ref="B26">Function(A26)</f>
        <v>-28.691000000000276</v>
      </c>
    </row>
    <row r="27" spans="1:2" x14ac:dyDescent="0.15">
      <c r="A27" s="2">
        <v>-3.0000000000000102</v>
      </c>
      <c r="B27" s="2" cm="1">
        <f t="array" ref="B27">Function(A27)</f>
        <v>-26.000000000000263</v>
      </c>
    </row>
    <row r="28" spans="1:2" x14ac:dyDescent="0.15">
      <c r="A28" s="2">
        <v>-2.9000000000000101</v>
      </c>
      <c r="B28" s="2" cm="1">
        <f t="array" ref="B28">Function(A28)</f>
        <v>-23.489000000000246</v>
      </c>
    </row>
    <row r="29" spans="1:2" x14ac:dyDescent="0.15">
      <c r="A29" s="2">
        <v>-2.80000000000001</v>
      </c>
      <c r="B29" s="2" cm="1">
        <f t="array" ref="B29">Function(A29)</f>
        <v>-21.152000000000225</v>
      </c>
    </row>
    <row r="30" spans="1:2" x14ac:dyDescent="0.15">
      <c r="A30" s="2">
        <v>-2.7000000000000099</v>
      </c>
      <c r="B30" s="2" cm="1">
        <f t="array" ref="B30">Function(A30)</f>
        <v>-18.983000000000207</v>
      </c>
    </row>
    <row r="31" spans="1:2" x14ac:dyDescent="0.15">
      <c r="A31" s="2">
        <v>-2.6000000000000099</v>
      </c>
      <c r="B31" s="2" cm="1">
        <f t="array" ref="B31">Function(A31)</f>
        <v>-16.976000000000191</v>
      </c>
    </row>
    <row r="32" spans="1:2" x14ac:dyDescent="0.15">
      <c r="A32" s="2">
        <v>-2.5000000000000102</v>
      </c>
      <c r="B32" s="2" cm="1">
        <f t="array" ref="B32">Function(A32)</f>
        <v>-15.125000000000181</v>
      </c>
    </row>
    <row r="33" spans="1:2" x14ac:dyDescent="0.15">
      <c r="A33" s="2">
        <v>-2.4000000000000101</v>
      </c>
      <c r="B33" s="2" cm="1">
        <f t="array" ref="B33">Function(A33)</f>
        <v>-13.424000000000166</v>
      </c>
    </row>
    <row r="34" spans="1:2" x14ac:dyDescent="0.15">
      <c r="A34" s="2">
        <v>-2.30000000000001</v>
      </c>
      <c r="B34" s="2" cm="1">
        <f t="array" ref="B34">Function(A34)</f>
        <v>-11.86700000000015</v>
      </c>
    </row>
    <row r="35" spans="1:2" x14ac:dyDescent="0.15">
      <c r="A35" s="2">
        <v>-2.2000000000000099</v>
      </c>
      <c r="B35" s="2" cm="1">
        <f t="array" ref="B35">Function(A35)</f>
        <v>-10.448000000000134</v>
      </c>
    </row>
    <row r="36" spans="1:2" x14ac:dyDescent="0.15">
      <c r="A36" s="2">
        <v>-2.1000000000000099</v>
      </c>
      <c r="B36" s="2" cm="1">
        <f t="array" ref="B36">Function(A36)</f>
        <v>-9.1610000000001186</v>
      </c>
    </row>
    <row r="37" spans="1:2" x14ac:dyDescent="0.15">
      <c r="A37" s="2">
        <v>-2.0000000000000102</v>
      </c>
      <c r="B37" s="2" cm="1">
        <f t="array" ref="B37">Function(A37)</f>
        <v>-8.0000000000001119</v>
      </c>
    </row>
    <row r="38" spans="1:2" x14ac:dyDescent="0.15">
      <c r="A38" s="2">
        <v>-1.9000000000000099</v>
      </c>
      <c r="B38" s="2" cm="1">
        <f t="array" ref="B38">Function(A38)</f>
        <v>-6.9590000000000973</v>
      </c>
    </row>
    <row r="39" spans="1:2" x14ac:dyDescent="0.15">
      <c r="A39" s="2">
        <v>-1.80000000000001</v>
      </c>
      <c r="B39" s="2" cm="1">
        <f t="array" ref="B39">Function(A39)</f>
        <v>-6.0320000000000871</v>
      </c>
    </row>
    <row r="40" spans="1:2" x14ac:dyDescent="0.15">
      <c r="A40" s="2">
        <v>-1.7000000000000099</v>
      </c>
      <c r="B40" s="2" cm="1">
        <f t="array" ref="B40">Function(A40)</f>
        <v>-5.2130000000000765</v>
      </c>
    </row>
    <row r="41" spans="1:2" x14ac:dyDescent="0.15">
      <c r="A41" s="2">
        <v>-1.6000000000000101</v>
      </c>
      <c r="B41" s="2" cm="1">
        <f t="array" ref="B41">Function(A41)</f>
        <v>-4.4960000000000671</v>
      </c>
    </row>
    <row r="42" spans="1:2" x14ac:dyDescent="0.15">
      <c r="A42" s="2">
        <v>-1.50000000000001</v>
      </c>
      <c r="B42" s="2" cm="1">
        <f t="array" ref="B42">Function(A42)</f>
        <v>-3.8750000000000577</v>
      </c>
    </row>
    <row r="43" spans="1:2" x14ac:dyDescent="0.15">
      <c r="A43" s="2">
        <v>-1.4000000000000099</v>
      </c>
      <c r="B43" s="2" cm="1">
        <f t="array" ref="B43">Function(A43)</f>
        <v>-3.3440000000000483</v>
      </c>
    </row>
    <row r="44" spans="1:2" x14ac:dyDescent="0.15">
      <c r="A44" s="2">
        <v>-1.30000000000001</v>
      </c>
      <c r="B44" s="2" cm="1">
        <f t="array" ref="B44">Function(A44)</f>
        <v>-2.8970000000000411</v>
      </c>
    </row>
    <row r="45" spans="1:2" x14ac:dyDescent="0.15">
      <c r="A45" s="2">
        <v>-1.2000000000000099</v>
      </c>
      <c r="B45" s="2" cm="1">
        <f t="array" ref="B45">Function(A45)</f>
        <v>-2.5280000000000333</v>
      </c>
    </row>
    <row r="46" spans="1:2" x14ac:dyDescent="0.15">
      <c r="A46" s="2">
        <v>-1.1000000000000101</v>
      </c>
      <c r="B46" s="2" cm="1">
        <f t="array" ref="B46">Function(A46)</f>
        <v>-2.2310000000000265</v>
      </c>
    </row>
    <row r="47" spans="1:2" x14ac:dyDescent="0.15">
      <c r="A47" s="2">
        <v>-1.00000000000001</v>
      </c>
      <c r="B47" s="2" cm="1">
        <f t="array" ref="B47">Function(A47)</f>
        <v>-2.00000000000002</v>
      </c>
    </row>
    <row r="48" spans="1:2" x14ac:dyDescent="0.15">
      <c r="A48" s="2">
        <v>-0.90000000000001001</v>
      </c>
      <c r="B48" s="2" cm="1">
        <f t="array" ref="B48">Function(A48)</f>
        <v>-1.8290000000000144</v>
      </c>
    </row>
    <row r="49" spans="1:2" x14ac:dyDescent="0.15">
      <c r="A49" s="2">
        <v>-0.80000000000001004</v>
      </c>
      <c r="B49" s="2" cm="1">
        <f t="array" ref="B49">Function(A49)</f>
        <v>-1.7120000000000093</v>
      </c>
    </row>
    <row r="50" spans="1:2" x14ac:dyDescent="0.15">
      <c r="A50" s="2">
        <v>-0.70000000000002005</v>
      </c>
      <c r="B50" s="2" cm="1">
        <f t="array" ref="B50">Function(A50)</f>
        <v>-1.6430000000000096</v>
      </c>
    </row>
    <row r="51" spans="1:2" x14ac:dyDescent="0.15">
      <c r="A51" s="2">
        <v>-0.60000000000001996</v>
      </c>
      <c r="B51" s="2" cm="1">
        <f t="array" ref="B51">Function(A51)</f>
        <v>-1.6160000000000017</v>
      </c>
    </row>
    <row r="52" spans="1:2" x14ac:dyDescent="0.15">
      <c r="A52" s="2">
        <v>-0.50000000000001998</v>
      </c>
      <c r="B52" s="2" cm="1">
        <f t="array" ref="B52">Function(A52)</f>
        <v>-1.6249999999999951</v>
      </c>
    </row>
    <row r="53" spans="1:2" x14ac:dyDescent="0.15">
      <c r="A53" s="2">
        <v>-0.40000000000002001</v>
      </c>
      <c r="B53" s="2" cm="1">
        <f t="array" ref="B53">Function(A53)</f>
        <v>-1.6639999999999895</v>
      </c>
    </row>
    <row r="54" spans="1:2" x14ac:dyDescent="0.15">
      <c r="A54" s="2">
        <v>-0.30000000000001997</v>
      </c>
      <c r="B54" s="2" cm="1">
        <f t="array" ref="B54">Function(A54)</f>
        <v>-1.7269999999999854</v>
      </c>
    </row>
    <row r="55" spans="1:2" x14ac:dyDescent="0.15">
      <c r="A55" s="2">
        <v>-0.20000000000002</v>
      </c>
      <c r="B55" s="2" cm="1">
        <f t="array" ref="B55">Function(A55)</f>
        <v>-1.8079999999999825</v>
      </c>
    </row>
    <row r="56" spans="1:2" x14ac:dyDescent="0.15">
      <c r="A56" s="2">
        <v>-0.10000000000002</v>
      </c>
      <c r="B56" s="2" cm="1">
        <f t="array" ref="B56">Function(A56)</f>
        <v>-1.9009999999999807</v>
      </c>
    </row>
    <row r="57" spans="1:2" x14ac:dyDescent="0.15">
      <c r="A57" s="2">
        <v>-2.0428103653102899E-14</v>
      </c>
      <c r="B57" s="2" cm="1">
        <f t="array" ref="B57">Function(A57)</f>
        <v>-1.9999999999999796</v>
      </c>
    </row>
    <row r="58" spans="1:2" x14ac:dyDescent="0.15">
      <c r="A58" s="2">
        <v>9.9999999999980105E-2</v>
      </c>
      <c r="B58" s="2" cm="1">
        <f t="array" ref="B58">Function(A58)</f>
        <v>-2.0989999999999807</v>
      </c>
    </row>
    <row r="59" spans="1:2" x14ac:dyDescent="0.15">
      <c r="A59" s="2">
        <v>0.19999999999998</v>
      </c>
      <c r="B59" s="2" cm="1">
        <f t="array" ref="B59">Function(A59)</f>
        <v>-2.1919999999999824</v>
      </c>
    </row>
    <row r="60" spans="1:2" x14ac:dyDescent="0.15">
      <c r="A60" s="2">
        <v>0.29999999999998</v>
      </c>
      <c r="B60" s="2" cm="1">
        <f t="array" ref="B60">Function(A60)</f>
        <v>-2.2729999999999855</v>
      </c>
    </row>
    <row r="61" spans="1:2" x14ac:dyDescent="0.15">
      <c r="A61" s="2">
        <v>0.39999999999997998</v>
      </c>
      <c r="B61" s="2" cm="1">
        <f t="array" ref="B61">Function(A61)</f>
        <v>-2.3359999999999896</v>
      </c>
    </row>
    <row r="62" spans="1:2" x14ac:dyDescent="0.15">
      <c r="A62" s="2">
        <v>0.49999999999998002</v>
      </c>
      <c r="B62" s="2" cm="1">
        <f t="array" ref="B62">Function(A62)</f>
        <v>-2.3749999999999951</v>
      </c>
    </row>
    <row r="63" spans="1:2" x14ac:dyDescent="0.15">
      <c r="A63" s="2">
        <v>0.59999999999997999</v>
      </c>
      <c r="B63" s="2" cm="1">
        <f t="array" ref="B63">Function(A63)</f>
        <v>-2.3840000000000017</v>
      </c>
    </row>
    <row r="64" spans="1:2" x14ac:dyDescent="0.15">
      <c r="A64" s="2">
        <v>0.69999999999997997</v>
      </c>
      <c r="B64" s="2" cm="1">
        <f t="array" ref="B64">Function(A64)</f>
        <v>-2.3570000000000095</v>
      </c>
    </row>
    <row r="65" spans="1:2" x14ac:dyDescent="0.15">
      <c r="A65" s="2">
        <v>0.79999999999997995</v>
      </c>
      <c r="B65" s="2" cm="1">
        <f t="array" ref="B65">Function(A65)</f>
        <v>-2.2880000000000185</v>
      </c>
    </row>
    <row r="66" spans="1:2" x14ac:dyDescent="0.15">
      <c r="A66" s="2">
        <v>0.89999999999998004</v>
      </c>
      <c r="B66" s="2" cm="1">
        <f t="array" ref="B66">Function(A66)</f>
        <v>-2.1710000000000287</v>
      </c>
    </row>
    <row r="67" spans="1:2" x14ac:dyDescent="0.15">
      <c r="A67" s="2">
        <v>0.99999999999998002</v>
      </c>
      <c r="B67" s="2" cm="1">
        <f t="array" ref="B67">Function(A67)</f>
        <v>-2.00000000000004</v>
      </c>
    </row>
    <row r="68" spans="1:2" x14ac:dyDescent="0.15">
      <c r="A68" s="2">
        <v>1.0999999999999801</v>
      </c>
      <c r="B68" s="2" cm="1">
        <f t="array" ref="B68">Function(A68)</f>
        <v>-1.7690000000000523</v>
      </c>
    </row>
    <row r="69" spans="1:2" x14ac:dyDescent="0.15">
      <c r="A69" s="2">
        <v>1.19999999999998</v>
      </c>
      <c r="B69" s="2" cm="1">
        <f t="array" ref="B69">Function(A69)</f>
        <v>-1.4720000000000664</v>
      </c>
    </row>
    <row r="70" spans="1:2" x14ac:dyDescent="0.15">
      <c r="A70" s="2">
        <v>1.2999999999999801</v>
      </c>
      <c r="B70" s="2" cm="1">
        <f t="array" ref="B70">Function(A70)</f>
        <v>-1.1030000000000812</v>
      </c>
    </row>
    <row r="71" spans="1:2" x14ac:dyDescent="0.15">
      <c r="A71" s="2">
        <v>1.3999999999999799</v>
      </c>
      <c r="B71" s="2" cm="1">
        <f t="array" ref="B71">Function(A71)</f>
        <v>-0.65600000000009784</v>
      </c>
    </row>
    <row r="72" spans="1:2" x14ac:dyDescent="0.15">
      <c r="A72" s="2">
        <v>1.49999999999998</v>
      </c>
      <c r="B72" s="2" cm="1">
        <f t="array" ref="B72">Function(A72)</f>
        <v>-0.12500000000011502</v>
      </c>
    </row>
    <row r="73" spans="1:2" x14ac:dyDescent="0.15">
      <c r="A73" s="2">
        <v>1.5999999999999801</v>
      </c>
      <c r="B73" s="2" cm="1">
        <f t="array" ref="B73">Function(A73)</f>
        <v>0.49599999999986721</v>
      </c>
    </row>
    <row r="74" spans="1:2" x14ac:dyDescent="0.15">
      <c r="A74" s="2">
        <v>1.69999999999998</v>
      </c>
      <c r="B74" s="2" cm="1">
        <f t="array" ref="B74">Function(A74)</f>
        <v>1.2129999999998464</v>
      </c>
    </row>
    <row r="75" spans="1:2" x14ac:dyDescent="0.15">
      <c r="A75" s="2">
        <v>1.7999999999999801</v>
      </c>
      <c r="B75" s="2" cm="1">
        <f t="array" ref="B75">Function(A75)</f>
        <v>2.0319999999998259</v>
      </c>
    </row>
    <row r="76" spans="1:2" x14ac:dyDescent="0.15">
      <c r="A76" s="2">
        <v>1.8999999999999799</v>
      </c>
      <c r="B76" s="2" cm="1">
        <f t="array" ref="B76">Function(A76)</f>
        <v>2.9589999999998033</v>
      </c>
    </row>
    <row r="77" spans="1:2" x14ac:dyDescent="0.15">
      <c r="A77" s="2">
        <v>1.99999999999998</v>
      </c>
      <c r="B77" s="2" cm="1">
        <f t="array" ref="B77">Function(A77)</f>
        <v>3.9999999999997797</v>
      </c>
    </row>
    <row r="78" spans="1:2" x14ac:dyDescent="0.15">
      <c r="A78" s="2">
        <v>2.0999999999999699</v>
      </c>
      <c r="B78" s="2" cm="1">
        <f t="array" ref="B78">Function(A78)</f>
        <v>5.1609999999996319</v>
      </c>
    </row>
    <row r="79" spans="1:2" x14ac:dyDescent="0.15">
      <c r="A79" s="2">
        <v>2.19999999999997</v>
      </c>
      <c r="B79" s="2" cm="1">
        <f t="array" ref="B79">Function(A79)</f>
        <v>6.4479999999995918</v>
      </c>
    </row>
    <row r="80" spans="1:2" x14ac:dyDescent="0.15">
      <c r="A80" s="2">
        <v>2.2999999999999701</v>
      </c>
      <c r="B80" s="2" cm="1">
        <f t="array" ref="B80">Function(A80)</f>
        <v>7.866999999999555</v>
      </c>
    </row>
    <row r="81" spans="1:2" x14ac:dyDescent="0.15">
      <c r="A81" s="2">
        <v>2.3999999999999702</v>
      </c>
      <c r="B81" s="2" cm="1">
        <f t="array" ref="B81">Function(A81)</f>
        <v>9.4239999999995145</v>
      </c>
    </row>
    <row r="82" spans="1:2" x14ac:dyDescent="0.15">
      <c r="A82" s="2">
        <v>2.4999999999999698</v>
      </c>
      <c r="B82" s="2" cm="1">
        <f t="array" ref="B82">Function(A82)</f>
        <v>11.124999999999464</v>
      </c>
    </row>
    <row r="83" spans="1:2" x14ac:dyDescent="0.15">
      <c r="A83" s="2">
        <v>2.5999999999999699</v>
      </c>
      <c r="B83" s="2" cm="1">
        <f t="array" ref="B83">Function(A83)</f>
        <v>12.97599999999942</v>
      </c>
    </row>
    <row r="84" spans="1:2" x14ac:dyDescent="0.15">
      <c r="A84" s="2">
        <v>2.69999999999997</v>
      </c>
      <c r="B84" s="2" cm="1">
        <f t="array" ref="B84">Function(A84)</f>
        <v>14.982999999999372</v>
      </c>
    </row>
    <row r="85" spans="1:2" x14ac:dyDescent="0.15">
      <c r="A85" s="2">
        <v>2.7999999999999701</v>
      </c>
      <c r="B85" s="2" cm="1">
        <f t="array" ref="B85">Function(A85)</f>
        <v>17.151999999999326</v>
      </c>
    </row>
    <row r="86" spans="1:2" x14ac:dyDescent="0.15">
      <c r="A86" s="2">
        <v>2.8999999999999702</v>
      </c>
      <c r="B86" s="2" cm="1">
        <f t="array" ref="B86">Function(A86)</f>
        <v>19.488999999999276</v>
      </c>
    </row>
    <row r="87" spans="1:2" x14ac:dyDescent="0.15">
      <c r="A87" s="2">
        <v>2.9999999999999698</v>
      </c>
      <c r="B87" s="2" cm="1">
        <f t="array" ref="B87">Function(A87)</f>
        <v>21.999999999999211</v>
      </c>
    </row>
    <row r="88" spans="1:2" x14ac:dyDescent="0.15">
      <c r="A88" s="2">
        <v>3.0999999999999699</v>
      </c>
      <c r="B88" s="2" cm="1">
        <f t="array" ref="B88">Function(A88)</f>
        <v>24.690999999999161</v>
      </c>
    </row>
    <row r="89" spans="1:2" x14ac:dyDescent="0.15">
      <c r="A89" s="2">
        <v>3.19999999999997</v>
      </c>
      <c r="B89" s="2" cm="1">
        <f t="array" ref="B89">Function(A89)</f>
        <v>27.567999999999106</v>
      </c>
    </row>
    <row r="90" spans="1:2" x14ac:dyDescent="0.15">
      <c r="A90" s="2">
        <v>3.2999999999999701</v>
      </c>
      <c r="B90" s="2" cm="1">
        <f t="array" ref="B90">Function(A90)</f>
        <v>30.636999999999048</v>
      </c>
    </row>
    <row r="91" spans="1:2" x14ac:dyDescent="0.15">
      <c r="A91" s="2">
        <v>3.3999999999999702</v>
      </c>
      <c r="B91" s="2" cm="1">
        <f t="array" ref="B91">Function(A91)</f>
        <v>33.903999999998994</v>
      </c>
    </row>
    <row r="92" spans="1:2" x14ac:dyDescent="0.15">
      <c r="A92" s="2">
        <v>3.4999999999999698</v>
      </c>
      <c r="B92" s="2" cm="1">
        <f t="array" ref="B92">Function(A92)</f>
        <v>37.37499999999892</v>
      </c>
    </row>
    <row r="93" spans="1:2" x14ac:dyDescent="0.15">
      <c r="A93" s="2">
        <v>3.5999999999999699</v>
      </c>
      <c r="B93" s="2" cm="1">
        <f t="array" ref="B93">Function(A93)</f>
        <v>41.055999999998853</v>
      </c>
    </row>
    <row r="94" spans="1:2" x14ac:dyDescent="0.15">
      <c r="A94" s="2">
        <v>3.69999999999997</v>
      </c>
      <c r="B94" s="2" cm="1">
        <f t="array" ref="B94">Function(A94)</f>
        <v>44.952999999998795</v>
      </c>
    </row>
    <row r="95" spans="1:2" x14ac:dyDescent="0.15">
      <c r="A95" s="2">
        <v>3.7999999999999701</v>
      </c>
      <c r="B95" s="2" cm="1">
        <f t="array" ref="B95">Function(A95)</f>
        <v>49.071999999998731</v>
      </c>
    </row>
    <row r="96" spans="1:2" x14ac:dyDescent="0.15">
      <c r="A96" s="2">
        <v>3.8999999999999702</v>
      </c>
      <c r="B96" s="2" cm="1">
        <f t="array" ref="B96">Function(A96)</f>
        <v>53.418999999998668</v>
      </c>
    </row>
    <row r="97" spans="1:2" x14ac:dyDescent="0.15">
      <c r="A97" s="2">
        <v>3.9999999999999698</v>
      </c>
      <c r="B97" s="2" cm="1">
        <f t="array" ref="B97">Function(A97)</f>
        <v>57.999999999998579</v>
      </c>
    </row>
    <row r="98" spans="1:2" x14ac:dyDescent="0.15">
      <c r="A98" s="2">
        <v>4.0999999999999703</v>
      </c>
      <c r="B98" s="2" cm="1">
        <f t="array" ref="B98">Function(A98)</f>
        <v>62.820999999998534</v>
      </c>
    </row>
    <row r="99" spans="1:2" x14ac:dyDescent="0.15">
      <c r="A99" s="2">
        <v>4.19999999999997</v>
      </c>
      <c r="B99" s="2" cm="1">
        <f t="array" ref="B99">Function(A99)</f>
        <v>67.887999999998442</v>
      </c>
    </row>
    <row r="100" spans="1:2" x14ac:dyDescent="0.15">
      <c r="A100" s="2">
        <v>4.2999999999999696</v>
      </c>
      <c r="B100" s="2" cm="1">
        <f t="array" ref="B100">Function(A100)</f>
        <v>73.206999999998345</v>
      </c>
    </row>
    <row r="101" spans="1:2" x14ac:dyDescent="0.15">
      <c r="A101" s="2">
        <v>4.3999999999999702</v>
      </c>
      <c r="B101" s="2" cm="1">
        <f t="array" ref="B101">Function(A101)</f>
        <v>78.783999999998287</v>
      </c>
    </row>
    <row r="102" spans="1:2" x14ac:dyDescent="0.15">
      <c r="A102" s="2">
        <v>4.4999999999999698</v>
      </c>
      <c r="B102" s="2" cm="1">
        <f t="array" ref="B102">Function(A102)</f>
        <v>84.624999999998195</v>
      </c>
    </row>
    <row r="103" spans="1:2" x14ac:dyDescent="0.15">
      <c r="A103" s="2">
        <v>4.5999999999999703</v>
      </c>
      <c r="B103" s="2" cm="1">
        <f t="array" ref="B103">Function(A103)</f>
        <v>90.735999999998143</v>
      </c>
    </row>
    <row r="104" spans="1:2" x14ac:dyDescent="0.15">
      <c r="A104" s="2">
        <v>4.69999999999997</v>
      </c>
      <c r="B104" s="2" cm="1">
        <f t="array" ref="B104">Function(A104)</f>
        <v>97.122999999998044</v>
      </c>
    </row>
    <row r="105" spans="1:2" x14ac:dyDescent="0.15">
      <c r="A105" s="2">
        <v>4.7999999999999696</v>
      </c>
      <c r="B105" s="2" cm="1">
        <f t="array" ref="B105">Function(A105)</f>
        <v>103.79199999999793</v>
      </c>
    </row>
    <row r="106" spans="1:2" x14ac:dyDescent="0.15">
      <c r="A106" s="2">
        <v>4.8999999999999604</v>
      </c>
      <c r="B106" s="2" cm="1">
        <f t="array" ref="B106">Function(A106)</f>
        <v>110.74899999999718</v>
      </c>
    </row>
  </sheetData>
  <phoneticPr fontId="1"/>
  <conditionalFormatting sqref="I7:I106">
    <cfRule type="cellIs" dxfId="4" priority="1" operator="greaterThanOrEqual">
      <formula>$B$4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A3F2B-7C4F-4CC3-AECE-B7B2FF954562}">
  <dimension ref="A1:I107"/>
  <sheetViews>
    <sheetView zoomScale="115" zoomScaleNormal="115" workbookViewId="0">
      <selection sqref="A1:XFD1048576"/>
    </sheetView>
  </sheetViews>
  <sheetFormatPr defaultRowHeight="16.5" x14ac:dyDescent="0.15"/>
  <cols>
    <col min="1" max="1" width="9" style="2"/>
    <col min="2" max="2" width="11.25" style="2" bestFit="1" customWidth="1"/>
    <col min="3" max="16384" width="9" style="2"/>
  </cols>
  <sheetData>
    <row r="1" spans="1:9" ht="17.25" thickBot="1" x14ac:dyDescent="0.2">
      <c r="A1" s="7" t="s">
        <v>0</v>
      </c>
      <c r="B1" s="4" t="s">
        <v>15</v>
      </c>
    </row>
    <row r="2" spans="1:9" ht="17.25" thickBot="1" x14ac:dyDescent="0.2">
      <c r="A2" s="7" t="s">
        <v>18</v>
      </c>
      <c r="B2" s="4" t="s">
        <v>19</v>
      </c>
    </row>
    <row r="3" spans="1:9" ht="17.25" thickBot="1" x14ac:dyDescent="0.2">
      <c r="A3" s="7" t="s">
        <v>22</v>
      </c>
      <c r="B3" s="13">
        <v>1.5</v>
      </c>
    </row>
    <row r="4" spans="1:9" ht="17.25" thickBot="1" x14ac:dyDescent="0.2">
      <c r="A4" s="6" t="s">
        <v>9</v>
      </c>
      <c r="B4" s="13">
        <v>1</v>
      </c>
    </row>
    <row r="5" spans="1:9" ht="17.25" thickBot="1" x14ac:dyDescent="0.2">
      <c r="A5" s="6" t="s">
        <v>3</v>
      </c>
      <c r="B5" s="14">
        <v>9.9999999999999995E-7</v>
      </c>
    </row>
    <row r="6" spans="1:9" ht="17.25" thickBot="1" x14ac:dyDescent="0.2"/>
    <row r="7" spans="1:9" ht="17.25" thickBot="1" x14ac:dyDescent="0.2">
      <c r="A7" s="1" t="s">
        <v>5</v>
      </c>
      <c r="B7" s="1" t="s">
        <v>6</v>
      </c>
      <c r="D7" s="3" t="s">
        <v>11</v>
      </c>
      <c r="E7" s="4" t="s">
        <v>24</v>
      </c>
      <c r="F7" s="5" t="s">
        <v>6</v>
      </c>
      <c r="G7" s="4" t="s">
        <v>20</v>
      </c>
      <c r="H7" s="4" t="s">
        <v>21</v>
      </c>
      <c r="I7" s="10" t="s">
        <v>10</v>
      </c>
    </row>
    <row r="8" spans="1:9" x14ac:dyDescent="0.15">
      <c r="A8" s="2">
        <v>-5</v>
      </c>
      <c r="B8" s="2" cm="1">
        <f t="array" ref="B8">Function(A8)</f>
        <v>-122</v>
      </c>
      <c r="D8" s="15">
        <v>1</v>
      </c>
      <c r="E8" s="16">
        <f>B3</f>
        <v>1.5</v>
      </c>
      <c r="F8" s="17" cm="1">
        <f t="array" ref="F8">Function(E8)</f>
        <v>-0.125</v>
      </c>
      <c r="G8" s="16" cm="1">
        <f t="array" ref="G8">Derivative(E8)</f>
        <v>5.75</v>
      </c>
      <c r="H8" s="16">
        <f>E8-($B$4*(F8/G8))</f>
        <v>1.5217391304347827</v>
      </c>
      <c r="I8" s="32">
        <f>ABS(H8-E8)</f>
        <v>2.1739130434782705E-2</v>
      </c>
    </row>
    <row r="9" spans="1:9" x14ac:dyDescent="0.15">
      <c r="A9" s="2">
        <v>-4.9000000000000004</v>
      </c>
      <c r="B9" s="2" cm="1">
        <f t="array" ref="B9">Function(A9)</f>
        <v>-114.74900000000002</v>
      </c>
      <c r="D9" s="18">
        <v>2</v>
      </c>
      <c r="E9" s="19">
        <f>H8</f>
        <v>1.5217391304347827</v>
      </c>
      <c r="F9" s="17" cm="1">
        <f t="array" ref="F9">Function(E9)</f>
        <v>2.1369277554041943E-3</v>
      </c>
      <c r="G9" s="16" cm="1">
        <f t="array" ref="G9">Derivative(E9)</f>
        <v>5.9470699432892253</v>
      </c>
      <c r="H9" s="16">
        <f t="shared" ref="H9:H11" si="0">E9-($B$4*(F9/G9))</f>
        <v>1.5213798059647863</v>
      </c>
      <c r="I9" s="32">
        <f t="shared" ref="I9:I11" si="1">ABS(H9-E9)</f>
        <v>3.5932446999642487E-4</v>
      </c>
    </row>
    <row r="10" spans="1:9" x14ac:dyDescent="0.15">
      <c r="A10" s="2">
        <v>-4.8</v>
      </c>
      <c r="B10" s="2" cm="1">
        <f t="array" ref="B10">Function(A10)</f>
        <v>-107.792</v>
      </c>
      <c r="D10" s="18">
        <v>3</v>
      </c>
      <c r="E10" s="19">
        <f>H9</f>
        <v>1.5213798059647863</v>
      </c>
      <c r="F10" s="17" cm="1">
        <f t="array" ref="F10">Function(E10)</f>
        <v>5.8938742597547389E-7</v>
      </c>
      <c r="G10" s="16" cm="1">
        <f t="array" ref="G10">Derivative(E10)</f>
        <v>5.9437895419923521</v>
      </c>
      <c r="H10" s="16">
        <f t="shared" si="0"/>
        <v>1.5213797068045751</v>
      </c>
      <c r="I10" s="32">
        <f t="shared" si="1"/>
        <v>9.916021115330409E-8</v>
      </c>
    </row>
    <row r="11" spans="1:9" ht="17.25" thickBot="1" x14ac:dyDescent="0.2">
      <c r="A11" s="2">
        <v>-4.7</v>
      </c>
      <c r="B11" s="2" cm="1">
        <f t="array" ref="B11">Function(A11)</f>
        <v>-101.12300000000002</v>
      </c>
      <c r="D11" s="21">
        <v>4</v>
      </c>
      <c r="E11" s="22">
        <f>H10</f>
        <v>1.5213797068045751</v>
      </c>
      <c r="F11" s="17" cm="1">
        <f t="array" ref="F11">Function(E11)</f>
        <v>4.5297099404706387E-14</v>
      </c>
      <c r="G11" s="16" cm="1">
        <f t="array" ref="G11">Derivative(E11)</f>
        <v>5.943788636830325</v>
      </c>
      <c r="H11" s="16">
        <f t="shared" si="0"/>
        <v>1.5213797068045676</v>
      </c>
      <c r="I11" s="32">
        <f t="shared" si="1"/>
        <v>7.5495165674510645E-15</v>
      </c>
    </row>
    <row r="12" spans="1:9" x14ac:dyDescent="0.15">
      <c r="A12" s="2">
        <v>-4.5999999999999996</v>
      </c>
      <c r="B12" s="2" cm="1">
        <f t="array" ref="B12">Function(A12)</f>
        <v>-94.735999999999976</v>
      </c>
    </row>
    <row r="13" spans="1:9" x14ac:dyDescent="0.15">
      <c r="A13" s="2">
        <v>-4.5</v>
      </c>
      <c r="B13" s="2" cm="1">
        <f t="array" ref="B13">Function(A13)</f>
        <v>-88.625</v>
      </c>
    </row>
    <row r="14" spans="1:9" x14ac:dyDescent="0.15">
      <c r="A14" s="2">
        <v>-4.4000000000000004</v>
      </c>
      <c r="B14" s="2" cm="1">
        <f t="array" ref="B14">Function(A14)</f>
        <v>-82.78400000000002</v>
      </c>
    </row>
    <row r="15" spans="1:9" x14ac:dyDescent="0.15">
      <c r="A15" s="2">
        <v>-4.3</v>
      </c>
      <c r="B15" s="2" cm="1">
        <f t="array" ref="B15">Function(A15)</f>
        <v>-77.206999999999994</v>
      </c>
    </row>
    <row r="16" spans="1:9" x14ac:dyDescent="0.15">
      <c r="A16" s="2">
        <v>-4.2</v>
      </c>
      <c r="B16" s="2" cm="1">
        <f t="array" ref="B16">Function(A16)</f>
        <v>-71.888000000000005</v>
      </c>
    </row>
    <row r="17" spans="1:2" x14ac:dyDescent="0.15">
      <c r="A17" s="2">
        <v>-4.0999999999999996</v>
      </c>
      <c r="B17" s="2" cm="1">
        <f t="array" ref="B17">Function(A17)</f>
        <v>-66.820999999999998</v>
      </c>
    </row>
    <row r="18" spans="1:2" x14ac:dyDescent="0.15">
      <c r="A18" s="2">
        <v>-4</v>
      </c>
      <c r="B18" s="2" cm="1">
        <f t="array" ref="B18">Function(A18)</f>
        <v>-62</v>
      </c>
    </row>
    <row r="19" spans="1:2" x14ac:dyDescent="0.15">
      <c r="A19" s="2">
        <v>-3.9</v>
      </c>
      <c r="B19" s="2" cm="1">
        <f t="array" ref="B19">Function(A19)</f>
        <v>-57.418999999999997</v>
      </c>
    </row>
    <row r="20" spans="1:2" x14ac:dyDescent="0.15">
      <c r="A20" s="2">
        <v>-3.8</v>
      </c>
      <c r="B20" s="2" cm="1">
        <f t="array" ref="B20">Function(A20)</f>
        <v>-53.071999999999996</v>
      </c>
    </row>
    <row r="21" spans="1:2" x14ac:dyDescent="0.15">
      <c r="A21" s="2">
        <v>-3.7</v>
      </c>
      <c r="B21" s="2" cm="1">
        <f t="array" ref="B21">Function(A21)</f>
        <v>-48.953000000000003</v>
      </c>
    </row>
    <row r="22" spans="1:2" x14ac:dyDescent="0.15">
      <c r="A22" s="2">
        <v>-3.6</v>
      </c>
      <c r="B22" s="2" cm="1">
        <f t="array" ref="B22">Function(A22)</f>
        <v>-45.056000000000004</v>
      </c>
    </row>
    <row r="23" spans="1:2" x14ac:dyDescent="0.15">
      <c r="A23" s="2">
        <v>-3.5000000000000102</v>
      </c>
      <c r="B23" s="2" cm="1">
        <f t="array" ref="B23">Function(A23)</f>
        <v>-41.375000000000369</v>
      </c>
    </row>
    <row r="24" spans="1:2" x14ac:dyDescent="0.15">
      <c r="A24" s="2">
        <v>-3.4000000000000101</v>
      </c>
      <c r="B24" s="2" cm="1">
        <f t="array" ref="B24">Function(A24)</f>
        <v>-37.904000000000337</v>
      </c>
    </row>
    <row r="25" spans="1:2" x14ac:dyDescent="0.15">
      <c r="A25" s="2">
        <v>-3.30000000000001</v>
      </c>
      <c r="B25" s="2" cm="1">
        <f t="array" ref="B25">Function(A25)</f>
        <v>-34.63700000000032</v>
      </c>
    </row>
    <row r="26" spans="1:2" x14ac:dyDescent="0.15">
      <c r="A26" s="2">
        <v>-3.2000000000000099</v>
      </c>
      <c r="B26" s="2" cm="1">
        <f t="array" ref="B26">Function(A26)</f>
        <v>-31.568000000000296</v>
      </c>
    </row>
    <row r="27" spans="1:2" x14ac:dyDescent="0.15">
      <c r="A27" s="2">
        <v>-3.1000000000000099</v>
      </c>
      <c r="B27" s="2" cm="1">
        <f t="array" ref="B27">Function(A27)</f>
        <v>-28.691000000000276</v>
      </c>
    </row>
    <row r="28" spans="1:2" x14ac:dyDescent="0.15">
      <c r="A28" s="2">
        <v>-3.0000000000000102</v>
      </c>
      <c r="B28" s="2" cm="1">
        <f t="array" ref="B28">Function(A28)</f>
        <v>-26.000000000000263</v>
      </c>
    </row>
    <row r="29" spans="1:2" x14ac:dyDescent="0.15">
      <c r="A29" s="2">
        <v>-2.9000000000000101</v>
      </c>
      <c r="B29" s="2" cm="1">
        <f t="array" ref="B29">Function(A29)</f>
        <v>-23.489000000000246</v>
      </c>
    </row>
    <row r="30" spans="1:2" x14ac:dyDescent="0.15">
      <c r="A30" s="2">
        <v>-2.80000000000001</v>
      </c>
      <c r="B30" s="2" cm="1">
        <f t="array" ref="B30">Function(A30)</f>
        <v>-21.152000000000225</v>
      </c>
    </row>
    <row r="31" spans="1:2" x14ac:dyDescent="0.15">
      <c r="A31" s="2">
        <v>-2.7000000000000099</v>
      </c>
      <c r="B31" s="2" cm="1">
        <f t="array" ref="B31">Function(A31)</f>
        <v>-18.983000000000207</v>
      </c>
    </row>
    <row r="32" spans="1:2" x14ac:dyDescent="0.15">
      <c r="A32" s="2">
        <v>-2.6000000000000099</v>
      </c>
      <c r="B32" s="2" cm="1">
        <f t="array" ref="B32">Function(A32)</f>
        <v>-16.976000000000191</v>
      </c>
    </row>
    <row r="33" spans="1:2" x14ac:dyDescent="0.15">
      <c r="A33" s="2">
        <v>-2.5000000000000102</v>
      </c>
      <c r="B33" s="2" cm="1">
        <f t="array" ref="B33">Function(A33)</f>
        <v>-15.125000000000181</v>
      </c>
    </row>
    <row r="34" spans="1:2" x14ac:dyDescent="0.15">
      <c r="A34" s="2">
        <v>-2.4000000000000101</v>
      </c>
      <c r="B34" s="2" cm="1">
        <f t="array" ref="B34">Function(A34)</f>
        <v>-13.424000000000166</v>
      </c>
    </row>
    <row r="35" spans="1:2" x14ac:dyDescent="0.15">
      <c r="A35" s="2">
        <v>-2.30000000000001</v>
      </c>
      <c r="B35" s="2" cm="1">
        <f t="array" ref="B35">Function(A35)</f>
        <v>-11.86700000000015</v>
      </c>
    </row>
    <row r="36" spans="1:2" x14ac:dyDescent="0.15">
      <c r="A36" s="2">
        <v>-2.2000000000000099</v>
      </c>
      <c r="B36" s="2" cm="1">
        <f t="array" ref="B36">Function(A36)</f>
        <v>-10.448000000000134</v>
      </c>
    </row>
    <row r="37" spans="1:2" x14ac:dyDescent="0.15">
      <c r="A37" s="2">
        <v>-2.1000000000000099</v>
      </c>
      <c r="B37" s="2" cm="1">
        <f t="array" ref="B37">Function(A37)</f>
        <v>-9.1610000000001186</v>
      </c>
    </row>
    <row r="38" spans="1:2" x14ac:dyDescent="0.15">
      <c r="A38" s="2">
        <v>-2.0000000000000102</v>
      </c>
      <c r="B38" s="2" cm="1">
        <f t="array" ref="B38">Function(A38)</f>
        <v>-8.0000000000001119</v>
      </c>
    </row>
    <row r="39" spans="1:2" x14ac:dyDescent="0.15">
      <c r="A39" s="2">
        <v>-1.9000000000000099</v>
      </c>
      <c r="B39" s="2" cm="1">
        <f t="array" ref="B39">Function(A39)</f>
        <v>-6.9590000000000973</v>
      </c>
    </row>
    <row r="40" spans="1:2" x14ac:dyDescent="0.15">
      <c r="A40" s="2">
        <v>-1.80000000000001</v>
      </c>
      <c r="B40" s="2" cm="1">
        <f t="array" ref="B40">Function(A40)</f>
        <v>-6.0320000000000871</v>
      </c>
    </row>
    <row r="41" spans="1:2" x14ac:dyDescent="0.15">
      <c r="A41" s="2">
        <v>-1.7000000000000099</v>
      </c>
      <c r="B41" s="2" cm="1">
        <f t="array" ref="B41">Function(A41)</f>
        <v>-5.2130000000000765</v>
      </c>
    </row>
    <row r="42" spans="1:2" x14ac:dyDescent="0.15">
      <c r="A42" s="2">
        <v>-1.6000000000000101</v>
      </c>
      <c r="B42" s="2" cm="1">
        <f t="array" ref="B42">Function(A42)</f>
        <v>-4.4960000000000671</v>
      </c>
    </row>
    <row r="43" spans="1:2" x14ac:dyDescent="0.15">
      <c r="A43" s="2">
        <v>-1.50000000000001</v>
      </c>
      <c r="B43" s="2" cm="1">
        <f t="array" ref="B43">Function(A43)</f>
        <v>-3.8750000000000577</v>
      </c>
    </row>
    <row r="44" spans="1:2" x14ac:dyDescent="0.15">
      <c r="A44" s="2">
        <v>-1.4000000000000099</v>
      </c>
      <c r="B44" s="2" cm="1">
        <f t="array" ref="B44">Function(A44)</f>
        <v>-3.3440000000000483</v>
      </c>
    </row>
    <row r="45" spans="1:2" x14ac:dyDescent="0.15">
      <c r="A45" s="2">
        <v>-1.30000000000001</v>
      </c>
      <c r="B45" s="2" cm="1">
        <f t="array" ref="B45">Function(A45)</f>
        <v>-2.8970000000000411</v>
      </c>
    </row>
    <row r="46" spans="1:2" x14ac:dyDescent="0.15">
      <c r="A46" s="2">
        <v>-1.2000000000000099</v>
      </c>
      <c r="B46" s="2" cm="1">
        <f t="array" ref="B46">Function(A46)</f>
        <v>-2.5280000000000333</v>
      </c>
    </row>
    <row r="47" spans="1:2" x14ac:dyDescent="0.15">
      <c r="A47" s="2">
        <v>-1.1000000000000101</v>
      </c>
      <c r="B47" s="2" cm="1">
        <f t="array" ref="B47">Function(A47)</f>
        <v>-2.2310000000000265</v>
      </c>
    </row>
    <row r="48" spans="1:2" x14ac:dyDescent="0.15">
      <c r="A48" s="2">
        <v>-1.00000000000001</v>
      </c>
      <c r="B48" s="2" cm="1">
        <f t="array" ref="B48">Function(A48)</f>
        <v>-2.00000000000002</v>
      </c>
    </row>
    <row r="49" spans="1:2" x14ac:dyDescent="0.15">
      <c r="A49" s="2">
        <v>-0.90000000000001001</v>
      </c>
      <c r="B49" s="2" cm="1">
        <f t="array" ref="B49">Function(A49)</f>
        <v>-1.8290000000000144</v>
      </c>
    </row>
    <row r="50" spans="1:2" x14ac:dyDescent="0.15">
      <c r="A50" s="2">
        <v>-0.80000000000001004</v>
      </c>
      <c r="B50" s="2" cm="1">
        <f t="array" ref="B50">Function(A50)</f>
        <v>-1.7120000000000093</v>
      </c>
    </row>
    <row r="51" spans="1:2" x14ac:dyDescent="0.15">
      <c r="A51" s="2">
        <v>-0.70000000000002005</v>
      </c>
      <c r="B51" s="2" cm="1">
        <f t="array" ref="B51">Function(A51)</f>
        <v>-1.6430000000000096</v>
      </c>
    </row>
    <row r="52" spans="1:2" x14ac:dyDescent="0.15">
      <c r="A52" s="2">
        <v>-0.60000000000001996</v>
      </c>
      <c r="B52" s="2" cm="1">
        <f t="array" ref="B52">Function(A52)</f>
        <v>-1.6160000000000017</v>
      </c>
    </row>
    <row r="53" spans="1:2" x14ac:dyDescent="0.15">
      <c r="A53" s="2">
        <v>-0.50000000000001998</v>
      </c>
      <c r="B53" s="2" cm="1">
        <f t="array" ref="B53">Function(A53)</f>
        <v>-1.6249999999999951</v>
      </c>
    </row>
    <row r="54" spans="1:2" x14ac:dyDescent="0.15">
      <c r="A54" s="2">
        <v>-0.40000000000002001</v>
      </c>
      <c r="B54" s="2" cm="1">
        <f t="array" ref="B54">Function(A54)</f>
        <v>-1.6639999999999895</v>
      </c>
    </row>
    <row r="55" spans="1:2" x14ac:dyDescent="0.15">
      <c r="A55" s="2">
        <v>-0.30000000000001997</v>
      </c>
      <c r="B55" s="2" cm="1">
        <f t="array" ref="B55">Function(A55)</f>
        <v>-1.7269999999999854</v>
      </c>
    </row>
    <row r="56" spans="1:2" x14ac:dyDescent="0.15">
      <c r="A56" s="2">
        <v>-0.20000000000002</v>
      </c>
      <c r="B56" s="2" cm="1">
        <f t="array" ref="B56">Function(A56)</f>
        <v>-1.8079999999999825</v>
      </c>
    </row>
    <row r="57" spans="1:2" x14ac:dyDescent="0.15">
      <c r="A57" s="2">
        <v>-0.10000000000002</v>
      </c>
      <c r="B57" s="2" cm="1">
        <f t="array" ref="B57">Function(A57)</f>
        <v>-1.9009999999999807</v>
      </c>
    </row>
    <row r="58" spans="1:2" x14ac:dyDescent="0.15">
      <c r="A58" s="2">
        <v>-2.0428103653102899E-14</v>
      </c>
      <c r="B58" s="2" cm="1">
        <f t="array" ref="B58">Function(A58)</f>
        <v>-1.9999999999999796</v>
      </c>
    </row>
    <row r="59" spans="1:2" x14ac:dyDescent="0.15">
      <c r="A59" s="2">
        <v>9.9999999999980105E-2</v>
      </c>
      <c r="B59" s="2" cm="1">
        <f t="array" ref="B59">Function(A59)</f>
        <v>-2.0989999999999807</v>
      </c>
    </row>
    <row r="60" spans="1:2" x14ac:dyDescent="0.15">
      <c r="A60" s="2">
        <v>0.19999999999998</v>
      </c>
      <c r="B60" s="2" cm="1">
        <f t="array" ref="B60">Function(A60)</f>
        <v>-2.1919999999999824</v>
      </c>
    </row>
    <row r="61" spans="1:2" x14ac:dyDescent="0.15">
      <c r="A61" s="2">
        <v>0.29999999999998</v>
      </c>
      <c r="B61" s="2" cm="1">
        <f t="array" ref="B61">Function(A61)</f>
        <v>-2.2729999999999855</v>
      </c>
    </row>
    <row r="62" spans="1:2" x14ac:dyDescent="0.15">
      <c r="A62" s="2">
        <v>0.39999999999997998</v>
      </c>
      <c r="B62" s="2" cm="1">
        <f t="array" ref="B62">Function(A62)</f>
        <v>-2.3359999999999896</v>
      </c>
    </row>
    <row r="63" spans="1:2" x14ac:dyDescent="0.15">
      <c r="A63" s="2">
        <v>0.49999999999998002</v>
      </c>
      <c r="B63" s="2" cm="1">
        <f t="array" ref="B63">Function(A63)</f>
        <v>-2.3749999999999951</v>
      </c>
    </row>
    <row r="64" spans="1:2" x14ac:dyDescent="0.15">
      <c r="A64" s="2">
        <v>0.59999999999997999</v>
      </c>
      <c r="B64" s="2" cm="1">
        <f t="array" ref="B64">Function(A64)</f>
        <v>-2.3840000000000017</v>
      </c>
    </row>
    <row r="65" spans="1:2" x14ac:dyDescent="0.15">
      <c r="A65" s="2">
        <v>0.69999999999997997</v>
      </c>
      <c r="B65" s="2" cm="1">
        <f t="array" ref="B65">Function(A65)</f>
        <v>-2.3570000000000095</v>
      </c>
    </row>
    <row r="66" spans="1:2" x14ac:dyDescent="0.15">
      <c r="A66" s="2">
        <v>0.79999999999997995</v>
      </c>
      <c r="B66" s="2" cm="1">
        <f t="array" ref="B66">Function(A66)</f>
        <v>-2.2880000000000185</v>
      </c>
    </row>
    <row r="67" spans="1:2" x14ac:dyDescent="0.15">
      <c r="A67" s="2">
        <v>0.89999999999998004</v>
      </c>
      <c r="B67" s="2" cm="1">
        <f t="array" ref="B67">Function(A67)</f>
        <v>-2.1710000000000287</v>
      </c>
    </row>
    <row r="68" spans="1:2" x14ac:dyDescent="0.15">
      <c r="A68" s="2">
        <v>0.99999999999998002</v>
      </c>
      <c r="B68" s="2" cm="1">
        <f t="array" ref="B68">Function(A68)</f>
        <v>-2.00000000000004</v>
      </c>
    </row>
    <row r="69" spans="1:2" x14ac:dyDescent="0.15">
      <c r="A69" s="2">
        <v>1.0999999999999801</v>
      </c>
      <c r="B69" s="2" cm="1">
        <f t="array" ref="B69">Function(A69)</f>
        <v>-1.7690000000000523</v>
      </c>
    </row>
    <row r="70" spans="1:2" x14ac:dyDescent="0.15">
      <c r="A70" s="2">
        <v>1.19999999999998</v>
      </c>
      <c r="B70" s="2" cm="1">
        <f t="array" ref="B70">Function(A70)</f>
        <v>-1.4720000000000664</v>
      </c>
    </row>
    <row r="71" spans="1:2" x14ac:dyDescent="0.15">
      <c r="A71" s="2">
        <v>1.2999999999999801</v>
      </c>
      <c r="B71" s="2" cm="1">
        <f t="array" ref="B71">Function(A71)</f>
        <v>-1.1030000000000812</v>
      </c>
    </row>
    <row r="72" spans="1:2" x14ac:dyDescent="0.15">
      <c r="A72" s="2">
        <v>1.3999999999999799</v>
      </c>
      <c r="B72" s="2" cm="1">
        <f t="array" ref="B72">Function(A72)</f>
        <v>-0.65600000000009784</v>
      </c>
    </row>
    <row r="73" spans="1:2" x14ac:dyDescent="0.15">
      <c r="A73" s="2">
        <v>1.49999999999998</v>
      </c>
      <c r="B73" s="2" cm="1">
        <f t="array" ref="B73">Function(A73)</f>
        <v>-0.12500000000011502</v>
      </c>
    </row>
    <row r="74" spans="1:2" x14ac:dyDescent="0.15">
      <c r="A74" s="2">
        <v>1.5999999999999801</v>
      </c>
      <c r="B74" s="2" cm="1">
        <f t="array" ref="B74">Function(A74)</f>
        <v>0.49599999999986721</v>
      </c>
    </row>
    <row r="75" spans="1:2" x14ac:dyDescent="0.15">
      <c r="A75" s="2">
        <v>1.69999999999998</v>
      </c>
      <c r="B75" s="2" cm="1">
        <f t="array" ref="B75">Function(A75)</f>
        <v>1.2129999999998464</v>
      </c>
    </row>
    <row r="76" spans="1:2" x14ac:dyDescent="0.15">
      <c r="A76" s="2">
        <v>1.7999999999999801</v>
      </c>
      <c r="B76" s="2" cm="1">
        <f t="array" ref="B76">Function(A76)</f>
        <v>2.0319999999998259</v>
      </c>
    </row>
    <row r="77" spans="1:2" x14ac:dyDescent="0.15">
      <c r="A77" s="2">
        <v>1.8999999999999799</v>
      </c>
      <c r="B77" s="2" cm="1">
        <f t="array" ref="B77">Function(A77)</f>
        <v>2.9589999999998033</v>
      </c>
    </row>
    <row r="78" spans="1:2" x14ac:dyDescent="0.15">
      <c r="A78" s="2">
        <v>1.99999999999998</v>
      </c>
      <c r="B78" s="2" cm="1">
        <f t="array" ref="B78">Function(A78)</f>
        <v>3.9999999999997797</v>
      </c>
    </row>
    <row r="79" spans="1:2" x14ac:dyDescent="0.15">
      <c r="A79" s="2">
        <v>2.0999999999999699</v>
      </c>
      <c r="B79" s="2" cm="1">
        <f t="array" ref="B79">Function(A79)</f>
        <v>5.1609999999996319</v>
      </c>
    </row>
    <row r="80" spans="1:2" x14ac:dyDescent="0.15">
      <c r="A80" s="2">
        <v>2.19999999999997</v>
      </c>
      <c r="B80" s="2" cm="1">
        <f t="array" ref="B80">Function(A80)</f>
        <v>6.4479999999995918</v>
      </c>
    </row>
    <row r="81" spans="1:2" x14ac:dyDescent="0.15">
      <c r="A81" s="2">
        <v>2.2999999999999701</v>
      </c>
      <c r="B81" s="2" cm="1">
        <f t="array" ref="B81">Function(A81)</f>
        <v>7.866999999999555</v>
      </c>
    </row>
    <row r="82" spans="1:2" x14ac:dyDescent="0.15">
      <c r="A82" s="2">
        <v>2.3999999999999702</v>
      </c>
      <c r="B82" s="2" cm="1">
        <f t="array" ref="B82">Function(A82)</f>
        <v>9.4239999999995145</v>
      </c>
    </row>
    <row r="83" spans="1:2" x14ac:dyDescent="0.15">
      <c r="A83" s="2">
        <v>2.4999999999999698</v>
      </c>
      <c r="B83" s="2" cm="1">
        <f t="array" ref="B83">Function(A83)</f>
        <v>11.124999999999464</v>
      </c>
    </row>
    <row r="84" spans="1:2" x14ac:dyDescent="0.15">
      <c r="A84" s="2">
        <v>2.5999999999999699</v>
      </c>
      <c r="B84" s="2" cm="1">
        <f t="array" ref="B84">Function(A84)</f>
        <v>12.97599999999942</v>
      </c>
    </row>
    <row r="85" spans="1:2" x14ac:dyDescent="0.15">
      <c r="A85" s="2">
        <v>2.69999999999997</v>
      </c>
      <c r="B85" s="2" cm="1">
        <f t="array" ref="B85">Function(A85)</f>
        <v>14.982999999999372</v>
      </c>
    </row>
    <row r="86" spans="1:2" x14ac:dyDescent="0.15">
      <c r="A86" s="2">
        <v>2.7999999999999701</v>
      </c>
      <c r="B86" s="2" cm="1">
        <f t="array" ref="B86">Function(A86)</f>
        <v>17.151999999999326</v>
      </c>
    </row>
    <row r="87" spans="1:2" x14ac:dyDescent="0.15">
      <c r="A87" s="2">
        <v>2.8999999999999702</v>
      </c>
      <c r="B87" s="2" cm="1">
        <f t="array" ref="B87">Function(A87)</f>
        <v>19.488999999999276</v>
      </c>
    </row>
    <row r="88" spans="1:2" x14ac:dyDescent="0.15">
      <c r="A88" s="2">
        <v>2.9999999999999698</v>
      </c>
      <c r="B88" s="2" cm="1">
        <f t="array" ref="B88">Function(A88)</f>
        <v>21.999999999999211</v>
      </c>
    </row>
    <row r="89" spans="1:2" x14ac:dyDescent="0.15">
      <c r="A89" s="2">
        <v>3.0999999999999699</v>
      </c>
      <c r="B89" s="2" cm="1">
        <f t="array" ref="B89">Function(A89)</f>
        <v>24.690999999999161</v>
      </c>
    </row>
    <row r="90" spans="1:2" x14ac:dyDescent="0.15">
      <c r="A90" s="2">
        <v>3.19999999999997</v>
      </c>
      <c r="B90" s="2" cm="1">
        <f t="array" ref="B90">Function(A90)</f>
        <v>27.567999999999106</v>
      </c>
    </row>
    <row r="91" spans="1:2" x14ac:dyDescent="0.15">
      <c r="A91" s="2">
        <v>3.2999999999999701</v>
      </c>
      <c r="B91" s="2" cm="1">
        <f t="array" ref="B91">Function(A91)</f>
        <v>30.636999999999048</v>
      </c>
    </row>
    <row r="92" spans="1:2" x14ac:dyDescent="0.15">
      <c r="A92" s="2">
        <v>3.3999999999999702</v>
      </c>
      <c r="B92" s="2" cm="1">
        <f t="array" ref="B92">Function(A92)</f>
        <v>33.903999999998994</v>
      </c>
    </row>
    <row r="93" spans="1:2" x14ac:dyDescent="0.15">
      <c r="A93" s="2">
        <v>3.4999999999999698</v>
      </c>
      <c r="B93" s="2" cm="1">
        <f t="array" ref="B93">Function(A93)</f>
        <v>37.37499999999892</v>
      </c>
    </row>
    <row r="94" spans="1:2" x14ac:dyDescent="0.15">
      <c r="A94" s="2">
        <v>3.5999999999999699</v>
      </c>
      <c r="B94" s="2" cm="1">
        <f t="array" ref="B94">Function(A94)</f>
        <v>41.055999999998853</v>
      </c>
    </row>
    <row r="95" spans="1:2" x14ac:dyDescent="0.15">
      <c r="A95" s="2">
        <v>3.69999999999997</v>
      </c>
      <c r="B95" s="2" cm="1">
        <f t="array" ref="B95">Function(A95)</f>
        <v>44.952999999998795</v>
      </c>
    </row>
    <row r="96" spans="1:2" x14ac:dyDescent="0.15">
      <c r="A96" s="2">
        <v>3.7999999999999701</v>
      </c>
      <c r="B96" s="2" cm="1">
        <f t="array" ref="B96">Function(A96)</f>
        <v>49.071999999998731</v>
      </c>
    </row>
    <row r="97" spans="1:2" x14ac:dyDescent="0.15">
      <c r="A97" s="2">
        <v>3.8999999999999702</v>
      </c>
      <c r="B97" s="2" cm="1">
        <f t="array" ref="B97">Function(A97)</f>
        <v>53.418999999998668</v>
      </c>
    </row>
    <row r="98" spans="1:2" x14ac:dyDescent="0.15">
      <c r="A98" s="2">
        <v>3.9999999999999698</v>
      </c>
      <c r="B98" s="2" cm="1">
        <f t="array" ref="B98">Function(A98)</f>
        <v>57.999999999998579</v>
      </c>
    </row>
    <row r="99" spans="1:2" x14ac:dyDescent="0.15">
      <c r="A99" s="2">
        <v>4.0999999999999703</v>
      </c>
      <c r="B99" s="2" cm="1">
        <f t="array" ref="B99">Function(A99)</f>
        <v>62.820999999998534</v>
      </c>
    </row>
    <row r="100" spans="1:2" x14ac:dyDescent="0.15">
      <c r="A100" s="2">
        <v>4.19999999999997</v>
      </c>
      <c r="B100" s="2" cm="1">
        <f t="array" ref="B100">Function(A100)</f>
        <v>67.887999999998442</v>
      </c>
    </row>
    <row r="101" spans="1:2" x14ac:dyDescent="0.15">
      <c r="A101" s="2">
        <v>4.2999999999999696</v>
      </c>
      <c r="B101" s="2" cm="1">
        <f t="array" ref="B101">Function(A101)</f>
        <v>73.206999999998345</v>
      </c>
    </row>
    <row r="102" spans="1:2" x14ac:dyDescent="0.15">
      <c r="A102" s="2">
        <v>4.3999999999999702</v>
      </c>
      <c r="B102" s="2" cm="1">
        <f t="array" ref="B102">Function(A102)</f>
        <v>78.783999999998287</v>
      </c>
    </row>
    <row r="103" spans="1:2" x14ac:dyDescent="0.15">
      <c r="A103" s="2">
        <v>4.4999999999999698</v>
      </c>
      <c r="B103" s="2" cm="1">
        <f t="array" ref="B103">Function(A103)</f>
        <v>84.624999999998195</v>
      </c>
    </row>
    <row r="104" spans="1:2" x14ac:dyDescent="0.15">
      <c r="A104" s="2">
        <v>4.5999999999999703</v>
      </c>
      <c r="B104" s="2" cm="1">
        <f t="array" ref="B104">Function(A104)</f>
        <v>90.735999999998143</v>
      </c>
    </row>
    <row r="105" spans="1:2" x14ac:dyDescent="0.15">
      <c r="A105" s="2">
        <v>4.69999999999997</v>
      </c>
      <c r="B105" s="2" cm="1">
        <f t="array" ref="B105">Function(A105)</f>
        <v>97.122999999998044</v>
      </c>
    </row>
    <row r="106" spans="1:2" x14ac:dyDescent="0.15">
      <c r="A106" s="2">
        <v>4.7999999999999696</v>
      </c>
      <c r="B106" s="2" cm="1">
        <f t="array" ref="B106">Function(A106)</f>
        <v>103.79199999999793</v>
      </c>
    </row>
    <row r="107" spans="1:2" x14ac:dyDescent="0.15">
      <c r="A107" s="2">
        <v>4.8999999999999604</v>
      </c>
      <c r="B107" s="2" cm="1">
        <f t="array" ref="B107">Function(A107)</f>
        <v>110.74899999999718</v>
      </c>
    </row>
  </sheetData>
  <phoneticPr fontId="1"/>
  <conditionalFormatting sqref="I8:I107">
    <cfRule type="cellIs" dxfId="3" priority="1" operator="greaterThanOrEqual">
      <formula>$B$5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6D564-A379-42A8-AEED-4DD897CC0237}">
  <dimension ref="A1:J106"/>
  <sheetViews>
    <sheetView zoomScale="115" zoomScaleNormal="115" workbookViewId="0">
      <selection sqref="A1:XFD1048576"/>
    </sheetView>
  </sheetViews>
  <sheetFormatPr defaultRowHeight="16.5" x14ac:dyDescent="0.15"/>
  <cols>
    <col min="1" max="1" width="9" style="2"/>
    <col min="2" max="2" width="11.25" style="2" bestFit="1" customWidth="1"/>
    <col min="3" max="16384" width="9" style="2"/>
  </cols>
  <sheetData>
    <row r="1" spans="1:10" ht="17.25" thickBot="1" x14ac:dyDescent="0.2">
      <c r="A1" s="7" t="s">
        <v>0</v>
      </c>
      <c r="B1" s="4" t="s">
        <v>15</v>
      </c>
    </row>
    <row r="2" spans="1:10" ht="17.25" thickBot="1" x14ac:dyDescent="0.2">
      <c r="A2" s="7" t="s">
        <v>22</v>
      </c>
      <c r="B2" s="13">
        <v>1</v>
      </c>
    </row>
    <row r="3" spans="1:10" ht="17.25" thickBot="1" x14ac:dyDescent="0.2">
      <c r="A3" s="6" t="s">
        <v>27</v>
      </c>
      <c r="B3" s="13">
        <v>2</v>
      </c>
    </row>
    <row r="4" spans="1:10" ht="17.25" thickBot="1" x14ac:dyDescent="0.2">
      <c r="A4" s="6" t="s">
        <v>3</v>
      </c>
      <c r="B4" s="14">
        <v>9.9999999999999995E-7</v>
      </c>
    </row>
    <row r="5" spans="1:10" ht="17.25" thickBot="1" x14ac:dyDescent="0.2"/>
    <row r="6" spans="1:10" ht="17.25" thickBot="1" x14ac:dyDescent="0.2">
      <c r="A6" s="1" t="s">
        <v>5</v>
      </c>
      <c r="B6" s="1" t="s">
        <v>6</v>
      </c>
      <c r="D6" s="3" t="s">
        <v>11</v>
      </c>
      <c r="E6" s="4" t="s">
        <v>23</v>
      </c>
      <c r="F6" s="5" t="s">
        <v>24</v>
      </c>
      <c r="G6" s="4" t="s">
        <v>25</v>
      </c>
      <c r="H6" s="5" t="s">
        <v>26</v>
      </c>
      <c r="I6" s="4" t="s">
        <v>21</v>
      </c>
      <c r="J6" s="10" t="s">
        <v>10</v>
      </c>
    </row>
    <row r="7" spans="1:10" x14ac:dyDescent="0.15">
      <c r="A7" s="2">
        <v>-5</v>
      </c>
      <c r="B7" s="2">
        <v>-122</v>
      </c>
      <c r="D7" s="15">
        <v>1</v>
      </c>
      <c r="E7" s="16">
        <f>B2</f>
        <v>1</v>
      </c>
      <c r="F7" s="17">
        <f>B3</f>
        <v>2</v>
      </c>
      <c r="G7" s="16" cm="1">
        <f t="array" ref="G7">Function(E7)</f>
        <v>-2</v>
      </c>
      <c r="H7" s="17" cm="1">
        <f t="array" ref="H7">Function(F7)</f>
        <v>4</v>
      </c>
      <c r="I7" s="16">
        <f>F7-H7*(F7-E7)/(H7-G7)</f>
        <v>1.3333333333333335</v>
      </c>
      <c r="J7" s="32">
        <f>ABS(I7-F7)</f>
        <v>0.66666666666666652</v>
      </c>
    </row>
    <row r="8" spans="1:10" x14ac:dyDescent="0.15">
      <c r="A8" s="2">
        <v>-4.9000000000000004</v>
      </c>
      <c r="B8" s="2">
        <v>-114.74900000000002</v>
      </c>
      <c r="D8" s="18">
        <v>2</v>
      </c>
      <c r="E8" s="19">
        <f>F7</f>
        <v>2</v>
      </c>
      <c r="F8" s="20">
        <f>I7</f>
        <v>1.3333333333333335</v>
      </c>
      <c r="G8" s="19" cm="1">
        <f t="array" ref="G8">Function(E8)</f>
        <v>4</v>
      </c>
      <c r="H8" s="20" cm="1">
        <f t="array" ref="H8">Function(F8)</f>
        <v>-0.96296296296296235</v>
      </c>
      <c r="I8" s="19">
        <f>F8-H8*(F8-E8)/(H8-G8)</f>
        <v>1.4626865671641791</v>
      </c>
      <c r="J8" s="30">
        <f>ABS(I8-F8)</f>
        <v>0.12935323383084563</v>
      </c>
    </row>
    <row r="9" spans="1:10" x14ac:dyDescent="0.15">
      <c r="A9" s="2">
        <v>-4.8</v>
      </c>
      <c r="B9" s="2">
        <v>-107.792</v>
      </c>
      <c r="D9" s="18">
        <v>3</v>
      </c>
      <c r="E9" s="19">
        <f t="shared" ref="E9:E15" si="0">F8</f>
        <v>1.3333333333333335</v>
      </c>
      <c r="F9" s="20">
        <f t="shared" ref="F9:F15" si="1">I8</f>
        <v>1.4626865671641791</v>
      </c>
      <c r="G9" s="19" cm="1">
        <f t="array" ref="G9">Function(E9)</f>
        <v>-0.96296296296296235</v>
      </c>
      <c r="H9" s="20" cm="1">
        <f t="array" ref="H9">Function(F9)</f>
        <v>-0.33333887479510449</v>
      </c>
      <c r="I9" s="19">
        <f t="shared" ref="I9:I15" si="2">F9-H9*(F9-E9)/(H9-G9)</f>
        <v>1.5311694321412044</v>
      </c>
      <c r="J9" s="30">
        <f t="shared" ref="J9:J15" si="3">ABS(I9-F9)</f>
        <v>6.8482864977025271E-2</v>
      </c>
    </row>
    <row r="10" spans="1:10" x14ac:dyDescent="0.15">
      <c r="A10" s="2">
        <v>-4.7</v>
      </c>
      <c r="B10" s="2">
        <v>-101.12300000000002</v>
      </c>
      <c r="D10" s="18">
        <v>4</v>
      </c>
      <c r="E10" s="19">
        <f t="shared" si="0"/>
        <v>1.4626865671641791</v>
      </c>
      <c r="F10" s="20">
        <f t="shared" si="1"/>
        <v>1.5311694321412044</v>
      </c>
      <c r="G10" s="19" cm="1">
        <f t="array" ref="G10">Function(E10)</f>
        <v>-0.33333887479510449</v>
      </c>
      <c r="H10" s="20" cm="1">
        <f t="array" ref="H10">Function(F10)</f>
        <v>5.8626417709449985E-2</v>
      </c>
      <c r="I10" s="19">
        <f t="shared" si="2"/>
        <v>1.5209264205152802</v>
      </c>
      <c r="J10" s="30">
        <f t="shared" si="3"/>
        <v>1.0243011625924225E-2</v>
      </c>
    </row>
    <row r="11" spans="1:10" x14ac:dyDescent="0.15">
      <c r="A11" s="2">
        <v>-4.5999999999999996</v>
      </c>
      <c r="B11" s="2">
        <v>-94.735999999999976</v>
      </c>
      <c r="D11" s="18">
        <v>5</v>
      </c>
      <c r="E11" s="19">
        <f t="shared" si="0"/>
        <v>1.5311694321412044</v>
      </c>
      <c r="F11" s="20">
        <f t="shared" si="1"/>
        <v>1.5209264205152802</v>
      </c>
      <c r="G11" s="19" cm="1">
        <f t="array" ref="G11">Function(E11)</f>
        <v>5.8626417709449985E-2</v>
      </c>
      <c r="H11" s="20" cm="1">
        <f t="array" ref="H11">Function(F11)</f>
        <v>-2.6933002019973173E-3</v>
      </c>
      <c r="I11" s="19">
        <f t="shared" si="2"/>
        <v>1.5213763166697438</v>
      </c>
      <c r="J11" s="30">
        <f t="shared" si="3"/>
        <v>4.4989615446366926E-4</v>
      </c>
    </row>
    <row r="12" spans="1:10" x14ac:dyDescent="0.15">
      <c r="A12" s="2">
        <v>-4.5</v>
      </c>
      <c r="B12" s="2">
        <v>-88.625</v>
      </c>
      <c r="D12" s="18">
        <v>6</v>
      </c>
      <c r="E12" s="19">
        <f t="shared" si="0"/>
        <v>1.5209264205152802</v>
      </c>
      <c r="F12" s="20">
        <f t="shared" si="1"/>
        <v>1.5213763166697438</v>
      </c>
      <c r="G12" s="19" cm="1">
        <f t="array" ref="G12">Function(E12)</f>
        <v>-2.6933002019973173E-3</v>
      </c>
      <c r="H12" s="20" cm="1">
        <f t="array" ref="H12">Function(F12)</f>
        <v>-2.0150192386658716E-5</v>
      </c>
      <c r="I12" s="19">
        <f t="shared" si="2"/>
        <v>1.5213797079848717</v>
      </c>
      <c r="J12" s="30">
        <f t="shared" si="3"/>
        <v>3.3913151278319731E-6</v>
      </c>
    </row>
    <row r="13" spans="1:10" x14ac:dyDescent="0.15">
      <c r="A13" s="2">
        <v>-4.4000000000000004</v>
      </c>
      <c r="B13" s="2">
        <v>-82.78400000000002</v>
      </c>
      <c r="D13" s="18">
        <v>7</v>
      </c>
      <c r="E13" s="19">
        <f t="shared" si="0"/>
        <v>1.5213763166697438</v>
      </c>
      <c r="F13" s="20">
        <f t="shared" si="1"/>
        <v>1.5213797079848717</v>
      </c>
      <c r="G13" s="19" cm="1">
        <f t="array" ref="G13">Function(E13)</f>
        <v>-2.0150192386658716E-5</v>
      </c>
      <c r="H13" s="20" cm="1">
        <f t="array" ref="H13">Function(F13)</f>
        <v>7.0154779763242914E-9</v>
      </c>
      <c r="I13" s="19">
        <f t="shared" si="2"/>
        <v>1.5213797068045645</v>
      </c>
      <c r="J13" s="30">
        <f t="shared" si="3"/>
        <v>1.1803071853222491E-9</v>
      </c>
    </row>
    <row r="14" spans="1:10" x14ac:dyDescent="0.15">
      <c r="A14" s="2">
        <v>-4.3</v>
      </c>
      <c r="B14" s="2">
        <v>-77.206999999999994</v>
      </c>
      <c r="D14" s="18">
        <v>8</v>
      </c>
      <c r="E14" s="19">
        <f t="shared" si="0"/>
        <v>1.5213797079848717</v>
      </c>
      <c r="F14" s="20">
        <f t="shared" si="1"/>
        <v>1.5213797068045645</v>
      </c>
      <c r="G14" s="19" cm="1">
        <f t="array" ref="G14">Function(E14)</f>
        <v>7.0154779763242914E-9</v>
      </c>
      <c r="H14" s="20" cm="1">
        <f t="array" ref="H14">Function(F14)</f>
        <v>-1.7985612998927536E-14</v>
      </c>
      <c r="I14" s="19">
        <f t="shared" si="2"/>
        <v>1.5213797068045676</v>
      </c>
      <c r="J14" s="30">
        <f t="shared" si="3"/>
        <v>3.1086244689504383E-15</v>
      </c>
    </row>
    <row r="15" spans="1:10" ht="17.25" thickBot="1" x14ac:dyDescent="0.2">
      <c r="A15" s="2">
        <v>-4.2</v>
      </c>
      <c r="B15" s="2">
        <v>-71.888000000000005</v>
      </c>
      <c r="D15" s="21">
        <v>9</v>
      </c>
      <c r="E15" s="22">
        <f t="shared" si="0"/>
        <v>1.5213797068045645</v>
      </c>
      <c r="F15" s="23">
        <f t="shared" si="1"/>
        <v>1.5213797068045676</v>
      </c>
      <c r="G15" s="22" cm="1">
        <f t="array" ref="G15">Function(E15)</f>
        <v>-1.7985612998927536E-14</v>
      </c>
      <c r="H15" s="23" cm="1">
        <f t="array" ref="H15">Function(F15)</f>
        <v>0</v>
      </c>
      <c r="I15" s="22">
        <f t="shared" si="2"/>
        <v>1.5213797068045676</v>
      </c>
      <c r="J15" s="31">
        <f t="shared" si="3"/>
        <v>0</v>
      </c>
    </row>
    <row r="16" spans="1:10" x14ac:dyDescent="0.15">
      <c r="A16" s="2">
        <v>-4.0999999999999996</v>
      </c>
      <c r="B16" s="2">
        <v>-66.820999999999998</v>
      </c>
    </row>
    <row r="17" spans="1:2" x14ac:dyDescent="0.15">
      <c r="A17" s="2">
        <v>-4</v>
      </c>
      <c r="B17" s="2">
        <v>-62</v>
      </c>
    </row>
    <row r="18" spans="1:2" x14ac:dyDescent="0.15">
      <c r="A18" s="2">
        <v>-3.9</v>
      </c>
      <c r="B18" s="2">
        <v>-57.418999999999997</v>
      </c>
    </row>
    <row r="19" spans="1:2" x14ac:dyDescent="0.15">
      <c r="A19" s="2">
        <v>-3.8</v>
      </c>
      <c r="B19" s="2">
        <v>-53.071999999999996</v>
      </c>
    </row>
    <row r="20" spans="1:2" x14ac:dyDescent="0.15">
      <c r="A20" s="2">
        <v>-3.7</v>
      </c>
      <c r="B20" s="2">
        <v>-48.953000000000003</v>
      </c>
    </row>
    <row r="21" spans="1:2" x14ac:dyDescent="0.15">
      <c r="A21" s="2">
        <v>-3.6</v>
      </c>
      <c r="B21" s="2">
        <v>-45.056000000000004</v>
      </c>
    </row>
    <row r="22" spans="1:2" x14ac:dyDescent="0.15">
      <c r="A22" s="2">
        <v>-3.5000000000000102</v>
      </c>
      <c r="B22" s="2">
        <v>-41.375000000000369</v>
      </c>
    </row>
    <row r="23" spans="1:2" x14ac:dyDescent="0.15">
      <c r="A23" s="2">
        <v>-3.4000000000000101</v>
      </c>
      <c r="B23" s="2">
        <v>-37.904000000000337</v>
      </c>
    </row>
    <row r="24" spans="1:2" x14ac:dyDescent="0.15">
      <c r="A24" s="2">
        <v>-3.30000000000001</v>
      </c>
      <c r="B24" s="2">
        <v>-34.63700000000032</v>
      </c>
    </row>
    <row r="25" spans="1:2" x14ac:dyDescent="0.15">
      <c r="A25" s="2">
        <v>-3.2000000000000099</v>
      </c>
      <c r="B25" s="2">
        <v>-31.568000000000296</v>
      </c>
    </row>
    <row r="26" spans="1:2" x14ac:dyDescent="0.15">
      <c r="A26" s="2">
        <v>-3.1000000000000099</v>
      </c>
      <c r="B26" s="2">
        <v>-28.691000000000276</v>
      </c>
    </row>
    <row r="27" spans="1:2" x14ac:dyDescent="0.15">
      <c r="A27" s="2">
        <v>-3.0000000000000102</v>
      </c>
      <c r="B27" s="2">
        <v>-26.000000000000263</v>
      </c>
    </row>
    <row r="28" spans="1:2" x14ac:dyDescent="0.15">
      <c r="A28" s="2">
        <v>-2.9000000000000101</v>
      </c>
      <c r="B28" s="2">
        <v>-23.489000000000246</v>
      </c>
    </row>
    <row r="29" spans="1:2" x14ac:dyDescent="0.15">
      <c r="A29" s="2">
        <v>-2.80000000000001</v>
      </c>
      <c r="B29" s="2">
        <v>-21.152000000000225</v>
      </c>
    </row>
    <row r="30" spans="1:2" x14ac:dyDescent="0.15">
      <c r="A30" s="2">
        <v>-2.7000000000000099</v>
      </c>
      <c r="B30" s="2">
        <v>-18.983000000000207</v>
      </c>
    </row>
    <row r="31" spans="1:2" x14ac:dyDescent="0.15">
      <c r="A31" s="2">
        <v>-2.6000000000000099</v>
      </c>
      <c r="B31" s="2">
        <v>-16.976000000000191</v>
      </c>
    </row>
    <row r="32" spans="1:2" x14ac:dyDescent="0.15">
      <c r="A32" s="2">
        <v>-2.5000000000000102</v>
      </c>
      <c r="B32" s="2">
        <v>-15.125000000000181</v>
      </c>
    </row>
    <row r="33" spans="1:2" x14ac:dyDescent="0.15">
      <c r="A33" s="2">
        <v>-2.4000000000000101</v>
      </c>
      <c r="B33" s="2">
        <v>-13.424000000000166</v>
      </c>
    </row>
    <row r="34" spans="1:2" x14ac:dyDescent="0.15">
      <c r="A34" s="2">
        <v>-2.30000000000001</v>
      </c>
      <c r="B34" s="2">
        <v>-11.86700000000015</v>
      </c>
    </row>
    <row r="35" spans="1:2" x14ac:dyDescent="0.15">
      <c r="A35" s="2">
        <v>-2.2000000000000099</v>
      </c>
      <c r="B35" s="2">
        <v>-10.448000000000134</v>
      </c>
    </row>
    <row r="36" spans="1:2" x14ac:dyDescent="0.15">
      <c r="A36" s="2">
        <v>-2.1000000000000099</v>
      </c>
      <c r="B36" s="2">
        <v>-9.1610000000001186</v>
      </c>
    </row>
    <row r="37" spans="1:2" x14ac:dyDescent="0.15">
      <c r="A37" s="2">
        <v>-2.0000000000000102</v>
      </c>
      <c r="B37" s="2">
        <v>-8.0000000000001119</v>
      </c>
    </row>
    <row r="38" spans="1:2" x14ac:dyDescent="0.15">
      <c r="A38" s="2">
        <v>-1.9000000000000099</v>
      </c>
      <c r="B38" s="2">
        <v>-6.9590000000000973</v>
      </c>
    </row>
    <row r="39" spans="1:2" x14ac:dyDescent="0.15">
      <c r="A39" s="2">
        <v>-1.80000000000001</v>
      </c>
      <c r="B39" s="2">
        <v>-6.0320000000000871</v>
      </c>
    </row>
    <row r="40" spans="1:2" x14ac:dyDescent="0.15">
      <c r="A40" s="2">
        <v>-1.7000000000000099</v>
      </c>
      <c r="B40" s="2">
        <v>-5.2130000000000765</v>
      </c>
    </row>
    <row r="41" spans="1:2" x14ac:dyDescent="0.15">
      <c r="A41" s="2">
        <v>-1.6000000000000101</v>
      </c>
      <c r="B41" s="2">
        <v>-4.4960000000000671</v>
      </c>
    </row>
    <row r="42" spans="1:2" x14ac:dyDescent="0.15">
      <c r="A42" s="2">
        <v>-1.50000000000001</v>
      </c>
      <c r="B42" s="2">
        <v>-3.8750000000000577</v>
      </c>
    </row>
    <row r="43" spans="1:2" x14ac:dyDescent="0.15">
      <c r="A43" s="2">
        <v>-1.4000000000000099</v>
      </c>
      <c r="B43" s="2">
        <v>-3.3440000000000483</v>
      </c>
    </row>
    <row r="44" spans="1:2" x14ac:dyDescent="0.15">
      <c r="A44" s="2">
        <v>-1.30000000000001</v>
      </c>
      <c r="B44" s="2">
        <v>-2.8970000000000411</v>
      </c>
    </row>
    <row r="45" spans="1:2" x14ac:dyDescent="0.15">
      <c r="A45" s="2">
        <v>-1.2000000000000099</v>
      </c>
      <c r="B45" s="2">
        <v>-2.5280000000000333</v>
      </c>
    </row>
    <row r="46" spans="1:2" x14ac:dyDescent="0.15">
      <c r="A46" s="2">
        <v>-1.1000000000000101</v>
      </c>
      <c r="B46" s="2">
        <v>-2.2310000000000265</v>
      </c>
    </row>
    <row r="47" spans="1:2" x14ac:dyDescent="0.15">
      <c r="A47" s="2">
        <v>-1.00000000000001</v>
      </c>
      <c r="B47" s="2">
        <v>-2.00000000000002</v>
      </c>
    </row>
    <row r="48" spans="1:2" x14ac:dyDescent="0.15">
      <c r="A48" s="2">
        <v>-0.90000000000001001</v>
      </c>
      <c r="B48" s="2">
        <v>-1.8290000000000144</v>
      </c>
    </row>
    <row r="49" spans="1:2" x14ac:dyDescent="0.15">
      <c r="A49" s="2">
        <v>-0.80000000000001004</v>
      </c>
      <c r="B49" s="2">
        <v>-1.7120000000000093</v>
      </c>
    </row>
    <row r="50" spans="1:2" x14ac:dyDescent="0.15">
      <c r="A50" s="2">
        <v>-0.70000000000002005</v>
      </c>
      <c r="B50" s="2">
        <v>-1.6430000000000096</v>
      </c>
    </row>
    <row r="51" spans="1:2" x14ac:dyDescent="0.15">
      <c r="A51" s="2">
        <v>-0.60000000000001996</v>
      </c>
      <c r="B51" s="2">
        <v>-1.6160000000000017</v>
      </c>
    </row>
    <row r="52" spans="1:2" x14ac:dyDescent="0.15">
      <c r="A52" s="2">
        <v>-0.50000000000001998</v>
      </c>
      <c r="B52" s="2">
        <v>-1.6249999999999951</v>
      </c>
    </row>
    <row r="53" spans="1:2" x14ac:dyDescent="0.15">
      <c r="A53" s="2">
        <v>-0.40000000000002001</v>
      </c>
      <c r="B53" s="2">
        <v>-1.6639999999999895</v>
      </c>
    </row>
    <row r="54" spans="1:2" x14ac:dyDescent="0.15">
      <c r="A54" s="2">
        <v>-0.30000000000001997</v>
      </c>
      <c r="B54" s="2">
        <v>-1.7269999999999854</v>
      </c>
    </row>
    <row r="55" spans="1:2" x14ac:dyDescent="0.15">
      <c r="A55" s="2">
        <v>-0.20000000000002</v>
      </c>
      <c r="B55" s="2">
        <v>-1.8079999999999825</v>
      </c>
    </row>
    <row r="56" spans="1:2" x14ac:dyDescent="0.15">
      <c r="A56" s="2">
        <v>-0.10000000000002</v>
      </c>
      <c r="B56" s="2">
        <v>-1.9009999999999807</v>
      </c>
    </row>
    <row r="57" spans="1:2" x14ac:dyDescent="0.15">
      <c r="A57" s="2">
        <v>-2.0428103653102899E-14</v>
      </c>
      <c r="B57" s="2">
        <v>-1.9999999999999796</v>
      </c>
    </row>
    <row r="58" spans="1:2" x14ac:dyDescent="0.15">
      <c r="A58" s="2">
        <v>9.9999999999980105E-2</v>
      </c>
      <c r="B58" s="2">
        <v>-2.0989999999999807</v>
      </c>
    </row>
    <row r="59" spans="1:2" x14ac:dyDescent="0.15">
      <c r="A59" s="2">
        <v>0.19999999999998</v>
      </c>
      <c r="B59" s="2">
        <v>-2.1919999999999824</v>
      </c>
    </row>
    <row r="60" spans="1:2" x14ac:dyDescent="0.15">
      <c r="A60" s="2">
        <v>0.29999999999998</v>
      </c>
      <c r="B60" s="2">
        <v>-2.2729999999999855</v>
      </c>
    </row>
    <row r="61" spans="1:2" x14ac:dyDescent="0.15">
      <c r="A61" s="2">
        <v>0.39999999999997998</v>
      </c>
      <c r="B61" s="2">
        <v>-2.3359999999999896</v>
      </c>
    </row>
    <row r="62" spans="1:2" x14ac:dyDescent="0.15">
      <c r="A62" s="2">
        <v>0.49999999999998002</v>
      </c>
      <c r="B62" s="2">
        <v>-2.3749999999999951</v>
      </c>
    </row>
    <row r="63" spans="1:2" x14ac:dyDescent="0.15">
      <c r="A63" s="2">
        <v>0.59999999999997999</v>
      </c>
      <c r="B63" s="2">
        <v>-2.3840000000000017</v>
      </c>
    </row>
    <row r="64" spans="1:2" x14ac:dyDescent="0.15">
      <c r="A64" s="2">
        <v>0.69999999999997997</v>
      </c>
      <c r="B64" s="2">
        <v>-2.3570000000000095</v>
      </c>
    </row>
    <row r="65" spans="1:2" x14ac:dyDescent="0.15">
      <c r="A65" s="2">
        <v>0.79999999999997995</v>
      </c>
      <c r="B65" s="2">
        <v>-2.2880000000000185</v>
      </c>
    </row>
    <row r="66" spans="1:2" x14ac:dyDescent="0.15">
      <c r="A66" s="2">
        <v>0.89999999999998004</v>
      </c>
      <c r="B66" s="2">
        <v>-2.1710000000000287</v>
      </c>
    </row>
    <row r="67" spans="1:2" x14ac:dyDescent="0.15">
      <c r="A67" s="2">
        <v>0.99999999999998002</v>
      </c>
      <c r="B67" s="2">
        <v>-2.00000000000004</v>
      </c>
    </row>
    <row r="68" spans="1:2" x14ac:dyDescent="0.15">
      <c r="A68" s="2">
        <v>1.0999999999999801</v>
      </c>
      <c r="B68" s="2">
        <v>-1.7690000000000523</v>
      </c>
    </row>
    <row r="69" spans="1:2" x14ac:dyDescent="0.15">
      <c r="A69" s="2">
        <v>1.19999999999998</v>
      </c>
      <c r="B69" s="2">
        <v>-1.4720000000000664</v>
      </c>
    </row>
    <row r="70" spans="1:2" x14ac:dyDescent="0.15">
      <c r="A70" s="2">
        <v>1.2999999999999801</v>
      </c>
      <c r="B70" s="2">
        <v>-1.1030000000000812</v>
      </c>
    </row>
    <row r="71" spans="1:2" x14ac:dyDescent="0.15">
      <c r="A71" s="2">
        <v>1.3999999999999799</v>
      </c>
      <c r="B71" s="2">
        <v>-0.65600000000009784</v>
      </c>
    </row>
    <row r="72" spans="1:2" x14ac:dyDescent="0.15">
      <c r="A72" s="2">
        <v>1.49999999999998</v>
      </c>
      <c r="B72" s="2">
        <v>-0.12500000000011502</v>
      </c>
    </row>
    <row r="73" spans="1:2" x14ac:dyDescent="0.15">
      <c r="A73" s="2">
        <v>1.5999999999999801</v>
      </c>
      <c r="B73" s="2">
        <v>0.49599999999986721</v>
      </c>
    </row>
    <row r="74" spans="1:2" x14ac:dyDescent="0.15">
      <c r="A74" s="2">
        <v>1.69999999999998</v>
      </c>
      <c r="B74" s="2">
        <v>1.2129999999998464</v>
      </c>
    </row>
    <row r="75" spans="1:2" x14ac:dyDescent="0.15">
      <c r="A75" s="2">
        <v>1.7999999999999801</v>
      </c>
      <c r="B75" s="2">
        <v>2.0319999999998259</v>
      </c>
    </row>
    <row r="76" spans="1:2" x14ac:dyDescent="0.15">
      <c r="A76" s="2">
        <v>1.8999999999999799</v>
      </c>
      <c r="B76" s="2">
        <v>2.9589999999998033</v>
      </c>
    </row>
    <row r="77" spans="1:2" x14ac:dyDescent="0.15">
      <c r="A77" s="2">
        <v>1.99999999999998</v>
      </c>
      <c r="B77" s="2">
        <v>3.9999999999997797</v>
      </c>
    </row>
    <row r="78" spans="1:2" x14ac:dyDescent="0.15">
      <c r="A78" s="2">
        <v>2.0999999999999699</v>
      </c>
      <c r="B78" s="2">
        <v>5.1609999999996319</v>
      </c>
    </row>
    <row r="79" spans="1:2" x14ac:dyDescent="0.15">
      <c r="A79" s="2">
        <v>2.19999999999997</v>
      </c>
      <c r="B79" s="2">
        <v>6.4479999999995918</v>
      </c>
    </row>
    <row r="80" spans="1:2" x14ac:dyDescent="0.15">
      <c r="A80" s="2">
        <v>2.2999999999999701</v>
      </c>
      <c r="B80" s="2">
        <v>7.866999999999555</v>
      </c>
    </row>
    <row r="81" spans="1:2" x14ac:dyDescent="0.15">
      <c r="A81" s="2">
        <v>2.3999999999999702</v>
      </c>
      <c r="B81" s="2">
        <v>9.4239999999995145</v>
      </c>
    </row>
    <row r="82" spans="1:2" x14ac:dyDescent="0.15">
      <c r="A82" s="2">
        <v>2.4999999999999698</v>
      </c>
      <c r="B82" s="2">
        <v>11.124999999999464</v>
      </c>
    </row>
    <row r="83" spans="1:2" x14ac:dyDescent="0.15">
      <c r="A83" s="2">
        <v>2.5999999999999699</v>
      </c>
      <c r="B83" s="2">
        <v>12.97599999999942</v>
      </c>
    </row>
    <row r="84" spans="1:2" x14ac:dyDescent="0.15">
      <c r="A84" s="2">
        <v>2.69999999999997</v>
      </c>
      <c r="B84" s="2">
        <v>14.982999999999372</v>
      </c>
    </row>
    <row r="85" spans="1:2" x14ac:dyDescent="0.15">
      <c r="A85" s="2">
        <v>2.7999999999999701</v>
      </c>
      <c r="B85" s="2">
        <v>17.151999999999326</v>
      </c>
    </row>
    <row r="86" spans="1:2" x14ac:dyDescent="0.15">
      <c r="A86" s="2">
        <v>2.8999999999999702</v>
      </c>
      <c r="B86" s="2">
        <v>19.488999999999276</v>
      </c>
    </row>
    <row r="87" spans="1:2" x14ac:dyDescent="0.15">
      <c r="A87" s="2">
        <v>2.9999999999999698</v>
      </c>
      <c r="B87" s="2">
        <v>21.999999999999211</v>
      </c>
    </row>
    <row r="88" spans="1:2" x14ac:dyDescent="0.15">
      <c r="A88" s="2">
        <v>3.0999999999999699</v>
      </c>
      <c r="B88" s="2">
        <v>24.690999999999161</v>
      </c>
    </row>
    <row r="89" spans="1:2" x14ac:dyDescent="0.15">
      <c r="A89" s="2">
        <v>3.19999999999997</v>
      </c>
      <c r="B89" s="2">
        <v>27.567999999999106</v>
      </c>
    </row>
    <row r="90" spans="1:2" x14ac:dyDescent="0.15">
      <c r="A90" s="2">
        <v>3.2999999999999701</v>
      </c>
      <c r="B90" s="2">
        <v>30.636999999999048</v>
      </c>
    </row>
    <row r="91" spans="1:2" x14ac:dyDescent="0.15">
      <c r="A91" s="2">
        <v>3.3999999999999702</v>
      </c>
      <c r="B91" s="2">
        <v>33.903999999998994</v>
      </c>
    </row>
    <row r="92" spans="1:2" x14ac:dyDescent="0.15">
      <c r="A92" s="2">
        <v>3.4999999999999698</v>
      </c>
      <c r="B92" s="2">
        <v>37.37499999999892</v>
      </c>
    </row>
    <row r="93" spans="1:2" x14ac:dyDescent="0.15">
      <c r="A93" s="2">
        <v>3.5999999999999699</v>
      </c>
      <c r="B93" s="2">
        <v>41.055999999998853</v>
      </c>
    </row>
    <row r="94" spans="1:2" x14ac:dyDescent="0.15">
      <c r="A94" s="2">
        <v>3.69999999999997</v>
      </c>
      <c r="B94" s="2">
        <v>44.952999999998795</v>
      </c>
    </row>
    <row r="95" spans="1:2" x14ac:dyDescent="0.15">
      <c r="A95" s="2">
        <v>3.7999999999999701</v>
      </c>
      <c r="B95" s="2">
        <v>49.071999999998731</v>
      </c>
    </row>
    <row r="96" spans="1:2" x14ac:dyDescent="0.15">
      <c r="A96" s="2">
        <v>3.8999999999999702</v>
      </c>
      <c r="B96" s="2">
        <v>53.418999999998668</v>
      </c>
    </row>
    <row r="97" spans="1:2" x14ac:dyDescent="0.15">
      <c r="A97" s="2">
        <v>3.9999999999999698</v>
      </c>
      <c r="B97" s="2">
        <v>57.999999999998579</v>
      </c>
    </row>
    <row r="98" spans="1:2" x14ac:dyDescent="0.15">
      <c r="A98" s="2">
        <v>4.0999999999999703</v>
      </c>
      <c r="B98" s="2">
        <v>62.820999999998534</v>
      </c>
    </row>
    <row r="99" spans="1:2" x14ac:dyDescent="0.15">
      <c r="A99" s="2">
        <v>4.19999999999997</v>
      </c>
      <c r="B99" s="2">
        <v>67.887999999998442</v>
      </c>
    </row>
    <row r="100" spans="1:2" x14ac:dyDescent="0.15">
      <c r="A100" s="2">
        <v>4.2999999999999696</v>
      </c>
      <c r="B100" s="2">
        <v>73.206999999998345</v>
      </c>
    </row>
    <row r="101" spans="1:2" x14ac:dyDescent="0.15">
      <c r="A101" s="2">
        <v>4.3999999999999702</v>
      </c>
      <c r="B101" s="2">
        <v>78.783999999998287</v>
      </c>
    </row>
    <row r="102" spans="1:2" x14ac:dyDescent="0.15">
      <c r="A102" s="2">
        <v>4.4999999999999698</v>
      </c>
      <c r="B102" s="2">
        <v>84.624999999998195</v>
      </c>
    </row>
    <row r="103" spans="1:2" x14ac:dyDescent="0.15">
      <c r="A103" s="2">
        <v>4.5999999999999703</v>
      </c>
      <c r="B103" s="2">
        <v>90.735999999998143</v>
      </c>
    </row>
    <row r="104" spans="1:2" x14ac:dyDescent="0.15">
      <c r="A104" s="2">
        <v>4.69999999999997</v>
      </c>
      <c r="B104" s="2">
        <v>97.122999999998044</v>
      </c>
    </row>
    <row r="105" spans="1:2" x14ac:dyDescent="0.15">
      <c r="A105" s="2">
        <v>4.7999999999999696</v>
      </c>
      <c r="B105" s="2">
        <v>103.79199999999793</v>
      </c>
    </row>
    <row r="106" spans="1:2" x14ac:dyDescent="0.15">
      <c r="A106" s="2">
        <v>4.8999999999999604</v>
      </c>
      <c r="B106" s="2">
        <v>110.74899999999718</v>
      </c>
    </row>
  </sheetData>
  <phoneticPr fontId="1"/>
  <conditionalFormatting sqref="J7:J106">
    <cfRule type="cellIs" dxfId="2" priority="1" operator="greaterThanOrEqual">
      <formula>$B$4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E3A74-3EFA-41A7-B0D4-51D027AADC54}">
  <dimension ref="A1:N107"/>
  <sheetViews>
    <sheetView zoomScaleNormal="100" workbookViewId="0">
      <selection sqref="A1:XFD1048576"/>
    </sheetView>
  </sheetViews>
  <sheetFormatPr defaultRowHeight="16.5" x14ac:dyDescent="0.15"/>
  <cols>
    <col min="1" max="1" width="9" style="2"/>
    <col min="2" max="2" width="11.25" style="2" bestFit="1" customWidth="1"/>
    <col min="3" max="16384" width="9" style="2"/>
  </cols>
  <sheetData>
    <row r="1" spans="1:14" ht="17.25" thickBot="1" x14ac:dyDescent="0.2">
      <c r="A1" s="7" t="s">
        <v>0</v>
      </c>
      <c r="B1" s="4" t="s">
        <v>15</v>
      </c>
    </row>
    <row r="2" spans="1:14" ht="17.25" thickBot="1" x14ac:dyDescent="0.2">
      <c r="A2" s="7" t="s">
        <v>22</v>
      </c>
      <c r="B2" s="13">
        <v>1</v>
      </c>
    </row>
    <row r="3" spans="1:14" ht="17.25" thickBot="1" x14ac:dyDescent="0.2">
      <c r="A3" s="6" t="s">
        <v>27</v>
      </c>
      <c r="B3" s="13">
        <v>1.2</v>
      </c>
    </row>
    <row r="4" spans="1:14" ht="17.25" thickBot="1" x14ac:dyDescent="0.2">
      <c r="A4" s="6" t="s">
        <v>28</v>
      </c>
      <c r="B4" s="13">
        <v>1.5</v>
      </c>
    </row>
    <row r="5" spans="1:14" ht="17.25" thickBot="1" x14ac:dyDescent="0.2">
      <c r="A5" s="6" t="s">
        <v>3</v>
      </c>
      <c r="B5" s="14">
        <v>9.9999999999999995E-7</v>
      </c>
    </row>
    <row r="7" spans="1:14" ht="17.25" thickBot="1" x14ac:dyDescent="0.2">
      <c r="A7" s="1" t="s">
        <v>5</v>
      </c>
      <c r="B7" s="1" t="s">
        <v>6</v>
      </c>
    </row>
    <row r="8" spans="1:14" ht="17.25" thickBot="1" x14ac:dyDescent="0.2">
      <c r="A8" s="2">
        <v>-5</v>
      </c>
      <c r="B8" s="2">
        <v>-122</v>
      </c>
      <c r="D8" s="3" t="s">
        <v>11</v>
      </c>
      <c r="E8" s="4" t="s">
        <v>22</v>
      </c>
      <c r="F8" s="4" t="s">
        <v>27</v>
      </c>
      <c r="G8" s="5" t="s">
        <v>28</v>
      </c>
      <c r="H8" s="4" t="s">
        <v>29</v>
      </c>
      <c r="I8" s="5" t="s">
        <v>30</v>
      </c>
      <c r="J8" s="4" t="s">
        <v>31</v>
      </c>
      <c r="K8" s="5" t="s">
        <v>7</v>
      </c>
      <c r="L8" s="4" t="s">
        <v>8</v>
      </c>
      <c r="M8" s="5" t="s">
        <v>32</v>
      </c>
      <c r="N8" s="4" t="s">
        <v>10</v>
      </c>
    </row>
    <row r="9" spans="1:14" x14ac:dyDescent="0.15">
      <c r="A9" s="2">
        <v>-4.9000000000000004</v>
      </c>
      <c r="B9" s="2">
        <v>-114.74900000000002</v>
      </c>
      <c r="D9" s="33">
        <v>1</v>
      </c>
      <c r="E9" s="16">
        <f>B2</f>
        <v>1</v>
      </c>
      <c r="F9" s="16">
        <f>B3</f>
        <v>1.2</v>
      </c>
      <c r="G9" s="17">
        <f>B4</f>
        <v>1.5</v>
      </c>
      <c r="H9" s="16" cm="1">
        <f t="array" ref="H9">Function(E9)</f>
        <v>-2</v>
      </c>
      <c r="I9" s="17" cm="1">
        <f t="array" ref="I9">Function(F9)</f>
        <v>-1.472</v>
      </c>
      <c r="J9" s="16" cm="1">
        <f t="array" ref="J9">Function(G9)</f>
        <v>-0.125</v>
      </c>
      <c r="K9" s="17">
        <f>(((I9 - H9)/(F9 - E9)) - ((J9 - I9)/(G9 - F9))) / ((F9 - E9) + (G9 - F9))</f>
        <v>-3.6999999999999975</v>
      </c>
      <c r="L9" s="16">
        <f xml:space="preserve"> K9*(G9 - F9) + (J9 - I9)/(G9 - F9)</f>
        <v>3.38</v>
      </c>
      <c r="M9" s="17">
        <f>G9 - 2*J9 / IF( ABS(L9 + SQRT(L9^2 - 4*K9*J9)) &gt; ABS(L9 - SQRT(L9^2 - 4*K9*J9)),L9 + SQRT(L9^2 - 4*K9*J9),L9 - SQRT(L9^2 - 4*K9*J9) )</f>
        <v>1.5386144950094331</v>
      </c>
      <c r="N9" s="16">
        <f>ABS(M9 - G9)</f>
        <v>3.8614495009433147E-2</v>
      </c>
    </row>
    <row r="10" spans="1:14" x14ac:dyDescent="0.15">
      <c r="A10" s="2">
        <v>-4.8</v>
      </c>
      <c r="B10" s="2">
        <v>-107.792</v>
      </c>
      <c r="D10" s="34">
        <v>2</v>
      </c>
      <c r="E10" s="19">
        <f>F9</f>
        <v>1.2</v>
      </c>
      <c r="F10" s="19">
        <f>G9</f>
        <v>1.5</v>
      </c>
      <c r="G10" s="20">
        <f>M9</f>
        <v>1.5386144950094331</v>
      </c>
      <c r="H10" s="19" cm="1">
        <f t="array" ref="H10">Function(E10)</f>
        <v>-1.472</v>
      </c>
      <c r="I10" s="20" cm="1">
        <f t="array" ref="I10">Function(F10)</f>
        <v>-0.125</v>
      </c>
      <c r="J10" s="19" cm="1">
        <f t="array" ref="J10">Function(G10)</f>
        <v>0.103800780087278</v>
      </c>
      <c r="K10" s="20">
        <f>(((I10 - H10)/(F10 - E10)) - ((J10 - I10)/(G10 - F10))) / ((F10 - E10) + (G10 - F10))</f>
        <v>-4.2386144950094717</v>
      </c>
      <c r="L10" s="19">
        <f xml:space="preserve"> K10*(G10 - F10) + (J10 - I10)/(G10 - F10)</f>
        <v>5.7615843485028408</v>
      </c>
      <c r="M10" s="20">
        <f>G10 - 2*J10 / IF( ABS(L10 + SQRT(L10^2 - 4*K10*J10)) &gt; ABS(L10 - SQRT(L10^2 - 4*K10*J10)),L10 + SQRT(L10^2 - 4*K10*J10),L10 - SQRT(L10^2 - 4*K10*J10) )</f>
        <v>1.5208311352555848</v>
      </c>
      <c r="N10" s="19">
        <f>ABS(M10 - G10)</f>
        <v>1.7783359753848371E-2</v>
      </c>
    </row>
    <row r="11" spans="1:14" x14ac:dyDescent="0.15">
      <c r="A11" s="2">
        <v>-4.7</v>
      </c>
      <c r="B11" s="2">
        <v>-101.12300000000002</v>
      </c>
      <c r="D11" s="34">
        <v>3</v>
      </c>
      <c r="E11" s="19">
        <f t="shared" ref="E11:F15" si="0">F10</f>
        <v>1.5</v>
      </c>
      <c r="F11" s="19">
        <f t="shared" si="0"/>
        <v>1.5386144950094331</v>
      </c>
      <c r="G11" s="20">
        <f t="shared" ref="G11:G15" si="1">M10</f>
        <v>1.5208311352555848</v>
      </c>
      <c r="H11" s="19" cm="1">
        <f t="array" ref="H11">Function(E11)</f>
        <v>-0.125</v>
      </c>
      <c r="I11" s="20" cm="1">
        <f t="array" ref="I11">Function(F11)</f>
        <v>0.103800780087278</v>
      </c>
      <c r="J11" s="19" cm="1">
        <f t="array" ref="J11">Function(G11)</f>
        <v>-3.2592200146317474E-3</v>
      </c>
      <c r="K11" s="20">
        <f t="shared" ref="K11:K15" si="2">(((I11 - H11)/(F11 - E11)) - ((J11 - I11)/(G11 - F11))) / ((F11 - E11) + (G11 - F11))</f>
        <v>-4.5594456302663646</v>
      </c>
      <c r="L11" s="19">
        <f t="shared" ref="L11:L15" si="3" xml:space="preserve"> K11*(G11 - F11) + (J11 - I11)/(G11 - F11)</f>
        <v>6.1013169973029973</v>
      </c>
      <c r="M11" s="20">
        <f t="shared" ref="M11:M15" si="4">G11 - 2*J11 / IF( ABS(L11 + SQRT(L11^2 - 4*K11*J11)) &gt; ABS(L11 - SQRT(L11^2 - 4*K11*J11)),L11 + SQRT(L11^2 - 4*K11*J11),L11 - SQRT(L11^2 - 4*K11*J11) )</f>
        <v>1.5213655316982775</v>
      </c>
      <c r="N11" s="19">
        <f t="shared" ref="N11:N15" si="5">ABS(M11 - G11)</f>
        <v>5.3439644269270836E-4</v>
      </c>
    </row>
    <row r="12" spans="1:14" x14ac:dyDescent="0.15">
      <c r="A12" s="2">
        <v>-4.5999999999999996</v>
      </c>
      <c r="B12" s="2">
        <v>-94.735999999999976</v>
      </c>
      <c r="D12" s="34">
        <v>4</v>
      </c>
      <c r="E12" s="19">
        <f t="shared" si="0"/>
        <v>1.5386144950094331</v>
      </c>
      <c r="F12" s="19">
        <f t="shared" si="0"/>
        <v>1.5208311352555848</v>
      </c>
      <c r="G12" s="20">
        <f t="shared" si="1"/>
        <v>1.5213655316982775</v>
      </c>
      <c r="H12" s="19" cm="1">
        <f t="array" ref="H12">Function(E12)</f>
        <v>0.103800780087278</v>
      </c>
      <c r="I12" s="20" cm="1">
        <f t="array" ref="I12">Function(F12)</f>
        <v>-3.2592200146317474E-3</v>
      </c>
      <c r="J12" s="19" cm="1">
        <f t="array" ref="J12">Function(G12)</f>
        <v>-8.4252918606475546E-5</v>
      </c>
      <c r="K12" s="20">
        <f t="shared" si="2"/>
        <v>-4.5808111619218703</v>
      </c>
      <c r="L12" s="19">
        <f t="shared" si="3"/>
        <v>5.9387725225249577</v>
      </c>
      <c r="M12" s="20">
        <f t="shared" si="4"/>
        <v>1.5213797187782307</v>
      </c>
      <c r="N12" s="19">
        <f t="shared" si="5"/>
        <v>1.4187079953265069E-5</v>
      </c>
    </row>
    <row r="13" spans="1:14" x14ac:dyDescent="0.15">
      <c r="A13" s="2">
        <v>-4.5</v>
      </c>
      <c r="B13" s="2">
        <v>-88.625</v>
      </c>
      <c r="D13" s="34">
        <v>5</v>
      </c>
      <c r="E13" s="19">
        <f t="shared" si="0"/>
        <v>1.5208311352555848</v>
      </c>
      <c r="F13" s="19">
        <f t="shared" si="0"/>
        <v>1.5213655316982775</v>
      </c>
      <c r="G13" s="20">
        <f t="shared" si="1"/>
        <v>1.5213797187782307</v>
      </c>
      <c r="H13" s="19" cm="1">
        <f t="array" ref="H13">Function(E13)</f>
        <v>-3.2592200146317474E-3</v>
      </c>
      <c r="I13" s="20" cm="1">
        <f t="array" ref="I13">Function(F13)</f>
        <v>-8.4252918606475546E-5</v>
      </c>
      <c r="J13" s="19" cm="1">
        <f t="array" ref="J13">Function(G13)</f>
        <v>7.1168924087317009E-8</v>
      </c>
      <c r="K13" s="20">
        <f t="shared" si="2"/>
        <v>-4.5635763998187988</v>
      </c>
      <c r="L13" s="19">
        <f t="shared" si="3"/>
        <v>5.9436592507085555</v>
      </c>
      <c r="M13" s="20">
        <f t="shared" si="4"/>
        <v>1.5213797068043069</v>
      </c>
      <c r="N13" s="19">
        <f t="shared" si="5"/>
        <v>1.1973923852437451E-8</v>
      </c>
    </row>
    <row r="14" spans="1:14" x14ac:dyDescent="0.15">
      <c r="A14" s="2">
        <v>-4.4000000000000004</v>
      </c>
      <c r="B14" s="2">
        <v>-82.78400000000002</v>
      </c>
      <c r="D14" s="34">
        <v>6</v>
      </c>
      <c r="E14" s="19">
        <f t="shared" si="0"/>
        <v>1.5213655316982775</v>
      </c>
      <c r="F14" s="19">
        <f t="shared" si="0"/>
        <v>1.5213797187782307</v>
      </c>
      <c r="G14" s="20">
        <f t="shared" si="1"/>
        <v>1.5213797068043069</v>
      </c>
      <c r="H14" s="19" cm="1">
        <f t="array" ref="H14">Function(E14)</f>
        <v>-8.4252918606475546E-5</v>
      </c>
      <c r="I14" s="20" cm="1">
        <f t="array" ref="I14">Function(F14)</f>
        <v>7.1168924087317009E-8</v>
      </c>
      <c r="J14" s="19" cm="1">
        <f t="array" ref="J14">Function(G14)</f>
        <v>-1.5492052085619434E-12</v>
      </c>
      <c r="K14" s="20">
        <f t="shared" si="2"/>
        <v>-4.564747594471771</v>
      </c>
      <c r="L14" s="19">
        <f t="shared" si="3"/>
        <v>5.9437887549709023</v>
      </c>
      <c r="M14" s="20">
        <f t="shared" si="4"/>
        <v>1.5213797068045676</v>
      </c>
      <c r="N14" s="19">
        <f t="shared" si="5"/>
        <v>2.6068036618198676E-13</v>
      </c>
    </row>
    <row r="15" spans="1:14" ht="17.25" thickBot="1" x14ac:dyDescent="0.2">
      <c r="A15" s="2">
        <v>-4.3</v>
      </c>
      <c r="B15" s="2">
        <v>-77.206999999999994</v>
      </c>
      <c r="D15" s="35">
        <v>7</v>
      </c>
      <c r="E15" s="22">
        <f t="shared" si="0"/>
        <v>1.5213797187782307</v>
      </c>
      <c r="F15" s="22">
        <f t="shared" si="0"/>
        <v>1.5213797068043069</v>
      </c>
      <c r="G15" s="23">
        <f t="shared" si="1"/>
        <v>1.5213797068045676</v>
      </c>
      <c r="H15" s="22" cm="1">
        <f t="array" ref="H15">Function(E15)</f>
        <v>7.1168924087317009E-8</v>
      </c>
      <c r="I15" s="23" cm="1">
        <f t="array" ref="I15">Function(F15)</f>
        <v>-1.5492052085619434E-12</v>
      </c>
      <c r="J15" s="22" cm="1">
        <f t="array" ref="J15">Function(G15)</f>
        <v>0</v>
      </c>
      <c r="K15" s="23">
        <f t="shared" si="2"/>
        <v>-71702.951607026742</v>
      </c>
      <c r="L15" s="22">
        <f t="shared" si="3"/>
        <v>5.9429301346304246</v>
      </c>
      <c r="M15" s="23">
        <f t="shared" si="4"/>
        <v>1.5213797068045676</v>
      </c>
      <c r="N15" s="22">
        <f t="shared" si="5"/>
        <v>0</v>
      </c>
    </row>
    <row r="16" spans="1:14" x14ac:dyDescent="0.15">
      <c r="A16" s="2">
        <v>-4.2</v>
      </c>
      <c r="B16" s="2">
        <v>-71.888000000000005</v>
      </c>
    </row>
    <row r="17" spans="1:2" x14ac:dyDescent="0.15">
      <c r="A17" s="2">
        <v>-4.0999999999999996</v>
      </c>
      <c r="B17" s="2">
        <v>-66.820999999999998</v>
      </c>
    </row>
    <row r="18" spans="1:2" x14ac:dyDescent="0.15">
      <c r="A18" s="2">
        <v>-4</v>
      </c>
      <c r="B18" s="2">
        <v>-62</v>
      </c>
    </row>
    <row r="19" spans="1:2" x14ac:dyDescent="0.15">
      <c r="A19" s="2">
        <v>-3.9</v>
      </c>
      <c r="B19" s="2">
        <v>-57.418999999999997</v>
      </c>
    </row>
    <row r="20" spans="1:2" x14ac:dyDescent="0.15">
      <c r="A20" s="2">
        <v>-3.8</v>
      </c>
      <c r="B20" s="2">
        <v>-53.071999999999996</v>
      </c>
    </row>
    <row r="21" spans="1:2" x14ac:dyDescent="0.15">
      <c r="A21" s="2">
        <v>-3.7</v>
      </c>
      <c r="B21" s="2">
        <v>-48.953000000000003</v>
      </c>
    </row>
    <row r="22" spans="1:2" x14ac:dyDescent="0.15">
      <c r="A22" s="2">
        <v>-3.6</v>
      </c>
      <c r="B22" s="2">
        <v>-45.056000000000004</v>
      </c>
    </row>
    <row r="23" spans="1:2" x14ac:dyDescent="0.15">
      <c r="A23" s="2">
        <v>-3.5000000000000102</v>
      </c>
      <c r="B23" s="2">
        <v>-41.375000000000369</v>
      </c>
    </row>
    <row r="24" spans="1:2" x14ac:dyDescent="0.15">
      <c r="A24" s="2">
        <v>-3.4000000000000101</v>
      </c>
      <c r="B24" s="2">
        <v>-37.904000000000337</v>
      </c>
    </row>
    <row r="25" spans="1:2" x14ac:dyDescent="0.15">
      <c r="A25" s="2">
        <v>-3.30000000000001</v>
      </c>
      <c r="B25" s="2">
        <v>-34.63700000000032</v>
      </c>
    </row>
    <row r="26" spans="1:2" x14ac:dyDescent="0.15">
      <c r="A26" s="2">
        <v>-3.2000000000000099</v>
      </c>
      <c r="B26" s="2">
        <v>-31.568000000000296</v>
      </c>
    </row>
    <row r="27" spans="1:2" x14ac:dyDescent="0.15">
      <c r="A27" s="2">
        <v>-3.1000000000000099</v>
      </c>
      <c r="B27" s="2">
        <v>-28.691000000000276</v>
      </c>
    </row>
    <row r="28" spans="1:2" x14ac:dyDescent="0.15">
      <c r="A28" s="2">
        <v>-3.0000000000000102</v>
      </c>
      <c r="B28" s="2">
        <v>-26.000000000000263</v>
      </c>
    </row>
    <row r="29" spans="1:2" x14ac:dyDescent="0.15">
      <c r="A29" s="2">
        <v>-2.9000000000000101</v>
      </c>
      <c r="B29" s="2">
        <v>-23.489000000000246</v>
      </c>
    </row>
    <row r="30" spans="1:2" x14ac:dyDescent="0.15">
      <c r="A30" s="2">
        <v>-2.80000000000001</v>
      </c>
      <c r="B30" s="2">
        <v>-21.152000000000225</v>
      </c>
    </row>
    <row r="31" spans="1:2" x14ac:dyDescent="0.15">
      <c r="A31" s="2">
        <v>-2.7000000000000099</v>
      </c>
      <c r="B31" s="2">
        <v>-18.983000000000207</v>
      </c>
    </row>
    <row r="32" spans="1:2" x14ac:dyDescent="0.15">
      <c r="A32" s="2">
        <v>-2.6000000000000099</v>
      </c>
      <c r="B32" s="2">
        <v>-16.976000000000191</v>
      </c>
    </row>
    <row r="33" spans="1:2" x14ac:dyDescent="0.15">
      <c r="A33" s="2">
        <v>-2.5000000000000102</v>
      </c>
      <c r="B33" s="2">
        <v>-15.125000000000181</v>
      </c>
    </row>
    <row r="34" spans="1:2" x14ac:dyDescent="0.15">
      <c r="A34" s="2">
        <v>-2.4000000000000101</v>
      </c>
      <c r="B34" s="2">
        <v>-13.424000000000166</v>
      </c>
    </row>
    <row r="35" spans="1:2" x14ac:dyDescent="0.15">
      <c r="A35" s="2">
        <v>-2.30000000000001</v>
      </c>
      <c r="B35" s="2">
        <v>-11.86700000000015</v>
      </c>
    </row>
    <row r="36" spans="1:2" x14ac:dyDescent="0.15">
      <c r="A36" s="2">
        <v>-2.2000000000000099</v>
      </c>
      <c r="B36" s="2">
        <v>-10.448000000000134</v>
      </c>
    </row>
    <row r="37" spans="1:2" x14ac:dyDescent="0.15">
      <c r="A37" s="2">
        <v>-2.1000000000000099</v>
      </c>
      <c r="B37" s="2">
        <v>-9.1610000000001186</v>
      </c>
    </row>
    <row r="38" spans="1:2" x14ac:dyDescent="0.15">
      <c r="A38" s="2">
        <v>-2.0000000000000102</v>
      </c>
      <c r="B38" s="2">
        <v>-8.0000000000001119</v>
      </c>
    </row>
    <row r="39" spans="1:2" x14ac:dyDescent="0.15">
      <c r="A39" s="2">
        <v>-1.9000000000000099</v>
      </c>
      <c r="B39" s="2">
        <v>-6.9590000000000973</v>
      </c>
    </row>
    <row r="40" spans="1:2" x14ac:dyDescent="0.15">
      <c r="A40" s="2">
        <v>-1.80000000000001</v>
      </c>
      <c r="B40" s="2">
        <v>-6.0320000000000871</v>
      </c>
    </row>
    <row r="41" spans="1:2" x14ac:dyDescent="0.15">
      <c r="A41" s="2">
        <v>-1.7000000000000099</v>
      </c>
      <c r="B41" s="2">
        <v>-5.2130000000000765</v>
      </c>
    </row>
    <row r="42" spans="1:2" x14ac:dyDescent="0.15">
      <c r="A42" s="2">
        <v>-1.6000000000000101</v>
      </c>
      <c r="B42" s="2">
        <v>-4.4960000000000671</v>
      </c>
    </row>
    <row r="43" spans="1:2" x14ac:dyDescent="0.15">
      <c r="A43" s="2">
        <v>-1.50000000000001</v>
      </c>
      <c r="B43" s="2">
        <v>-3.8750000000000577</v>
      </c>
    </row>
    <row r="44" spans="1:2" x14ac:dyDescent="0.15">
      <c r="A44" s="2">
        <v>-1.4000000000000099</v>
      </c>
      <c r="B44" s="2">
        <v>-3.3440000000000483</v>
      </c>
    </row>
    <row r="45" spans="1:2" x14ac:dyDescent="0.15">
      <c r="A45" s="2">
        <v>-1.30000000000001</v>
      </c>
      <c r="B45" s="2">
        <v>-2.8970000000000411</v>
      </c>
    </row>
    <row r="46" spans="1:2" x14ac:dyDescent="0.15">
      <c r="A46" s="2">
        <v>-1.2000000000000099</v>
      </c>
      <c r="B46" s="2">
        <v>-2.5280000000000333</v>
      </c>
    </row>
    <row r="47" spans="1:2" x14ac:dyDescent="0.15">
      <c r="A47" s="2">
        <v>-1.1000000000000101</v>
      </c>
      <c r="B47" s="2">
        <v>-2.2310000000000265</v>
      </c>
    </row>
    <row r="48" spans="1:2" x14ac:dyDescent="0.15">
      <c r="A48" s="2">
        <v>-1.00000000000001</v>
      </c>
      <c r="B48" s="2">
        <v>-2.00000000000002</v>
      </c>
    </row>
    <row r="49" spans="1:2" x14ac:dyDescent="0.15">
      <c r="A49" s="2">
        <v>-0.90000000000001001</v>
      </c>
      <c r="B49" s="2">
        <v>-1.8290000000000144</v>
      </c>
    </row>
    <row r="50" spans="1:2" x14ac:dyDescent="0.15">
      <c r="A50" s="2">
        <v>-0.80000000000001004</v>
      </c>
      <c r="B50" s="2">
        <v>-1.7120000000000093</v>
      </c>
    </row>
    <row r="51" spans="1:2" x14ac:dyDescent="0.15">
      <c r="A51" s="2">
        <v>-0.70000000000002005</v>
      </c>
      <c r="B51" s="2">
        <v>-1.6430000000000096</v>
      </c>
    </row>
    <row r="52" spans="1:2" x14ac:dyDescent="0.15">
      <c r="A52" s="2">
        <v>-0.60000000000001996</v>
      </c>
      <c r="B52" s="2">
        <v>-1.6160000000000017</v>
      </c>
    </row>
    <row r="53" spans="1:2" x14ac:dyDescent="0.15">
      <c r="A53" s="2">
        <v>-0.50000000000001998</v>
      </c>
      <c r="B53" s="2">
        <v>-1.6249999999999951</v>
      </c>
    </row>
    <row r="54" spans="1:2" x14ac:dyDescent="0.15">
      <c r="A54" s="2">
        <v>-0.40000000000002001</v>
      </c>
      <c r="B54" s="2">
        <v>-1.6639999999999895</v>
      </c>
    </row>
    <row r="55" spans="1:2" x14ac:dyDescent="0.15">
      <c r="A55" s="2">
        <v>-0.30000000000001997</v>
      </c>
      <c r="B55" s="2">
        <v>-1.7269999999999854</v>
      </c>
    </row>
    <row r="56" spans="1:2" x14ac:dyDescent="0.15">
      <c r="A56" s="2">
        <v>-0.20000000000002</v>
      </c>
      <c r="B56" s="2">
        <v>-1.8079999999999825</v>
      </c>
    </row>
    <row r="57" spans="1:2" x14ac:dyDescent="0.15">
      <c r="A57" s="2">
        <v>-0.10000000000002</v>
      </c>
      <c r="B57" s="2">
        <v>-1.9009999999999807</v>
      </c>
    </row>
    <row r="58" spans="1:2" x14ac:dyDescent="0.15">
      <c r="A58" s="2">
        <v>-2.0428103653102899E-14</v>
      </c>
      <c r="B58" s="2">
        <v>-1.9999999999999796</v>
      </c>
    </row>
    <row r="59" spans="1:2" x14ac:dyDescent="0.15">
      <c r="A59" s="2">
        <v>9.9999999999980105E-2</v>
      </c>
      <c r="B59" s="2">
        <v>-2.0989999999999807</v>
      </c>
    </row>
    <row r="60" spans="1:2" x14ac:dyDescent="0.15">
      <c r="A60" s="2">
        <v>0.19999999999998</v>
      </c>
      <c r="B60" s="2">
        <v>-2.1919999999999824</v>
      </c>
    </row>
    <row r="61" spans="1:2" x14ac:dyDescent="0.15">
      <c r="A61" s="2">
        <v>0.29999999999998</v>
      </c>
      <c r="B61" s="2">
        <v>-2.2729999999999855</v>
      </c>
    </row>
    <row r="62" spans="1:2" x14ac:dyDescent="0.15">
      <c r="A62" s="2">
        <v>0.39999999999997998</v>
      </c>
      <c r="B62" s="2">
        <v>-2.3359999999999896</v>
      </c>
    </row>
    <row r="63" spans="1:2" x14ac:dyDescent="0.15">
      <c r="A63" s="2">
        <v>0.49999999999998002</v>
      </c>
      <c r="B63" s="2">
        <v>-2.3749999999999951</v>
      </c>
    </row>
    <row r="64" spans="1:2" x14ac:dyDescent="0.15">
      <c r="A64" s="2">
        <v>0.59999999999997999</v>
      </c>
      <c r="B64" s="2">
        <v>-2.3840000000000017</v>
      </c>
    </row>
    <row r="65" spans="1:2" x14ac:dyDescent="0.15">
      <c r="A65" s="2">
        <v>0.69999999999997997</v>
      </c>
      <c r="B65" s="2">
        <v>-2.3570000000000095</v>
      </c>
    </row>
    <row r="66" spans="1:2" x14ac:dyDescent="0.15">
      <c r="A66" s="2">
        <v>0.79999999999997995</v>
      </c>
      <c r="B66" s="2">
        <v>-2.2880000000000185</v>
      </c>
    </row>
    <row r="67" spans="1:2" x14ac:dyDescent="0.15">
      <c r="A67" s="2">
        <v>0.89999999999998004</v>
      </c>
      <c r="B67" s="2">
        <v>-2.1710000000000287</v>
      </c>
    </row>
    <row r="68" spans="1:2" x14ac:dyDescent="0.15">
      <c r="A68" s="2">
        <v>0.99999999999998002</v>
      </c>
      <c r="B68" s="2">
        <v>-2.00000000000004</v>
      </c>
    </row>
    <row r="69" spans="1:2" x14ac:dyDescent="0.15">
      <c r="A69" s="2">
        <v>1.0999999999999801</v>
      </c>
      <c r="B69" s="2">
        <v>-1.7690000000000523</v>
      </c>
    </row>
    <row r="70" spans="1:2" x14ac:dyDescent="0.15">
      <c r="A70" s="2">
        <v>1.19999999999998</v>
      </c>
      <c r="B70" s="2">
        <v>-1.4720000000000664</v>
      </c>
    </row>
    <row r="71" spans="1:2" x14ac:dyDescent="0.15">
      <c r="A71" s="2">
        <v>1.2999999999999801</v>
      </c>
      <c r="B71" s="2">
        <v>-1.1030000000000812</v>
      </c>
    </row>
    <row r="72" spans="1:2" x14ac:dyDescent="0.15">
      <c r="A72" s="2">
        <v>1.3999999999999799</v>
      </c>
      <c r="B72" s="2">
        <v>-0.65600000000009784</v>
      </c>
    </row>
    <row r="73" spans="1:2" x14ac:dyDescent="0.15">
      <c r="A73" s="2">
        <v>1.49999999999998</v>
      </c>
      <c r="B73" s="2">
        <v>-0.12500000000011502</v>
      </c>
    </row>
    <row r="74" spans="1:2" x14ac:dyDescent="0.15">
      <c r="A74" s="2">
        <v>1.5999999999999801</v>
      </c>
      <c r="B74" s="2">
        <v>0.49599999999986721</v>
      </c>
    </row>
    <row r="75" spans="1:2" x14ac:dyDescent="0.15">
      <c r="A75" s="2">
        <v>1.69999999999998</v>
      </c>
      <c r="B75" s="2">
        <v>1.2129999999998464</v>
      </c>
    </row>
    <row r="76" spans="1:2" x14ac:dyDescent="0.15">
      <c r="A76" s="2">
        <v>1.7999999999999801</v>
      </c>
      <c r="B76" s="2">
        <v>2.0319999999998259</v>
      </c>
    </row>
    <row r="77" spans="1:2" x14ac:dyDescent="0.15">
      <c r="A77" s="2">
        <v>1.8999999999999799</v>
      </c>
      <c r="B77" s="2">
        <v>2.9589999999998033</v>
      </c>
    </row>
    <row r="78" spans="1:2" x14ac:dyDescent="0.15">
      <c r="A78" s="2">
        <v>1.99999999999998</v>
      </c>
      <c r="B78" s="2">
        <v>3.9999999999997797</v>
      </c>
    </row>
    <row r="79" spans="1:2" x14ac:dyDescent="0.15">
      <c r="A79" s="2">
        <v>2.0999999999999699</v>
      </c>
      <c r="B79" s="2">
        <v>5.1609999999996319</v>
      </c>
    </row>
    <row r="80" spans="1:2" x14ac:dyDescent="0.15">
      <c r="A80" s="2">
        <v>2.19999999999997</v>
      </c>
      <c r="B80" s="2">
        <v>6.4479999999995918</v>
      </c>
    </row>
    <row r="81" spans="1:2" x14ac:dyDescent="0.15">
      <c r="A81" s="2">
        <v>2.2999999999999701</v>
      </c>
      <c r="B81" s="2">
        <v>7.866999999999555</v>
      </c>
    </row>
    <row r="82" spans="1:2" x14ac:dyDescent="0.15">
      <c r="A82" s="2">
        <v>2.3999999999999702</v>
      </c>
      <c r="B82" s="2">
        <v>9.4239999999995145</v>
      </c>
    </row>
    <row r="83" spans="1:2" x14ac:dyDescent="0.15">
      <c r="A83" s="2">
        <v>2.4999999999999698</v>
      </c>
      <c r="B83" s="2">
        <v>11.124999999999464</v>
      </c>
    </row>
    <row r="84" spans="1:2" x14ac:dyDescent="0.15">
      <c r="A84" s="2">
        <v>2.5999999999999699</v>
      </c>
      <c r="B84" s="2">
        <v>12.97599999999942</v>
      </c>
    </row>
    <row r="85" spans="1:2" x14ac:dyDescent="0.15">
      <c r="A85" s="2">
        <v>2.69999999999997</v>
      </c>
      <c r="B85" s="2">
        <v>14.982999999999372</v>
      </c>
    </row>
    <row r="86" spans="1:2" x14ac:dyDescent="0.15">
      <c r="A86" s="2">
        <v>2.7999999999999701</v>
      </c>
      <c r="B86" s="2">
        <v>17.151999999999326</v>
      </c>
    </row>
    <row r="87" spans="1:2" x14ac:dyDescent="0.15">
      <c r="A87" s="2">
        <v>2.8999999999999702</v>
      </c>
      <c r="B87" s="2">
        <v>19.488999999999276</v>
      </c>
    </row>
    <row r="88" spans="1:2" x14ac:dyDescent="0.15">
      <c r="A88" s="2">
        <v>2.9999999999999698</v>
      </c>
      <c r="B88" s="2">
        <v>21.999999999999211</v>
      </c>
    </row>
    <row r="89" spans="1:2" x14ac:dyDescent="0.15">
      <c r="A89" s="2">
        <v>3.0999999999999699</v>
      </c>
      <c r="B89" s="2">
        <v>24.690999999999161</v>
      </c>
    </row>
    <row r="90" spans="1:2" x14ac:dyDescent="0.15">
      <c r="A90" s="2">
        <v>3.19999999999997</v>
      </c>
      <c r="B90" s="2">
        <v>27.567999999999106</v>
      </c>
    </row>
    <row r="91" spans="1:2" x14ac:dyDescent="0.15">
      <c r="A91" s="2">
        <v>3.2999999999999701</v>
      </c>
      <c r="B91" s="2">
        <v>30.636999999999048</v>
      </c>
    </row>
    <row r="92" spans="1:2" x14ac:dyDescent="0.15">
      <c r="A92" s="2">
        <v>3.3999999999999702</v>
      </c>
      <c r="B92" s="2">
        <v>33.903999999998994</v>
      </c>
    </row>
    <row r="93" spans="1:2" x14ac:dyDescent="0.15">
      <c r="A93" s="2">
        <v>3.4999999999999698</v>
      </c>
      <c r="B93" s="2">
        <v>37.37499999999892</v>
      </c>
    </row>
    <row r="94" spans="1:2" x14ac:dyDescent="0.15">
      <c r="A94" s="2">
        <v>3.5999999999999699</v>
      </c>
      <c r="B94" s="2">
        <v>41.055999999998853</v>
      </c>
    </row>
    <row r="95" spans="1:2" x14ac:dyDescent="0.15">
      <c r="A95" s="2">
        <v>3.69999999999997</v>
      </c>
      <c r="B95" s="2">
        <v>44.952999999998795</v>
      </c>
    </row>
    <row r="96" spans="1:2" x14ac:dyDescent="0.15">
      <c r="A96" s="2">
        <v>3.7999999999999701</v>
      </c>
      <c r="B96" s="2">
        <v>49.071999999998731</v>
      </c>
    </row>
    <row r="97" spans="1:2" x14ac:dyDescent="0.15">
      <c r="A97" s="2">
        <v>3.8999999999999702</v>
      </c>
      <c r="B97" s="2">
        <v>53.418999999998668</v>
      </c>
    </row>
    <row r="98" spans="1:2" x14ac:dyDescent="0.15">
      <c r="A98" s="2">
        <v>3.9999999999999698</v>
      </c>
      <c r="B98" s="2">
        <v>57.999999999998579</v>
      </c>
    </row>
    <row r="99" spans="1:2" x14ac:dyDescent="0.15">
      <c r="A99" s="2">
        <v>4.0999999999999703</v>
      </c>
      <c r="B99" s="2">
        <v>62.820999999998534</v>
      </c>
    </row>
    <row r="100" spans="1:2" x14ac:dyDescent="0.15">
      <c r="A100" s="2">
        <v>4.19999999999997</v>
      </c>
      <c r="B100" s="2">
        <v>67.887999999998442</v>
      </c>
    </row>
    <row r="101" spans="1:2" x14ac:dyDescent="0.15">
      <c r="A101" s="2">
        <v>4.2999999999999696</v>
      </c>
      <c r="B101" s="2">
        <v>73.206999999998345</v>
      </c>
    </row>
    <row r="102" spans="1:2" x14ac:dyDescent="0.15">
      <c r="A102" s="2">
        <v>4.3999999999999702</v>
      </c>
      <c r="B102" s="2">
        <v>78.783999999998287</v>
      </c>
    </row>
    <row r="103" spans="1:2" x14ac:dyDescent="0.15">
      <c r="A103" s="2">
        <v>4.4999999999999698</v>
      </c>
      <c r="B103" s="2">
        <v>84.624999999998195</v>
      </c>
    </row>
    <row r="104" spans="1:2" x14ac:dyDescent="0.15">
      <c r="A104" s="2">
        <v>4.5999999999999703</v>
      </c>
      <c r="B104" s="2">
        <v>90.735999999998143</v>
      </c>
    </row>
    <row r="105" spans="1:2" x14ac:dyDescent="0.15">
      <c r="A105" s="2">
        <v>4.69999999999997</v>
      </c>
      <c r="B105" s="2">
        <v>97.122999999998044</v>
      </c>
    </row>
    <row r="106" spans="1:2" x14ac:dyDescent="0.15">
      <c r="A106" s="2">
        <v>4.7999999999999696</v>
      </c>
      <c r="B106" s="2">
        <v>103.79199999999793</v>
      </c>
    </row>
    <row r="107" spans="1:2" x14ac:dyDescent="0.15">
      <c r="A107" s="2">
        <v>4.8999999999999604</v>
      </c>
      <c r="B107" s="2">
        <v>110.74899999999718</v>
      </c>
    </row>
  </sheetData>
  <phoneticPr fontId="1"/>
  <conditionalFormatting sqref="N9:N108">
    <cfRule type="cellIs" dxfId="1" priority="1" operator="greaterThanOrEqual">
      <formula>$B$5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9C4CC-0D3F-41B4-806D-E35DD61271AC}">
  <dimension ref="A1:J107"/>
  <sheetViews>
    <sheetView topLeftCell="B1" zoomScale="115" zoomScaleNormal="115" workbookViewId="0">
      <selection activeCell="H21" sqref="H21"/>
    </sheetView>
  </sheetViews>
  <sheetFormatPr defaultRowHeight="16.5" x14ac:dyDescent="0.15"/>
  <cols>
    <col min="1" max="1" width="13.875" style="2" bestFit="1" customWidth="1"/>
    <col min="2" max="2" width="11.25" style="2" bestFit="1" customWidth="1"/>
    <col min="3" max="16384" width="9" style="2"/>
  </cols>
  <sheetData>
    <row r="1" spans="1:10" ht="17.25" thickBot="1" x14ac:dyDescent="0.2">
      <c r="A1" s="7" t="s">
        <v>0</v>
      </c>
      <c r="B1" s="4" t="s">
        <v>15</v>
      </c>
    </row>
    <row r="2" spans="1:10" ht="17.25" thickBot="1" x14ac:dyDescent="0.2">
      <c r="A2" s="7" t="s">
        <v>18</v>
      </c>
      <c r="B2" s="4" t="s">
        <v>19</v>
      </c>
    </row>
    <row r="3" spans="1:10" ht="17.25" thickBot="1" x14ac:dyDescent="0.2">
      <c r="A3" s="7" t="s">
        <v>33</v>
      </c>
      <c r="B3" s="4" t="s">
        <v>34</v>
      </c>
    </row>
    <row r="4" spans="1:10" ht="17.25" thickBot="1" x14ac:dyDescent="0.2">
      <c r="A4" s="7" t="s">
        <v>22</v>
      </c>
      <c r="B4" s="13">
        <v>1</v>
      </c>
    </row>
    <row r="5" spans="1:10" ht="17.25" thickBot="1" x14ac:dyDescent="0.2">
      <c r="A5" s="6" t="s">
        <v>3</v>
      </c>
      <c r="B5" s="14">
        <v>9.9999999999999995E-7</v>
      </c>
    </row>
    <row r="6" spans="1:10" ht="17.25" thickBot="1" x14ac:dyDescent="0.2"/>
    <row r="7" spans="1:10" ht="17.25" thickBot="1" x14ac:dyDescent="0.2">
      <c r="A7" s="1" t="s">
        <v>5</v>
      </c>
      <c r="B7" s="1" t="s">
        <v>6</v>
      </c>
      <c r="D7" s="8" t="s">
        <v>11</v>
      </c>
      <c r="E7" s="9" t="s">
        <v>24</v>
      </c>
      <c r="F7" s="11" t="s">
        <v>6</v>
      </c>
      <c r="G7" s="9" t="s">
        <v>20</v>
      </c>
      <c r="H7" s="9" t="s">
        <v>35</v>
      </c>
      <c r="I7" s="9" t="s">
        <v>21</v>
      </c>
      <c r="J7" s="12" t="s">
        <v>10</v>
      </c>
    </row>
    <row r="8" spans="1:10" x14ac:dyDescent="0.15">
      <c r="A8" s="2">
        <v>-5</v>
      </c>
      <c r="B8" s="2">
        <v>-122</v>
      </c>
      <c r="D8" s="24">
        <v>1</v>
      </c>
      <c r="E8" s="25">
        <f>B4</f>
        <v>1</v>
      </c>
      <c r="F8" s="26" cm="1">
        <f t="array" ref="F8">Function(E8)</f>
        <v>-2</v>
      </c>
      <c r="G8" s="25" cm="1">
        <f t="array" ref="G8">Derivative(E8)</f>
        <v>2</v>
      </c>
      <c r="H8" s="26" cm="1">
        <f t="array" ref="H8">Derivative_2(E8)</f>
        <v>6</v>
      </c>
      <c r="I8" s="25">
        <f>(E8)-((2*F8*G8)/((2*G8^2)-(F8*H8)))</f>
        <v>1.4</v>
      </c>
      <c r="J8" s="29">
        <f>ABS(I8-E8)</f>
        <v>0.39999999999999991</v>
      </c>
    </row>
    <row r="9" spans="1:10" x14ac:dyDescent="0.15">
      <c r="A9" s="2">
        <v>-4.9000000000000004</v>
      </c>
      <c r="B9" s="2">
        <v>-114.74900000000002</v>
      </c>
      <c r="D9" s="18">
        <v>2</v>
      </c>
      <c r="E9" s="19">
        <f>I8</f>
        <v>1.4</v>
      </c>
      <c r="F9" s="20" cm="1">
        <f t="array" ref="F9">Function(E9)</f>
        <v>-0.65600000000000058</v>
      </c>
      <c r="G9" s="19" cm="1">
        <f t="array" ref="G9">Derivative(E9)</f>
        <v>4.879999999999999</v>
      </c>
      <c r="H9" s="20" cm="1">
        <f t="array" ref="H9">Derivative_2(E9)</f>
        <v>8.3999999999999986</v>
      </c>
      <c r="I9" s="19">
        <f>(E9)-((2*F9*G9)/((2*G9^2)-(F9*H9)))</f>
        <v>1.5204865711188726</v>
      </c>
      <c r="J9" s="30">
        <f>ABS(I9-E9)</f>
        <v>0.12048657111887273</v>
      </c>
    </row>
    <row r="10" spans="1:10" x14ac:dyDescent="0.15">
      <c r="A10" s="2">
        <v>-4.8</v>
      </c>
      <c r="B10" s="2">
        <v>-107.792</v>
      </c>
      <c r="D10" s="18">
        <v>3</v>
      </c>
      <c r="E10" s="19">
        <f t="shared" ref="E10" si="0">I9</f>
        <v>1.5204865711188726</v>
      </c>
      <c r="F10" s="20" cm="1">
        <f t="array" ref="F10">Function(E10)</f>
        <v>-5.3049696779172706E-3</v>
      </c>
      <c r="G10" s="19" cm="1">
        <f t="array" ref="G10">Derivative(E10)</f>
        <v>5.9356382388584787</v>
      </c>
      <c r="H10" s="20" cm="1">
        <f t="array" ref="H10">Derivative_2(E10)</f>
        <v>9.122919426713235</v>
      </c>
      <c r="I10" s="19">
        <f t="shared" ref="I10" si="1">(E10)-((2*F10*G10)/((2*G10^2)-(F10*H10)))</f>
        <v>1.5213797065039694</v>
      </c>
      <c r="J10" s="30">
        <f t="shared" ref="J10" si="2">ABS(I10-E10)</f>
        <v>8.9313538509672163E-4</v>
      </c>
    </row>
    <row r="11" spans="1:10" x14ac:dyDescent="0.15">
      <c r="A11" s="2">
        <v>-4.7</v>
      </c>
      <c r="B11" s="2">
        <v>-101.12300000000002</v>
      </c>
      <c r="D11" s="18">
        <v>4</v>
      </c>
      <c r="E11" s="19">
        <f t="shared" ref="E11" si="3">I10</f>
        <v>1.5213797065039694</v>
      </c>
      <c r="F11" s="20" cm="1">
        <f t="array" ref="F11">Function(E11)</f>
        <v>-1.786691905536486E-9</v>
      </c>
      <c r="G11" s="19" cm="1">
        <f t="array" ref="G11">Derivative(E11)</f>
        <v>5.943788634086312</v>
      </c>
      <c r="H11" s="20" cm="1">
        <f t="array" ref="H11">Derivative_2(E11)</f>
        <v>9.1282782390238157</v>
      </c>
      <c r="I11" s="19">
        <f t="shared" ref="I11" si="4">(E11)-((2*F11*G11)/((2*G11^2)-(F11*H11)))</f>
        <v>1.5213797068045676</v>
      </c>
      <c r="J11" s="30">
        <f t="shared" ref="J11" si="5">ABS(I11-E11)</f>
        <v>3.0059821298777933E-10</v>
      </c>
    </row>
    <row r="12" spans="1:10" ht="17.25" thickBot="1" x14ac:dyDescent="0.2">
      <c r="A12" s="2">
        <v>-4.5999999999999996</v>
      </c>
      <c r="B12" s="2">
        <v>-94.735999999999976</v>
      </c>
      <c r="D12" s="21">
        <v>5</v>
      </c>
      <c r="E12" s="22">
        <f t="shared" ref="E12" si="6">I11</f>
        <v>1.5213797068045676</v>
      </c>
      <c r="F12" s="23" cm="1">
        <f t="array" ref="F12">Function(E12)</f>
        <v>0</v>
      </c>
      <c r="G12" s="22" cm="1">
        <f t="array" ref="G12">Derivative(E12)</f>
        <v>5.9437886368302557</v>
      </c>
      <c r="H12" s="23" cm="1">
        <f t="array" ref="H12">Derivative_2(E12)</f>
        <v>9.1282782408274059</v>
      </c>
      <c r="I12" s="22">
        <f t="shared" ref="I12" si="7">(E12)-((2*F12*G12)/((2*G12^2)-(F12*H12)))</f>
        <v>1.5213797068045676</v>
      </c>
      <c r="J12" s="31">
        <f t="shared" ref="J12" si="8">ABS(I12-E12)</f>
        <v>0</v>
      </c>
    </row>
    <row r="13" spans="1:10" x14ac:dyDescent="0.15">
      <c r="A13" s="2">
        <v>-4.5</v>
      </c>
      <c r="B13" s="2">
        <v>-88.625</v>
      </c>
    </row>
    <row r="14" spans="1:10" x14ac:dyDescent="0.15">
      <c r="A14" s="2">
        <v>-4.4000000000000004</v>
      </c>
      <c r="B14" s="2">
        <v>-82.78400000000002</v>
      </c>
    </row>
    <row r="15" spans="1:10" x14ac:dyDescent="0.15">
      <c r="A15" s="2">
        <v>-4.3</v>
      </c>
      <c r="B15" s="2">
        <v>-77.206999999999994</v>
      </c>
    </row>
    <row r="16" spans="1:10" x14ac:dyDescent="0.15">
      <c r="A16" s="2">
        <v>-4.2</v>
      </c>
      <c r="B16" s="2">
        <v>-71.888000000000005</v>
      </c>
    </row>
    <row r="17" spans="1:2" x14ac:dyDescent="0.15">
      <c r="A17" s="2">
        <v>-4.0999999999999996</v>
      </c>
      <c r="B17" s="2">
        <v>-66.820999999999998</v>
      </c>
    </row>
    <row r="18" spans="1:2" x14ac:dyDescent="0.15">
      <c r="A18" s="2">
        <v>-4</v>
      </c>
      <c r="B18" s="2">
        <v>-62</v>
      </c>
    </row>
    <row r="19" spans="1:2" x14ac:dyDescent="0.15">
      <c r="A19" s="2">
        <v>-3.9</v>
      </c>
      <c r="B19" s="2">
        <v>-57.418999999999997</v>
      </c>
    </row>
    <row r="20" spans="1:2" x14ac:dyDescent="0.15">
      <c r="A20" s="2">
        <v>-3.8</v>
      </c>
      <c r="B20" s="2">
        <v>-53.071999999999996</v>
      </c>
    </row>
    <row r="21" spans="1:2" x14ac:dyDescent="0.15">
      <c r="A21" s="2">
        <v>-3.7</v>
      </c>
      <c r="B21" s="2">
        <v>-48.953000000000003</v>
      </c>
    </row>
    <row r="22" spans="1:2" x14ac:dyDescent="0.15">
      <c r="A22" s="2">
        <v>-3.6</v>
      </c>
      <c r="B22" s="2">
        <v>-45.056000000000004</v>
      </c>
    </row>
    <row r="23" spans="1:2" x14ac:dyDescent="0.15">
      <c r="A23" s="2">
        <v>-3.5000000000000102</v>
      </c>
      <c r="B23" s="2">
        <v>-41.375000000000369</v>
      </c>
    </row>
    <row r="24" spans="1:2" x14ac:dyDescent="0.15">
      <c r="A24" s="2">
        <v>-3.4000000000000101</v>
      </c>
      <c r="B24" s="2">
        <v>-37.904000000000337</v>
      </c>
    </row>
    <row r="25" spans="1:2" x14ac:dyDescent="0.15">
      <c r="A25" s="2">
        <v>-3.30000000000001</v>
      </c>
      <c r="B25" s="2">
        <v>-34.63700000000032</v>
      </c>
    </row>
    <row r="26" spans="1:2" x14ac:dyDescent="0.15">
      <c r="A26" s="2">
        <v>-3.2000000000000099</v>
      </c>
      <c r="B26" s="2">
        <v>-31.568000000000296</v>
      </c>
    </row>
    <row r="27" spans="1:2" x14ac:dyDescent="0.15">
      <c r="A27" s="2">
        <v>-3.1000000000000099</v>
      </c>
      <c r="B27" s="2">
        <v>-28.691000000000276</v>
      </c>
    </row>
    <row r="28" spans="1:2" x14ac:dyDescent="0.15">
      <c r="A28" s="2">
        <v>-3.0000000000000102</v>
      </c>
      <c r="B28" s="2">
        <v>-26.000000000000263</v>
      </c>
    </row>
    <row r="29" spans="1:2" x14ac:dyDescent="0.15">
      <c r="A29" s="2">
        <v>-2.9000000000000101</v>
      </c>
      <c r="B29" s="2">
        <v>-23.489000000000246</v>
      </c>
    </row>
    <row r="30" spans="1:2" x14ac:dyDescent="0.15">
      <c r="A30" s="2">
        <v>-2.80000000000001</v>
      </c>
      <c r="B30" s="2">
        <v>-21.152000000000225</v>
      </c>
    </row>
    <row r="31" spans="1:2" x14ac:dyDescent="0.15">
      <c r="A31" s="2">
        <v>-2.7000000000000099</v>
      </c>
      <c r="B31" s="2">
        <v>-18.983000000000207</v>
      </c>
    </row>
    <row r="32" spans="1:2" x14ac:dyDescent="0.15">
      <c r="A32" s="2">
        <v>-2.6000000000000099</v>
      </c>
      <c r="B32" s="2">
        <v>-16.976000000000191</v>
      </c>
    </row>
    <row r="33" spans="1:2" x14ac:dyDescent="0.15">
      <c r="A33" s="2">
        <v>-2.5000000000000102</v>
      </c>
      <c r="B33" s="2">
        <v>-15.125000000000181</v>
      </c>
    </row>
    <row r="34" spans="1:2" x14ac:dyDescent="0.15">
      <c r="A34" s="2">
        <v>-2.4000000000000101</v>
      </c>
      <c r="B34" s="2">
        <v>-13.424000000000166</v>
      </c>
    </row>
    <row r="35" spans="1:2" x14ac:dyDescent="0.15">
      <c r="A35" s="2">
        <v>-2.30000000000001</v>
      </c>
      <c r="B35" s="2">
        <v>-11.86700000000015</v>
      </c>
    </row>
    <row r="36" spans="1:2" x14ac:dyDescent="0.15">
      <c r="A36" s="2">
        <v>-2.2000000000000099</v>
      </c>
      <c r="B36" s="2">
        <v>-10.448000000000134</v>
      </c>
    </row>
    <row r="37" spans="1:2" x14ac:dyDescent="0.15">
      <c r="A37" s="2">
        <v>-2.1000000000000099</v>
      </c>
      <c r="B37" s="2">
        <v>-9.1610000000001186</v>
      </c>
    </row>
    <row r="38" spans="1:2" x14ac:dyDescent="0.15">
      <c r="A38" s="2">
        <v>-2.0000000000000102</v>
      </c>
      <c r="B38" s="2">
        <v>-8.0000000000001119</v>
      </c>
    </row>
    <row r="39" spans="1:2" x14ac:dyDescent="0.15">
      <c r="A39" s="2">
        <v>-1.9000000000000099</v>
      </c>
      <c r="B39" s="2">
        <v>-6.9590000000000973</v>
      </c>
    </row>
    <row r="40" spans="1:2" x14ac:dyDescent="0.15">
      <c r="A40" s="2">
        <v>-1.80000000000001</v>
      </c>
      <c r="B40" s="2">
        <v>-6.0320000000000871</v>
      </c>
    </row>
    <row r="41" spans="1:2" x14ac:dyDescent="0.15">
      <c r="A41" s="2">
        <v>-1.7000000000000099</v>
      </c>
      <c r="B41" s="2">
        <v>-5.2130000000000765</v>
      </c>
    </row>
    <row r="42" spans="1:2" x14ac:dyDescent="0.15">
      <c r="A42" s="2">
        <v>-1.6000000000000101</v>
      </c>
      <c r="B42" s="2">
        <v>-4.4960000000000671</v>
      </c>
    </row>
    <row r="43" spans="1:2" x14ac:dyDescent="0.15">
      <c r="A43" s="2">
        <v>-1.50000000000001</v>
      </c>
      <c r="B43" s="2">
        <v>-3.8750000000000577</v>
      </c>
    </row>
    <row r="44" spans="1:2" x14ac:dyDescent="0.15">
      <c r="A44" s="2">
        <v>-1.4000000000000099</v>
      </c>
      <c r="B44" s="2">
        <v>-3.3440000000000483</v>
      </c>
    </row>
    <row r="45" spans="1:2" x14ac:dyDescent="0.15">
      <c r="A45" s="2">
        <v>-1.30000000000001</v>
      </c>
      <c r="B45" s="2">
        <v>-2.8970000000000411</v>
      </c>
    </row>
    <row r="46" spans="1:2" x14ac:dyDescent="0.15">
      <c r="A46" s="2">
        <v>-1.2000000000000099</v>
      </c>
      <c r="B46" s="2">
        <v>-2.5280000000000333</v>
      </c>
    </row>
    <row r="47" spans="1:2" x14ac:dyDescent="0.15">
      <c r="A47" s="2">
        <v>-1.1000000000000101</v>
      </c>
      <c r="B47" s="2">
        <v>-2.2310000000000265</v>
      </c>
    </row>
    <row r="48" spans="1:2" x14ac:dyDescent="0.15">
      <c r="A48" s="2">
        <v>-1.00000000000001</v>
      </c>
      <c r="B48" s="2">
        <v>-2.00000000000002</v>
      </c>
    </row>
    <row r="49" spans="1:2" x14ac:dyDescent="0.15">
      <c r="A49" s="2">
        <v>-0.90000000000001001</v>
      </c>
      <c r="B49" s="2">
        <v>-1.8290000000000144</v>
      </c>
    </row>
    <row r="50" spans="1:2" x14ac:dyDescent="0.15">
      <c r="A50" s="2">
        <v>-0.80000000000001004</v>
      </c>
      <c r="B50" s="2">
        <v>-1.7120000000000093</v>
      </c>
    </row>
    <row r="51" spans="1:2" x14ac:dyDescent="0.15">
      <c r="A51" s="2">
        <v>-0.70000000000002005</v>
      </c>
      <c r="B51" s="2">
        <v>-1.6430000000000096</v>
      </c>
    </row>
    <row r="52" spans="1:2" x14ac:dyDescent="0.15">
      <c r="A52" s="2">
        <v>-0.60000000000001996</v>
      </c>
      <c r="B52" s="2">
        <v>-1.6160000000000017</v>
      </c>
    </row>
    <row r="53" spans="1:2" x14ac:dyDescent="0.15">
      <c r="A53" s="2">
        <v>-0.50000000000001998</v>
      </c>
      <c r="B53" s="2">
        <v>-1.6249999999999951</v>
      </c>
    </row>
    <row r="54" spans="1:2" x14ac:dyDescent="0.15">
      <c r="A54" s="2">
        <v>-0.40000000000002001</v>
      </c>
      <c r="B54" s="2">
        <v>-1.6639999999999895</v>
      </c>
    </row>
    <row r="55" spans="1:2" x14ac:dyDescent="0.15">
      <c r="A55" s="2">
        <v>-0.30000000000001997</v>
      </c>
      <c r="B55" s="2">
        <v>-1.7269999999999854</v>
      </c>
    </row>
    <row r="56" spans="1:2" x14ac:dyDescent="0.15">
      <c r="A56" s="2">
        <v>-0.20000000000002</v>
      </c>
      <c r="B56" s="2">
        <v>-1.8079999999999825</v>
      </c>
    </row>
    <row r="57" spans="1:2" x14ac:dyDescent="0.15">
      <c r="A57" s="2">
        <v>-0.10000000000002</v>
      </c>
      <c r="B57" s="2">
        <v>-1.9009999999999807</v>
      </c>
    </row>
    <row r="58" spans="1:2" x14ac:dyDescent="0.15">
      <c r="A58" s="2">
        <v>-2.0428103653102899E-14</v>
      </c>
      <c r="B58" s="2">
        <v>-1.9999999999999796</v>
      </c>
    </row>
    <row r="59" spans="1:2" x14ac:dyDescent="0.15">
      <c r="A59" s="2">
        <v>9.9999999999980105E-2</v>
      </c>
      <c r="B59" s="2">
        <v>-2.0989999999999807</v>
      </c>
    </row>
    <row r="60" spans="1:2" x14ac:dyDescent="0.15">
      <c r="A60" s="2">
        <v>0.19999999999998</v>
      </c>
      <c r="B60" s="2">
        <v>-2.1919999999999824</v>
      </c>
    </row>
    <row r="61" spans="1:2" x14ac:dyDescent="0.15">
      <c r="A61" s="2">
        <v>0.29999999999998</v>
      </c>
      <c r="B61" s="2">
        <v>-2.2729999999999855</v>
      </c>
    </row>
    <row r="62" spans="1:2" x14ac:dyDescent="0.15">
      <c r="A62" s="2">
        <v>0.39999999999997998</v>
      </c>
      <c r="B62" s="2">
        <v>-2.3359999999999896</v>
      </c>
    </row>
    <row r="63" spans="1:2" x14ac:dyDescent="0.15">
      <c r="A63" s="2">
        <v>0.49999999999998002</v>
      </c>
      <c r="B63" s="2">
        <v>-2.3749999999999951</v>
      </c>
    </row>
    <row r="64" spans="1:2" x14ac:dyDescent="0.15">
      <c r="A64" s="2">
        <v>0.59999999999997999</v>
      </c>
      <c r="B64" s="2">
        <v>-2.3840000000000017</v>
      </c>
    </row>
    <row r="65" spans="1:2" x14ac:dyDescent="0.15">
      <c r="A65" s="2">
        <v>0.69999999999997997</v>
      </c>
      <c r="B65" s="2">
        <v>-2.3570000000000095</v>
      </c>
    </row>
    <row r="66" spans="1:2" x14ac:dyDescent="0.15">
      <c r="A66" s="2">
        <v>0.79999999999997995</v>
      </c>
      <c r="B66" s="2">
        <v>-2.2880000000000185</v>
      </c>
    </row>
    <row r="67" spans="1:2" x14ac:dyDescent="0.15">
      <c r="A67" s="2">
        <v>0.89999999999998004</v>
      </c>
      <c r="B67" s="2">
        <v>-2.1710000000000287</v>
      </c>
    </row>
    <row r="68" spans="1:2" x14ac:dyDescent="0.15">
      <c r="A68" s="2">
        <v>0.99999999999998002</v>
      </c>
      <c r="B68" s="2">
        <v>-2.00000000000004</v>
      </c>
    </row>
    <row r="69" spans="1:2" x14ac:dyDescent="0.15">
      <c r="A69" s="2">
        <v>1.0999999999999801</v>
      </c>
      <c r="B69" s="2">
        <v>-1.7690000000000523</v>
      </c>
    </row>
    <row r="70" spans="1:2" x14ac:dyDescent="0.15">
      <c r="A70" s="2">
        <v>1.19999999999998</v>
      </c>
      <c r="B70" s="2">
        <v>-1.4720000000000664</v>
      </c>
    </row>
    <row r="71" spans="1:2" x14ac:dyDescent="0.15">
      <c r="A71" s="2">
        <v>1.2999999999999801</v>
      </c>
      <c r="B71" s="2">
        <v>-1.1030000000000812</v>
      </c>
    </row>
    <row r="72" spans="1:2" x14ac:dyDescent="0.15">
      <c r="A72" s="2">
        <v>1.3999999999999799</v>
      </c>
      <c r="B72" s="2">
        <v>-0.65600000000009784</v>
      </c>
    </row>
    <row r="73" spans="1:2" x14ac:dyDescent="0.15">
      <c r="A73" s="2">
        <v>1.49999999999998</v>
      </c>
      <c r="B73" s="2">
        <v>-0.12500000000011502</v>
      </c>
    </row>
    <row r="74" spans="1:2" x14ac:dyDescent="0.15">
      <c r="A74" s="2">
        <v>1.5999999999999801</v>
      </c>
      <c r="B74" s="2">
        <v>0.49599999999986721</v>
      </c>
    </row>
    <row r="75" spans="1:2" x14ac:dyDescent="0.15">
      <c r="A75" s="2">
        <v>1.69999999999998</v>
      </c>
      <c r="B75" s="2">
        <v>1.2129999999998464</v>
      </c>
    </row>
    <row r="76" spans="1:2" x14ac:dyDescent="0.15">
      <c r="A76" s="2">
        <v>1.7999999999999801</v>
      </c>
      <c r="B76" s="2">
        <v>2.0319999999998259</v>
      </c>
    </row>
    <row r="77" spans="1:2" x14ac:dyDescent="0.15">
      <c r="A77" s="2">
        <v>1.8999999999999799</v>
      </c>
      <c r="B77" s="2">
        <v>2.9589999999998033</v>
      </c>
    </row>
    <row r="78" spans="1:2" x14ac:dyDescent="0.15">
      <c r="A78" s="2">
        <v>1.99999999999998</v>
      </c>
      <c r="B78" s="2">
        <v>3.9999999999997797</v>
      </c>
    </row>
    <row r="79" spans="1:2" x14ac:dyDescent="0.15">
      <c r="A79" s="2">
        <v>2.0999999999999699</v>
      </c>
      <c r="B79" s="2">
        <v>5.1609999999996319</v>
      </c>
    </row>
    <row r="80" spans="1:2" x14ac:dyDescent="0.15">
      <c r="A80" s="2">
        <v>2.19999999999997</v>
      </c>
      <c r="B80" s="2">
        <v>6.4479999999995918</v>
      </c>
    </row>
    <row r="81" spans="1:2" x14ac:dyDescent="0.15">
      <c r="A81" s="2">
        <v>2.2999999999999701</v>
      </c>
      <c r="B81" s="2">
        <v>7.866999999999555</v>
      </c>
    </row>
    <row r="82" spans="1:2" x14ac:dyDescent="0.15">
      <c r="A82" s="2">
        <v>2.3999999999999702</v>
      </c>
      <c r="B82" s="2">
        <v>9.4239999999995145</v>
      </c>
    </row>
    <row r="83" spans="1:2" x14ac:dyDescent="0.15">
      <c r="A83" s="2">
        <v>2.4999999999999698</v>
      </c>
      <c r="B83" s="2">
        <v>11.124999999999464</v>
      </c>
    </row>
    <row r="84" spans="1:2" x14ac:dyDescent="0.15">
      <c r="A84" s="2">
        <v>2.5999999999999699</v>
      </c>
      <c r="B84" s="2">
        <v>12.97599999999942</v>
      </c>
    </row>
    <row r="85" spans="1:2" x14ac:dyDescent="0.15">
      <c r="A85" s="2">
        <v>2.69999999999997</v>
      </c>
      <c r="B85" s="2">
        <v>14.982999999999372</v>
      </c>
    </row>
    <row r="86" spans="1:2" x14ac:dyDescent="0.15">
      <c r="A86" s="2">
        <v>2.7999999999999701</v>
      </c>
      <c r="B86" s="2">
        <v>17.151999999999326</v>
      </c>
    </row>
    <row r="87" spans="1:2" x14ac:dyDescent="0.15">
      <c r="A87" s="2">
        <v>2.8999999999999702</v>
      </c>
      <c r="B87" s="2">
        <v>19.488999999999276</v>
      </c>
    </row>
    <row r="88" spans="1:2" x14ac:dyDescent="0.15">
      <c r="A88" s="2">
        <v>2.9999999999999698</v>
      </c>
      <c r="B88" s="2">
        <v>21.999999999999211</v>
      </c>
    </row>
    <row r="89" spans="1:2" x14ac:dyDescent="0.15">
      <c r="A89" s="2">
        <v>3.0999999999999699</v>
      </c>
      <c r="B89" s="2">
        <v>24.690999999999161</v>
      </c>
    </row>
    <row r="90" spans="1:2" x14ac:dyDescent="0.15">
      <c r="A90" s="2">
        <v>3.19999999999997</v>
      </c>
      <c r="B90" s="2">
        <v>27.567999999999106</v>
      </c>
    </row>
    <row r="91" spans="1:2" x14ac:dyDescent="0.15">
      <c r="A91" s="2">
        <v>3.2999999999999701</v>
      </c>
      <c r="B91" s="2">
        <v>30.636999999999048</v>
      </c>
    </row>
    <row r="92" spans="1:2" x14ac:dyDescent="0.15">
      <c r="A92" s="2">
        <v>3.3999999999999702</v>
      </c>
      <c r="B92" s="2">
        <v>33.903999999998994</v>
      </c>
    </row>
    <row r="93" spans="1:2" x14ac:dyDescent="0.15">
      <c r="A93" s="2">
        <v>3.4999999999999698</v>
      </c>
      <c r="B93" s="2">
        <v>37.37499999999892</v>
      </c>
    </row>
    <row r="94" spans="1:2" x14ac:dyDescent="0.15">
      <c r="A94" s="2">
        <v>3.5999999999999699</v>
      </c>
      <c r="B94" s="2">
        <v>41.055999999998853</v>
      </c>
    </row>
    <row r="95" spans="1:2" x14ac:dyDescent="0.15">
      <c r="A95" s="2">
        <v>3.69999999999997</v>
      </c>
      <c r="B95" s="2">
        <v>44.952999999998795</v>
      </c>
    </row>
    <row r="96" spans="1:2" x14ac:dyDescent="0.15">
      <c r="A96" s="2">
        <v>3.7999999999999701</v>
      </c>
      <c r="B96" s="2">
        <v>49.071999999998731</v>
      </c>
    </row>
    <row r="97" spans="1:2" x14ac:dyDescent="0.15">
      <c r="A97" s="2">
        <v>3.8999999999999702</v>
      </c>
      <c r="B97" s="2">
        <v>53.418999999998668</v>
      </c>
    </row>
    <row r="98" spans="1:2" x14ac:dyDescent="0.15">
      <c r="A98" s="2">
        <v>3.9999999999999698</v>
      </c>
      <c r="B98" s="2">
        <v>57.999999999998579</v>
      </c>
    </row>
    <row r="99" spans="1:2" x14ac:dyDescent="0.15">
      <c r="A99" s="2">
        <v>4.0999999999999703</v>
      </c>
      <c r="B99" s="2">
        <v>62.820999999998534</v>
      </c>
    </row>
    <row r="100" spans="1:2" x14ac:dyDescent="0.15">
      <c r="A100" s="2">
        <v>4.19999999999997</v>
      </c>
      <c r="B100" s="2">
        <v>67.887999999998442</v>
      </c>
    </row>
    <row r="101" spans="1:2" x14ac:dyDescent="0.15">
      <c r="A101" s="2">
        <v>4.2999999999999696</v>
      </c>
      <c r="B101" s="2">
        <v>73.206999999998345</v>
      </c>
    </row>
    <row r="102" spans="1:2" x14ac:dyDescent="0.15">
      <c r="A102" s="2">
        <v>4.3999999999999702</v>
      </c>
      <c r="B102" s="2">
        <v>78.783999999998287</v>
      </c>
    </row>
    <row r="103" spans="1:2" x14ac:dyDescent="0.15">
      <c r="A103" s="2">
        <v>4.4999999999999698</v>
      </c>
      <c r="B103" s="2">
        <v>84.624999999998195</v>
      </c>
    </row>
    <row r="104" spans="1:2" x14ac:dyDescent="0.15">
      <c r="A104" s="2">
        <v>4.5999999999999703</v>
      </c>
      <c r="B104" s="2">
        <v>90.735999999998143</v>
      </c>
    </row>
    <row r="105" spans="1:2" x14ac:dyDescent="0.15">
      <c r="A105" s="2">
        <v>4.69999999999997</v>
      </c>
      <c r="B105" s="2">
        <v>97.122999999998044</v>
      </c>
    </row>
    <row r="106" spans="1:2" x14ac:dyDescent="0.15">
      <c r="A106" s="2">
        <v>4.7999999999999696</v>
      </c>
      <c r="B106" s="2">
        <v>103.79199999999793</v>
      </c>
    </row>
    <row r="107" spans="1:2" x14ac:dyDescent="0.15">
      <c r="A107" s="2">
        <v>4.8999999999999604</v>
      </c>
      <c r="B107" s="2">
        <v>110.74899999999718</v>
      </c>
    </row>
  </sheetData>
  <phoneticPr fontId="1"/>
  <conditionalFormatting sqref="J8:J107">
    <cfRule type="cellIs" dxfId="0" priority="1" operator="greaterThanOrEqual">
      <formula>$B$5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Bisection</vt:lpstr>
      <vt:lpstr>False Position</vt:lpstr>
      <vt:lpstr>Modified False Position</vt:lpstr>
      <vt:lpstr>Newton-Raphson</vt:lpstr>
      <vt:lpstr>Modified Newton-Raphson</vt:lpstr>
      <vt:lpstr>Secant</vt:lpstr>
      <vt:lpstr>Muller</vt:lpstr>
      <vt:lpstr>Halley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知花 チアゴ</dc:creator>
  <cp:lastModifiedBy>知花 チアゴ</cp:lastModifiedBy>
  <dcterms:created xsi:type="dcterms:W3CDTF">2025-11-18T00:38:15Z</dcterms:created>
  <dcterms:modified xsi:type="dcterms:W3CDTF">2025-11-19T01:40:54Z</dcterms:modified>
</cp:coreProperties>
</file>