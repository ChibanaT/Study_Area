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ibana\Desktop\"/>
    </mc:Choice>
  </mc:AlternateContent>
  <xr:revisionPtr revIDLastSave="0" documentId="13_ncr:9_{138FA928-FB15-42B6-A876-416F00036B51}" xr6:coauthVersionLast="47" xr6:coauthVersionMax="47" xr10:uidLastSave="{00000000-0000-0000-0000-000000000000}"/>
  <bookViews>
    <workbookView xWindow="-120" yWindow="-120" windowWidth="29040" windowHeight="15720" firstSheet="4" activeTab="7" xr2:uid="{F7384BFD-A2E6-48AA-A2D8-82705DF27BE0}"/>
  </bookViews>
  <sheets>
    <sheet name="Data" sheetId="1" r:id="rId1"/>
    <sheet name="Least Squares Regression" sheetId="2" r:id="rId2"/>
    <sheet name="Nonlinear Regression" sheetId="4" r:id="rId3"/>
    <sheet name="Newton Interpolating Polynomial" sheetId="5" r:id="rId4"/>
    <sheet name="Lagrange Interpolating Polynomi" sheetId="6" r:id="rId5"/>
    <sheet name="Finite Difference Interpolation" sheetId="7" r:id="rId6"/>
    <sheet name="Cubic Interpolation" sheetId="8" r:id="rId7"/>
    <sheet name="Spline Interpolation" sheetId="9" r:id="rId8"/>
  </sheets>
  <definedNames>
    <definedName name="solver_adj" localSheetId="2" hidden="1">'Nonlinear Regression'!$G$1:$I$1</definedName>
    <definedName name="solver_eng" localSheetId="4" hidden="1">0</definedName>
    <definedName name="solver_eng" localSheetId="3" hidden="1">0</definedName>
    <definedName name="solver_eng" localSheetId="2" hidden="1">0</definedName>
    <definedName name="solver_ntr" localSheetId="2" hidden="1">1</definedName>
    <definedName name="solver_opt" localSheetId="2" hidden="1">'Nonlinear Regression'!$O$4</definedName>
    <definedName name="solver_rxv" localSheetId="2" hidden="1">1</definedName>
    <definedName name="solver_typ" localSheetId="2" hidden="1">3</definedName>
    <definedName name="solver_val" localSheetId="2" hidden="1">0</definedName>
    <definedName name="x">Data!$A$1:INDEX(Data!$A$1:$A$100000, COUNTA(Data!$A$1:$A$100000))</definedName>
    <definedName name="y">Data!$B$1:INDEX(Data!$B$1:$B$100000, COUNTA(Data!$B$1:$B$100000))</definedName>
    <definedName name="y_reg" localSheetId="1">'Least Squares Regression'!$B$3*_xlfn.SINGLE(x)+'Least Squares Regression'!$B$4</definedName>
  </definedNames>
  <calcPr calcId="0"/>
</workbook>
</file>

<file path=xl/calcChain.xml><?xml version="1.0" encoding="utf-8"?>
<calcChain xmlns="http://schemas.openxmlformats.org/spreadsheetml/2006/main">
  <c r="B2" i="9" l="1" a="1"/>
  <c r="A2" i="9" a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1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1" i="5"/>
  <c r="C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1" i="5"/>
  <c r="B1" i="5" a="1"/>
  <c r="B1" i="5" s="1"/>
  <c r="A1" i="5" a="1"/>
  <c r="A1" i="5" s="1"/>
  <c r="K2" i="4" a="1"/>
  <c r="K2" i="4" s="1"/>
  <c r="L2" i="4" s="1" a="1"/>
  <c r="B4" i="2"/>
  <c r="B3" i="2"/>
  <c r="B6" i="2" s="1" a="1"/>
  <c r="B6" i="2" s="1"/>
  <c r="C3" i="9" l="1"/>
  <c r="C23" i="9"/>
  <c r="C43" i="9"/>
  <c r="C63" i="9"/>
  <c r="C83" i="9"/>
  <c r="C103" i="9"/>
  <c r="C123" i="9"/>
  <c r="C143" i="9"/>
  <c r="C163" i="9"/>
  <c r="C183" i="9"/>
  <c r="C203" i="9"/>
  <c r="C223" i="9"/>
  <c r="C243" i="9"/>
  <c r="C263" i="9"/>
  <c r="C283" i="9"/>
  <c r="C303" i="9"/>
  <c r="C323" i="9"/>
  <c r="C343" i="9"/>
  <c r="C363" i="9"/>
  <c r="C383" i="9"/>
  <c r="C403" i="9"/>
  <c r="C423" i="9"/>
  <c r="C443" i="9"/>
  <c r="C463" i="9"/>
  <c r="C483" i="9"/>
  <c r="C4" i="9"/>
  <c r="C24" i="9"/>
  <c r="C44" i="9"/>
  <c r="C64" i="9"/>
  <c r="C84" i="9"/>
  <c r="C104" i="9"/>
  <c r="C124" i="9"/>
  <c r="C144" i="9"/>
  <c r="C164" i="9"/>
  <c r="C184" i="9"/>
  <c r="C204" i="9"/>
  <c r="C224" i="9"/>
  <c r="C244" i="9"/>
  <c r="C264" i="9"/>
  <c r="C284" i="9"/>
  <c r="C304" i="9"/>
  <c r="C324" i="9"/>
  <c r="C344" i="9"/>
  <c r="C364" i="9"/>
  <c r="C384" i="9"/>
  <c r="C404" i="9"/>
  <c r="C424" i="9"/>
  <c r="C444" i="9"/>
  <c r="C464" i="9"/>
  <c r="C484" i="9"/>
  <c r="C5" i="9"/>
  <c r="C25" i="9"/>
  <c r="C45" i="9"/>
  <c r="C65" i="9"/>
  <c r="C85" i="9"/>
  <c r="C105" i="9"/>
  <c r="C125" i="9"/>
  <c r="C145" i="9"/>
  <c r="C165" i="9"/>
  <c r="C185" i="9"/>
  <c r="C205" i="9"/>
  <c r="C225" i="9"/>
  <c r="C245" i="9"/>
  <c r="C265" i="9"/>
  <c r="C285" i="9"/>
  <c r="C305" i="9"/>
  <c r="C325" i="9"/>
  <c r="C345" i="9"/>
  <c r="C365" i="9"/>
  <c r="C385" i="9"/>
  <c r="C405" i="9"/>
  <c r="C425" i="9"/>
  <c r="C445" i="9"/>
  <c r="C465" i="9"/>
  <c r="C485" i="9"/>
  <c r="C6" i="9"/>
  <c r="C26" i="9"/>
  <c r="C46" i="9"/>
  <c r="C66" i="9"/>
  <c r="C86" i="9"/>
  <c r="C106" i="9"/>
  <c r="C126" i="9"/>
  <c r="C146" i="9"/>
  <c r="C166" i="9"/>
  <c r="C186" i="9"/>
  <c r="C7" i="9"/>
  <c r="C31" i="9"/>
  <c r="C55" i="9"/>
  <c r="C79" i="9"/>
  <c r="C107" i="9"/>
  <c r="C131" i="9"/>
  <c r="C155" i="9"/>
  <c r="C179" i="9"/>
  <c r="C206" i="9"/>
  <c r="C229" i="9"/>
  <c r="C252" i="9"/>
  <c r="C275" i="9"/>
  <c r="C298" i="9"/>
  <c r="C321" i="9"/>
  <c r="C347" i="9"/>
  <c r="C370" i="9"/>
  <c r="C393" i="9"/>
  <c r="C416" i="9"/>
  <c r="C439" i="9"/>
  <c r="C462" i="9"/>
  <c r="C488" i="9"/>
  <c r="C350" i="9"/>
  <c r="C373" i="9"/>
  <c r="C419" i="9"/>
  <c r="C442" i="9"/>
  <c r="C468" i="9"/>
  <c r="C491" i="9"/>
  <c r="C11" i="9"/>
  <c r="C135" i="9"/>
  <c r="C187" i="9"/>
  <c r="C256" i="9"/>
  <c r="C302" i="9"/>
  <c r="C351" i="9"/>
  <c r="C397" i="9"/>
  <c r="C446" i="9"/>
  <c r="C492" i="9"/>
  <c r="C36" i="9"/>
  <c r="C136" i="9"/>
  <c r="C188" i="9"/>
  <c r="C234" i="9"/>
  <c r="C280" i="9"/>
  <c r="C329" i="9"/>
  <c r="C375" i="9"/>
  <c r="C421" i="9"/>
  <c r="C470" i="9"/>
  <c r="C13" i="9"/>
  <c r="C61" i="9"/>
  <c r="C113" i="9"/>
  <c r="C161" i="9"/>
  <c r="C212" i="9"/>
  <c r="C8" i="9"/>
  <c r="C32" i="9"/>
  <c r="C56" i="9"/>
  <c r="C80" i="9"/>
  <c r="C108" i="9"/>
  <c r="C132" i="9"/>
  <c r="C156" i="9"/>
  <c r="C180" i="9"/>
  <c r="C207" i="9"/>
  <c r="C230" i="9"/>
  <c r="C253" i="9"/>
  <c r="C276" i="9"/>
  <c r="C299" i="9"/>
  <c r="C322" i="9"/>
  <c r="C348" i="9"/>
  <c r="C371" i="9"/>
  <c r="C394" i="9"/>
  <c r="C417" i="9"/>
  <c r="C440" i="9"/>
  <c r="C466" i="9"/>
  <c r="C489" i="9"/>
  <c r="C9" i="9"/>
  <c r="C33" i="9"/>
  <c r="C57" i="9"/>
  <c r="C81" i="9"/>
  <c r="C109" i="9"/>
  <c r="C133" i="9"/>
  <c r="C157" i="9"/>
  <c r="C181" i="9"/>
  <c r="C208" i="9"/>
  <c r="C231" i="9"/>
  <c r="C254" i="9"/>
  <c r="C277" i="9"/>
  <c r="C300" i="9"/>
  <c r="C326" i="9"/>
  <c r="C349" i="9"/>
  <c r="C372" i="9"/>
  <c r="C395" i="9"/>
  <c r="C418" i="9"/>
  <c r="C441" i="9"/>
  <c r="C467" i="9"/>
  <c r="C490" i="9"/>
  <c r="C10" i="9"/>
  <c r="C34" i="9"/>
  <c r="C58" i="9"/>
  <c r="C82" i="9"/>
  <c r="C110" i="9"/>
  <c r="C134" i="9"/>
  <c r="C158" i="9"/>
  <c r="C182" i="9"/>
  <c r="C209" i="9"/>
  <c r="C232" i="9"/>
  <c r="C255" i="9"/>
  <c r="C278" i="9"/>
  <c r="C301" i="9"/>
  <c r="C327" i="9"/>
  <c r="C396" i="9"/>
  <c r="C35" i="9"/>
  <c r="C59" i="9"/>
  <c r="C87" i="9"/>
  <c r="C111" i="9"/>
  <c r="C159" i="9"/>
  <c r="C210" i="9"/>
  <c r="C233" i="9"/>
  <c r="C279" i="9"/>
  <c r="C328" i="9"/>
  <c r="C374" i="9"/>
  <c r="C420" i="9"/>
  <c r="C469" i="9"/>
  <c r="C12" i="9"/>
  <c r="C60" i="9"/>
  <c r="C88" i="9"/>
  <c r="C112" i="9"/>
  <c r="C160" i="9"/>
  <c r="C211" i="9"/>
  <c r="C257" i="9"/>
  <c r="C306" i="9"/>
  <c r="C352" i="9"/>
  <c r="C398" i="9"/>
  <c r="C447" i="9"/>
  <c r="C493" i="9"/>
  <c r="C37" i="9"/>
  <c r="C89" i="9"/>
  <c r="C137" i="9"/>
  <c r="C189" i="9"/>
  <c r="C14" i="9"/>
  <c r="C49" i="9"/>
  <c r="C91" i="9"/>
  <c r="C122" i="9"/>
  <c r="C168" i="9"/>
  <c r="C199" i="9"/>
  <c r="C238" i="9"/>
  <c r="C270" i="9"/>
  <c r="C308" i="9"/>
  <c r="C337" i="9"/>
  <c r="C369" i="9"/>
  <c r="C407" i="9"/>
  <c r="C436" i="9"/>
  <c r="C474" i="9"/>
  <c r="C50" i="9"/>
  <c r="C92" i="9"/>
  <c r="C169" i="9"/>
  <c r="C200" i="9"/>
  <c r="C271" i="9"/>
  <c r="C309" i="9"/>
  <c r="C338" i="9"/>
  <c r="C408" i="9"/>
  <c r="C437" i="9"/>
  <c r="C475" i="9"/>
  <c r="C16" i="9"/>
  <c r="C272" i="9"/>
  <c r="C339" i="9"/>
  <c r="C409" i="9"/>
  <c r="C476" i="9"/>
  <c r="C52" i="9"/>
  <c r="C129" i="9"/>
  <c r="C202" i="9"/>
  <c r="C273" i="9"/>
  <c r="C340" i="9"/>
  <c r="C410" i="9"/>
  <c r="C477" i="9"/>
  <c r="C53" i="9"/>
  <c r="C130" i="9"/>
  <c r="C213" i="9"/>
  <c r="C274" i="9"/>
  <c r="C341" i="9"/>
  <c r="C411" i="9"/>
  <c r="C478" i="9"/>
  <c r="C54" i="9"/>
  <c r="C138" i="9"/>
  <c r="C173" i="9"/>
  <c r="C246" i="9"/>
  <c r="C313" i="9"/>
  <c r="C380" i="9"/>
  <c r="C450" i="9"/>
  <c r="C20" i="9"/>
  <c r="C139" i="9"/>
  <c r="C215" i="9"/>
  <c r="C282" i="9"/>
  <c r="C346" i="9"/>
  <c r="C413" i="9"/>
  <c r="C480" i="9"/>
  <c r="C67" i="9"/>
  <c r="C140" i="9"/>
  <c r="C216" i="9"/>
  <c r="C286" i="9"/>
  <c r="C353" i="9"/>
  <c r="C414" i="9"/>
  <c r="C481" i="9"/>
  <c r="C68" i="9"/>
  <c r="C141" i="9"/>
  <c r="C217" i="9"/>
  <c r="C287" i="9"/>
  <c r="C354" i="9"/>
  <c r="C415" i="9"/>
  <c r="C482" i="9"/>
  <c r="C69" i="9"/>
  <c r="C100" i="9"/>
  <c r="C218" i="9"/>
  <c r="C288" i="9"/>
  <c r="C355" i="9"/>
  <c r="C422" i="9"/>
  <c r="C486" i="9"/>
  <c r="C70" i="9"/>
  <c r="C147" i="9"/>
  <c r="C219" i="9"/>
  <c r="C289" i="9"/>
  <c r="C356" i="9"/>
  <c r="C426" i="9"/>
  <c r="C487" i="9"/>
  <c r="C71" i="9"/>
  <c r="C148" i="9"/>
  <c r="C220" i="9"/>
  <c r="C290" i="9"/>
  <c r="C357" i="9"/>
  <c r="C427" i="9"/>
  <c r="C494" i="9"/>
  <c r="C72" i="9"/>
  <c r="C114" i="9"/>
  <c r="C191" i="9"/>
  <c r="C259" i="9"/>
  <c r="C358" i="9"/>
  <c r="C428" i="9"/>
  <c r="C495" i="9"/>
  <c r="C73" i="9"/>
  <c r="C115" i="9"/>
  <c r="C192" i="9"/>
  <c r="C260" i="9"/>
  <c r="C330" i="9"/>
  <c r="C391" i="9"/>
  <c r="C458" i="9"/>
  <c r="C39" i="9"/>
  <c r="C116" i="9"/>
  <c r="C193" i="9"/>
  <c r="C261" i="9"/>
  <c r="C331" i="9"/>
  <c r="C392" i="9"/>
  <c r="C459" i="9"/>
  <c r="C40" i="9"/>
  <c r="C117" i="9"/>
  <c r="C152" i="9"/>
  <c r="C227" i="9"/>
  <c r="C294" i="9"/>
  <c r="C361" i="9"/>
  <c r="C431" i="9"/>
  <c r="C498" i="9"/>
  <c r="C76" i="9"/>
  <c r="C118" i="9"/>
  <c r="C195" i="9"/>
  <c r="C266" i="9"/>
  <c r="C333" i="9"/>
  <c r="C400" i="9"/>
  <c r="C461" i="9"/>
  <c r="C42" i="9"/>
  <c r="C119" i="9"/>
  <c r="C196" i="9"/>
  <c r="C267" i="9"/>
  <c r="C334" i="9"/>
  <c r="C401" i="9"/>
  <c r="C471" i="9"/>
  <c r="C47" i="9"/>
  <c r="C120" i="9"/>
  <c r="C197" i="9"/>
  <c r="C268" i="9"/>
  <c r="C335" i="9"/>
  <c r="C402" i="9"/>
  <c r="C472" i="9"/>
  <c r="C90" i="9"/>
  <c r="C167" i="9"/>
  <c r="C237" i="9"/>
  <c r="C307" i="9"/>
  <c r="C368" i="9"/>
  <c r="C435" i="9"/>
  <c r="C15" i="9"/>
  <c r="C127" i="9"/>
  <c r="C239" i="9"/>
  <c r="C376" i="9"/>
  <c r="C51" i="9"/>
  <c r="C93" i="9"/>
  <c r="C128" i="9"/>
  <c r="C170" i="9"/>
  <c r="C201" i="9"/>
  <c r="C240" i="9"/>
  <c r="C310" i="9"/>
  <c r="C377" i="9"/>
  <c r="C438" i="9"/>
  <c r="C17" i="9"/>
  <c r="C94" i="9"/>
  <c r="C171" i="9"/>
  <c r="C241" i="9"/>
  <c r="C311" i="9"/>
  <c r="C378" i="9"/>
  <c r="C448" i="9"/>
  <c r="C18" i="9"/>
  <c r="C95" i="9"/>
  <c r="C172" i="9"/>
  <c r="C242" i="9"/>
  <c r="C312" i="9"/>
  <c r="C379" i="9"/>
  <c r="C449" i="9"/>
  <c r="C19" i="9"/>
  <c r="C96" i="9"/>
  <c r="C214" i="9"/>
  <c r="C281" i="9"/>
  <c r="C342" i="9"/>
  <c r="C412" i="9"/>
  <c r="C479" i="9"/>
  <c r="C62" i="9"/>
  <c r="C97" i="9"/>
  <c r="C174" i="9"/>
  <c r="C247" i="9"/>
  <c r="C314" i="9"/>
  <c r="C381" i="9"/>
  <c r="C451" i="9"/>
  <c r="C21" i="9"/>
  <c r="C98" i="9"/>
  <c r="C175" i="9"/>
  <c r="C248" i="9"/>
  <c r="C315" i="9"/>
  <c r="C382" i="9"/>
  <c r="C452" i="9"/>
  <c r="C22" i="9"/>
  <c r="C99" i="9"/>
  <c r="C176" i="9"/>
  <c r="C249" i="9"/>
  <c r="C316" i="9"/>
  <c r="C386" i="9"/>
  <c r="C453" i="9"/>
  <c r="C27" i="9"/>
  <c r="C142" i="9"/>
  <c r="C177" i="9"/>
  <c r="C250" i="9"/>
  <c r="C317" i="9"/>
  <c r="C387" i="9"/>
  <c r="C454" i="9"/>
  <c r="C28" i="9"/>
  <c r="C101" i="9"/>
  <c r="C178" i="9"/>
  <c r="C251" i="9"/>
  <c r="C318" i="9"/>
  <c r="C388" i="9"/>
  <c r="C455" i="9"/>
  <c r="C29" i="9"/>
  <c r="C102" i="9"/>
  <c r="C190" i="9"/>
  <c r="C258" i="9"/>
  <c r="C319" i="9"/>
  <c r="C389" i="9"/>
  <c r="C456" i="9"/>
  <c r="C30" i="9"/>
  <c r="C149" i="9"/>
  <c r="C221" i="9"/>
  <c r="C291" i="9"/>
  <c r="C320" i="9"/>
  <c r="C390" i="9"/>
  <c r="C457" i="9"/>
  <c r="C38" i="9"/>
  <c r="C150" i="9"/>
  <c r="C222" i="9"/>
  <c r="C292" i="9"/>
  <c r="C359" i="9"/>
  <c r="C429" i="9"/>
  <c r="C496" i="9"/>
  <c r="C74" i="9"/>
  <c r="C151" i="9"/>
  <c r="C226" i="9"/>
  <c r="C293" i="9"/>
  <c r="C360" i="9"/>
  <c r="C430" i="9"/>
  <c r="C497" i="9"/>
  <c r="C75" i="9"/>
  <c r="C194" i="9"/>
  <c r="C262" i="9"/>
  <c r="C332" i="9"/>
  <c r="C399" i="9"/>
  <c r="C460" i="9"/>
  <c r="C41" i="9"/>
  <c r="C153" i="9"/>
  <c r="C228" i="9"/>
  <c r="C295" i="9"/>
  <c r="C362" i="9"/>
  <c r="C432" i="9"/>
  <c r="C499" i="9"/>
  <c r="C77" i="9"/>
  <c r="C154" i="9"/>
  <c r="C235" i="9"/>
  <c r="C296" i="9"/>
  <c r="C366" i="9"/>
  <c r="C433" i="9"/>
  <c r="C500" i="9"/>
  <c r="C78" i="9"/>
  <c r="C162" i="9"/>
  <c r="C236" i="9"/>
  <c r="C297" i="9"/>
  <c r="C367" i="9"/>
  <c r="C434" i="9"/>
  <c r="C48" i="9"/>
  <c r="C121" i="9"/>
  <c r="C198" i="9"/>
  <c r="C269" i="9"/>
  <c r="C336" i="9"/>
  <c r="C406" i="9"/>
  <c r="C473" i="9"/>
  <c r="A2" i="9"/>
  <c r="C2" i="9" s="1"/>
  <c r="D23" i="9"/>
  <c r="D402" i="9"/>
  <c r="B2" i="9"/>
  <c r="D501" i="9"/>
  <c r="L2" i="4"/>
  <c r="M2" i="4" s="1"/>
  <c r="M10" i="4"/>
  <c r="M32" i="4"/>
  <c r="M54" i="4"/>
  <c r="M76" i="4"/>
  <c r="M98" i="4"/>
  <c r="M120" i="4"/>
  <c r="M144" i="4"/>
  <c r="M166" i="4"/>
  <c r="M188" i="4"/>
  <c r="M210" i="4"/>
  <c r="M232" i="4"/>
  <c r="M254" i="4"/>
  <c r="M276" i="4"/>
  <c r="M298" i="4"/>
  <c r="M320" i="4"/>
  <c r="M344" i="4"/>
  <c r="M366" i="4"/>
  <c r="M388" i="4"/>
  <c r="M410" i="4"/>
  <c r="M432" i="4"/>
  <c r="M454" i="4"/>
  <c r="M476" i="4"/>
  <c r="M498" i="4"/>
  <c r="M11" i="4"/>
  <c r="M33" i="4"/>
  <c r="M55" i="4"/>
  <c r="M77" i="4"/>
  <c r="M99" i="4"/>
  <c r="M121" i="4"/>
  <c r="M145" i="4"/>
  <c r="M167" i="4"/>
  <c r="M189" i="4"/>
  <c r="M211" i="4"/>
  <c r="M233" i="4"/>
  <c r="M255" i="4"/>
  <c r="M277" i="4"/>
  <c r="M299" i="4"/>
  <c r="M321" i="4"/>
  <c r="M345" i="4"/>
  <c r="M367" i="4"/>
  <c r="M389" i="4"/>
  <c r="M411" i="4"/>
  <c r="M433" i="4"/>
  <c r="M455" i="4"/>
  <c r="M477" i="4"/>
  <c r="M499" i="4"/>
  <c r="M12" i="4"/>
  <c r="M34" i="4"/>
  <c r="M56" i="4"/>
  <c r="M78" i="4"/>
  <c r="M100" i="4"/>
  <c r="M124" i="4"/>
  <c r="M146" i="4"/>
  <c r="M168" i="4"/>
  <c r="M190" i="4"/>
  <c r="M212" i="4"/>
  <c r="M234" i="4"/>
  <c r="M256" i="4"/>
  <c r="M278" i="4"/>
  <c r="M300" i="4"/>
  <c r="M324" i="4"/>
  <c r="M346" i="4"/>
  <c r="M368" i="4"/>
  <c r="M390" i="4"/>
  <c r="M412" i="4"/>
  <c r="M434" i="4"/>
  <c r="M456" i="4"/>
  <c r="M478" i="4"/>
  <c r="M500" i="4"/>
  <c r="M13" i="4"/>
  <c r="M35" i="4"/>
  <c r="M57" i="4"/>
  <c r="M79" i="4"/>
  <c r="M101" i="4"/>
  <c r="M125" i="4"/>
  <c r="M147" i="4"/>
  <c r="M169" i="4"/>
  <c r="M191" i="4"/>
  <c r="M213" i="4"/>
  <c r="M235" i="4"/>
  <c r="M257" i="4"/>
  <c r="M279" i="4"/>
  <c r="M301" i="4"/>
  <c r="M325" i="4"/>
  <c r="M347" i="4"/>
  <c r="M4" i="4"/>
  <c r="M30" i="4"/>
  <c r="M60" i="4"/>
  <c r="M88" i="4"/>
  <c r="M114" i="4"/>
  <c r="M140" i="4"/>
  <c r="M172" i="4"/>
  <c r="M198" i="4"/>
  <c r="M226" i="4"/>
  <c r="M252" i="4"/>
  <c r="M284" i="4"/>
  <c r="M310" i="4"/>
  <c r="M336" i="4"/>
  <c r="M364" i="4"/>
  <c r="M392" i="4"/>
  <c r="M417" i="4"/>
  <c r="M444" i="4"/>
  <c r="M469" i="4"/>
  <c r="M494" i="4"/>
  <c r="M5" i="4"/>
  <c r="M31" i="4"/>
  <c r="M61" i="4"/>
  <c r="M89" i="4"/>
  <c r="M115" i="4"/>
  <c r="M141" i="4"/>
  <c r="M173" i="4"/>
  <c r="M199" i="4"/>
  <c r="M227" i="4"/>
  <c r="M253" i="4"/>
  <c r="M285" i="4"/>
  <c r="M311" i="4"/>
  <c r="M337" i="4"/>
  <c r="M365" i="4"/>
  <c r="M393" i="4"/>
  <c r="M418" i="4"/>
  <c r="M445" i="4"/>
  <c r="M470" i="4"/>
  <c r="M495" i="4"/>
  <c r="M6" i="4"/>
  <c r="M36" i="4"/>
  <c r="M64" i="4"/>
  <c r="M90" i="4"/>
  <c r="M116" i="4"/>
  <c r="M148" i="4"/>
  <c r="M174" i="4"/>
  <c r="M200" i="4"/>
  <c r="M228" i="4"/>
  <c r="M258" i="4"/>
  <c r="M286" i="4"/>
  <c r="M312" i="4"/>
  <c r="M338" i="4"/>
  <c r="M369" i="4"/>
  <c r="M394" i="4"/>
  <c r="M419" i="4"/>
  <c r="M446" i="4"/>
  <c r="M471" i="4"/>
  <c r="M496" i="4"/>
  <c r="M7" i="4"/>
  <c r="M37" i="4"/>
  <c r="M65" i="4"/>
  <c r="M91" i="4"/>
  <c r="M117" i="4"/>
  <c r="M149" i="4"/>
  <c r="M175" i="4"/>
  <c r="M201" i="4"/>
  <c r="M229" i="4"/>
  <c r="M259" i="4"/>
  <c r="M287" i="4"/>
  <c r="M313" i="4"/>
  <c r="M339" i="4"/>
  <c r="M370" i="4"/>
  <c r="M395" i="4"/>
  <c r="M420" i="4"/>
  <c r="M447" i="4"/>
  <c r="M472" i="4"/>
  <c r="M497" i="4"/>
  <c r="M8" i="4"/>
  <c r="M38" i="4"/>
  <c r="M66" i="4"/>
  <c r="M92" i="4"/>
  <c r="M118" i="4"/>
  <c r="M150" i="4"/>
  <c r="M176" i="4"/>
  <c r="M204" i="4"/>
  <c r="M230" i="4"/>
  <c r="M14" i="4"/>
  <c r="M40" i="4"/>
  <c r="M68" i="4"/>
  <c r="M94" i="4"/>
  <c r="M126" i="4"/>
  <c r="M152" i="4"/>
  <c r="M178" i="4"/>
  <c r="M206" i="4"/>
  <c r="M236" i="4"/>
  <c r="M264" i="4"/>
  <c r="M290" i="4"/>
  <c r="M316" i="4"/>
  <c r="M348" i="4"/>
  <c r="M373" i="4"/>
  <c r="M398" i="4"/>
  <c r="M425" i="4"/>
  <c r="M450" i="4"/>
  <c r="M475" i="4"/>
  <c r="M15" i="4"/>
  <c r="M41" i="4"/>
  <c r="M69" i="4"/>
  <c r="M95" i="4"/>
  <c r="M127" i="4"/>
  <c r="M153" i="4"/>
  <c r="M179" i="4"/>
  <c r="M207" i="4"/>
  <c r="M237" i="4"/>
  <c r="M265" i="4"/>
  <c r="M291" i="4"/>
  <c r="M317" i="4"/>
  <c r="M349" i="4"/>
  <c r="M374" i="4"/>
  <c r="M399" i="4"/>
  <c r="M426" i="4"/>
  <c r="M451" i="4"/>
  <c r="M479" i="4"/>
  <c r="M16" i="4"/>
  <c r="M44" i="4"/>
  <c r="M70" i="4"/>
  <c r="M96" i="4"/>
  <c r="M128" i="4"/>
  <c r="M154" i="4"/>
  <c r="M180" i="4"/>
  <c r="M208" i="4"/>
  <c r="M238" i="4"/>
  <c r="M266" i="4"/>
  <c r="M292" i="4"/>
  <c r="M318" i="4"/>
  <c r="M350" i="4"/>
  <c r="M375" i="4"/>
  <c r="M400" i="4"/>
  <c r="M427" i="4"/>
  <c r="M452" i="4"/>
  <c r="M480" i="4"/>
  <c r="M17" i="4"/>
  <c r="M45" i="4"/>
  <c r="M71" i="4"/>
  <c r="M97" i="4"/>
  <c r="M129" i="4"/>
  <c r="M155" i="4"/>
  <c r="M181" i="4"/>
  <c r="M209" i="4"/>
  <c r="M239" i="4"/>
  <c r="M267" i="4"/>
  <c r="M293" i="4"/>
  <c r="M319" i="4"/>
  <c r="M351" i="4"/>
  <c r="M376" i="4"/>
  <c r="M401" i="4"/>
  <c r="M428" i="4"/>
  <c r="M453" i="4"/>
  <c r="M481" i="4"/>
  <c r="M18" i="4"/>
  <c r="M46" i="4"/>
  <c r="M72" i="4"/>
  <c r="M104" i="4"/>
  <c r="M130" i="4"/>
  <c r="M156" i="4"/>
  <c r="M184" i="4"/>
  <c r="M214" i="4"/>
  <c r="M240" i="4"/>
  <c r="M268" i="4"/>
  <c r="M294" i="4"/>
  <c r="M326" i="4"/>
  <c r="M352" i="4"/>
  <c r="M377" i="4"/>
  <c r="M404" i="4"/>
  <c r="M429" i="4"/>
  <c r="M457" i="4"/>
  <c r="M484" i="4"/>
  <c r="M19" i="4"/>
  <c r="M47" i="4"/>
  <c r="M73" i="4"/>
  <c r="M105" i="4"/>
  <c r="M131" i="4"/>
  <c r="M157" i="4"/>
  <c r="M185" i="4"/>
  <c r="M215" i="4"/>
  <c r="M241" i="4"/>
  <c r="M269" i="4"/>
  <c r="M295" i="4"/>
  <c r="M327" i="4"/>
  <c r="M353" i="4"/>
  <c r="M378" i="4"/>
  <c r="M405" i="4"/>
  <c r="M430" i="4"/>
  <c r="M458" i="4"/>
  <c r="M485" i="4"/>
  <c r="M20" i="4"/>
  <c r="M48" i="4"/>
  <c r="M74" i="4"/>
  <c r="M106" i="4"/>
  <c r="M132" i="4"/>
  <c r="M158" i="4"/>
  <c r="M186" i="4"/>
  <c r="M216" i="4"/>
  <c r="M244" i="4"/>
  <c r="M270" i="4"/>
  <c r="M296" i="4"/>
  <c r="M328" i="4"/>
  <c r="M354" i="4"/>
  <c r="M379" i="4"/>
  <c r="M406" i="4"/>
  <c r="M431" i="4"/>
  <c r="M459" i="4"/>
  <c r="M486" i="4"/>
  <c r="M21" i="4"/>
  <c r="M49" i="4"/>
  <c r="M75" i="4"/>
  <c r="M107" i="4"/>
  <c r="M133" i="4"/>
  <c r="M159" i="4"/>
  <c r="M187" i="4"/>
  <c r="M217" i="4"/>
  <c r="M245" i="4"/>
  <c r="M271" i="4"/>
  <c r="M297" i="4"/>
  <c r="M329" i="4"/>
  <c r="M355" i="4"/>
  <c r="M380" i="4"/>
  <c r="M407" i="4"/>
  <c r="M435" i="4"/>
  <c r="M460" i="4"/>
  <c r="M487" i="4"/>
  <c r="M439" i="4"/>
  <c r="M372" i="4"/>
  <c r="M307" i="4"/>
  <c r="M231" i="4"/>
  <c r="M160" i="4"/>
  <c r="M81" i="4"/>
  <c r="M501" i="4"/>
  <c r="M438" i="4"/>
  <c r="M371" i="4"/>
  <c r="M306" i="4"/>
  <c r="M225" i="4"/>
  <c r="M151" i="4"/>
  <c r="M80" i="4"/>
  <c r="M493" i="4"/>
  <c r="M437" i="4"/>
  <c r="M361" i="4"/>
  <c r="M305" i="4"/>
  <c r="M224" i="4"/>
  <c r="M139" i="4"/>
  <c r="M67" i="4"/>
  <c r="M492" i="4"/>
  <c r="M436" i="4"/>
  <c r="M360" i="4"/>
  <c r="M304" i="4"/>
  <c r="M221" i="4"/>
  <c r="M138" i="4"/>
  <c r="M59" i="4"/>
  <c r="M491" i="4"/>
  <c r="M424" i="4"/>
  <c r="M359" i="4"/>
  <c r="M289" i="4"/>
  <c r="M220" i="4"/>
  <c r="M137" i="4"/>
  <c r="M58" i="4"/>
  <c r="M490" i="4"/>
  <c r="M421" i="4"/>
  <c r="M358" i="4"/>
  <c r="M288" i="4"/>
  <c r="M219" i="4"/>
  <c r="M136" i="4"/>
  <c r="M53" i="4"/>
  <c r="M489" i="4"/>
  <c r="M416" i="4"/>
  <c r="M357" i="4"/>
  <c r="M281" i="4"/>
  <c r="M218" i="4"/>
  <c r="M135" i="4"/>
  <c r="M52" i="4"/>
  <c r="M488" i="4"/>
  <c r="M415" i="4"/>
  <c r="M356" i="4"/>
  <c r="M280" i="4"/>
  <c r="M205" i="4"/>
  <c r="M134" i="4"/>
  <c r="M51" i="4"/>
  <c r="M474" i="4"/>
  <c r="M414" i="4"/>
  <c r="M341" i="4"/>
  <c r="M275" i="4"/>
  <c r="M197" i="4"/>
  <c r="M119" i="4"/>
  <c r="M50" i="4"/>
  <c r="M473" i="4"/>
  <c r="M413" i="4"/>
  <c r="M340" i="4"/>
  <c r="M274" i="4"/>
  <c r="M196" i="4"/>
  <c r="M113" i="4"/>
  <c r="M39" i="4"/>
  <c r="M468" i="4"/>
  <c r="M409" i="4"/>
  <c r="M335" i="4"/>
  <c r="M273" i="4"/>
  <c r="M195" i="4"/>
  <c r="M112" i="4"/>
  <c r="M29" i="4"/>
  <c r="M448" i="4"/>
  <c r="M385" i="4"/>
  <c r="M314" i="4"/>
  <c r="M248" i="4"/>
  <c r="M165" i="4"/>
  <c r="M86" i="4"/>
  <c r="M441" i="4"/>
  <c r="M384" i="4"/>
  <c r="M309" i="4"/>
  <c r="M247" i="4"/>
  <c r="M164" i="4"/>
  <c r="M85" i="4"/>
  <c r="M440" i="4"/>
  <c r="M381" i="4"/>
  <c r="M308" i="4"/>
  <c r="M246" i="4"/>
  <c r="M161" i="4"/>
  <c r="M84" i="4"/>
  <c r="M467" i="4"/>
  <c r="M408" i="4"/>
  <c r="M334" i="4"/>
  <c r="M272" i="4"/>
  <c r="M194" i="4"/>
  <c r="M111" i="4"/>
  <c r="M28" i="4"/>
  <c r="M466" i="4"/>
  <c r="M397" i="4"/>
  <c r="M333" i="4"/>
  <c r="M261" i="4"/>
  <c r="M193" i="4"/>
  <c r="M110" i="4"/>
  <c r="M27" i="4"/>
  <c r="M465" i="4"/>
  <c r="M396" i="4"/>
  <c r="M332" i="4"/>
  <c r="M260" i="4"/>
  <c r="M192" i="4"/>
  <c r="M109" i="4"/>
  <c r="M26" i="4"/>
  <c r="M464" i="4"/>
  <c r="M391" i="4"/>
  <c r="M331" i="4"/>
  <c r="M251" i="4"/>
  <c r="M177" i="4"/>
  <c r="M108" i="4"/>
  <c r="M25" i="4"/>
  <c r="M461" i="4"/>
  <c r="M387" i="4"/>
  <c r="M330" i="4"/>
  <c r="M250" i="4"/>
  <c r="M171" i="4"/>
  <c r="M93" i="4"/>
  <c r="M24" i="4"/>
  <c r="M449" i="4"/>
  <c r="M386" i="4"/>
  <c r="M315" i="4"/>
  <c r="M249" i="4"/>
  <c r="M170" i="4"/>
  <c r="M87" i="4"/>
  <c r="M9" i="4"/>
  <c r="M483" i="4"/>
  <c r="M463" i="4"/>
  <c r="M443" i="4"/>
  <c r="M423" i="4"/>
  <c r="M403" i="4"/>
  <c r="M383" i="4"/>
  <c r="M363" i="4"/>
  <c r="M343" i="4"/>
  <c r="M323" i="4"/>
  <c r="M303" i="4"/>
  <c r="M283" i="4"/>
  <c r="M263" i="4"/>
  <c r="M243" i="4"/>
  <c r="M223" i="4"/>
  <c r="M203" i="4"/>
  <c r="M183" i="4"/>
  <c r="M163" i="4"/>
  <c r="M143" i="4"/>
  <c r="M123" i="4"/>
  <c r="M103" i="4"/>
  <c r="M83" i="4"/>
  <c r="M63" i="4"/>
  <c r="M43" i="4"/>
  <c r="M23" i="4"/>
  <c r="M3" i="4"/>
  <c r="M482" i="4"/>
  <c r="M462" i="4"/>
  <c r="M442" i="4"/>
  <c r="M422" i="4"/>
  <c r="M402" i="4"/>
  <c r="M382" i="4"/>
  <c r="M362" i="4"/>
  <c r="M342" i="4"/>
  <c r="M322" i="4"/>
  <c r="M302" i="4"/>
  <c r="M282" i="4"/>
  <c r="M262" i="4"/>
  <c r="M242" i="4"/>
  <c r="M222" i="4"/>
  <c r="M202" i="4"/>
  <c r="M182" i="4"/>
  <c r="M162" i="4"/>
  <c r="M142" i="4"/>
  <c r="M122" i="4"/>
  <c r="M102" i="4"/>
  <c r="M82" i="4"/>
  <c r="M62" i="4"/>
  <c r="M42" i="4"/>
  <c r="M22" i="4"/>
  <c r="E8" i="9" l="1"/>
  <c r="E9" i="9" s="1"/>
  <c r="E10" i="9" s="1"/>
  <c r="E11" i="9" s="1"/>
  <c r="E12" i="9" s="1"/>
  <c r="E13" i="9" s="1"/>
  <c r="E14" i="9" s="1"/>
  <c r="E15" i="9" s="1"/>
  <c r="E16" i="9" s="1"/>
  <c r="E17" i="9" s="1"/>
  <c r="E18" i="9" s="1"/>
  <c r="E19" i="9" s="1"/>
  <c r="E20" i="9" s="1"/>
  <c r="E21" i="9" s="1"/>
  <c r="E22" i="9" s="1"/>
  <c r="E23" i="9" s="1"/>
  <c r="E24" i="9" s="1"/>
  <c r="E25" i="9" s="1"/>
  <c r="E26" i="9" s="1"/>
  <c r="E27" i="9" s="1"/>
  <c r="E28" i="9" s="1"/>
  <c r="E29" i="9" s="1"/>
  <c r="E30" i="9" s="1"/>
  <c r="E31" i="9" s="1"/>
  <c r="E32" i="9" s="1"/>
  <c r="E33" i="9" s="1"/>
  <c r="E34" i="9" s="1"/>
  <c r="E35" i="9" s="1"/>
  <c r="E36" i="9" s="1"/>
  <c r="E37" i="9" s="1"/>
  <c r="E38" i="9" s="1"/>
  <c r="E39" i="9" s="1"/>
  <c r="E40" i="9" s="1"/>
  <c r="E41" i="9" s="1"/>
  <c r="E42" i="9" s="1"/>
  <c r="E43" i="9" s="1"/>
  <c r="E44" i="9" s="1"/>
  <c r="E45" i="9" s="1"/>
  <c r="E46" i="9" s="1"/>
  <c r="E47" i="9" s="1"/>
  <c r="E48" i="9" s="1"/>
  <c r="E49" i="9" s="1"/>
  <c r="E50" i="9" s="1"/>
  <c r="E51" i="9" s="1"/>
  <c r="E52" i="9" s="1"/>
  <c r="E53" i="9" s="1"/>
  <c r="E54" i="9" s="1"/>
  <c r="E55" i="9" s="1"/>
  <c r="E56" i="9" s="1"/>
  <c r="E57" i="9" s="1"/>
  <c r="E58" i="9" s="1"/>
  <c r="E59" i="9" s="1"/>
  <c r="E60" i="9" s="1"/>
  <c r="E61" i="9" s="1"/>
  <c r="E62" i="9" s="1"/>
  <c r="E63" i="9" s="1"/>
  <c r="E64" i="9" s="1"/>
  <c r="E65" i="9" s="1"/>
  <c r="E66" i="9" s="1"/>
  <c r="E67" i="9" s="1"/>
  <c r="E68" i="9" s="1"/>
  <c r="E69" i="9" s="1"/>
  <c r="E70" i="9" s="1"/>
  <c r="E71" i="9" s="1"/>
  <c r="E72" i="9" s="1"/>
  <c r="E73" i="9" s="1"/>
  <c r="E74" i="9" s="1"/>
  <c r="E75" i="9" s="1"/>
  <c r="E76" i="9" s="1"/>
  <c r="E77" i="9" s="1"/>
  <c r="E78" i="9" s="1"/>
  <c r="E79" i="9" s="1"/>
  <c r="E80" i="9" s="1"/>
  <c r="E81" i="9" s="1"/>
  <c r="E82" i="9" s="1"/>
  <c r="E83" i="9" s="1"/>
  <c r="E84" i="9" s="1"/>
  <c r="E85" i="9" s="1"/>
  <c r="E86" i="9" s="1"/>
  <c r="E87" i="9" s="1"/>
  <c r="E88" i="9" s="1"/>
  <c r="E89" i="9" s="1"/>
  <c r="E90" i="9" s="1"/>
  <c r="E91" i="9" s="1"/>
  <c r="E92" i="9" s="1"/>
  <c r="E93" i="9" s="1"/>
  <c r="E94" i="9" s="1"/>
  <c r="E95" i="9" s="1"/>
  <c r="E96" i="9" s="1"/>
  <c r="E97" i="9" s="1"/>
  <c r="E98" i="9" s="1"/>
  <c r="E99" i="9" s="1"/>
  <c r="E100" i="9" s="1"/>
  <c r="E101" i="9" s="1"/>
  <c r="E102" i="9" s="1"/>
  <c r="E103" i="9" s="1"/>
  <c r="E104" i="9" s="1"/>
  <c r="E105" i="9" s="1"/>
  <c r="E106" i="9" s="1"/>
  <c r="E107" i="9" s="1"/>
  <c r="E108" i="9" s="1"/>
  <c r="E109" i="9" s="1"/>
  <c r="E110" i="9" s="1"/>
  <c r="E111" i="9" s="1"/>
  <c r="E112" i="9" s="1"/>
  <c r="E113" i="9" s="1"/>
  <c r="E114" i="9" s="1"/>
  <c r="E115" i="9" s="1"/>
  <c r="E116" i="9" s="1"/>
  <c r="E117" i="9" s="1"/>
  <c r="E118" i="9" s="1"/>
  <c r="E119" i="9" s="1"/>
  <c r="E120" i="9" s="1"/>
  <c r="E121" i="9" s="1"/>
  <c r="E122" i="9" s="1"/>
  <c r="E123" i="9" s="1"/>
  <c r="E124" i="9" s="1"/>
  <c r="E125" i="9" s="1"/>
  <c r="E126" i="9" s="1"/>
  <c r="E127" i="9" s="1"/>
  <c r="E128" i="9" s="1"/>
  <c r="E129" i="9" s="1"/>
  <c r="E130" i="9" s="1"/>
  <c r="E131" i="9" s="1"/>
  <c r="E132" i="9" s="1"/>
  <c r="E133" i="9" s="1"/>
  <c r="E134" i="9" s="1"/>
  <c r="E135" i="9" s="1"/>
  <c r="E136" i="9" s="1"/>
  <c r="E137" i="9" s="1"/>
  <c r="E138" i="9" s="1"/>
  <c r="E139" i="9" s="1"/>
  <c r="E140" i="9" s="1"/>
  <c r="E141" i="9" s="1"/>
  <c r="E142" i="9" s="1"/>
  <c r="E143" i="9" s="1"/>
  <c r="E144" i="9" s="1"/>
  <c r="E145" i="9" s="1"/>
  <c r="E146" i="9" s="1"/>
  <c r="E147" i="9" s="1"/>
  <c r="E148" i="9" s="1"/>
  <c r="E149" i="9" s="1"/>
  <c r="E150" i="9" s="1"/>
  <c r="E151" i="9" s="1"/>
  <c r="E152" i="9" s="1"/>
  <c r="E153" i="9" s="1"/>
  <c r="E154" i="9" s="1"/>
  <c r="E155" i="9" s="1"/>
  <c r="E156" i="9" s="1"/>
  <c r="E157" i="9" s="1"/>
  <c r="E158" i="9" s="1"/>
  <c r="E159" i="9" s="1"/>
  <c r="E160" i="9" s="1"/>
  <c r="E161" i="9" s="1"/>
  <c r="E162" i="9" s="1"/>
  <c r="E163" i="9" s="1"/>
  <c r="E164" i="9" s="1"/>
  <c r="E165" i="9" s="1"/>
  <c r="E166" i="9" s="1"/>
  <c r="E167" i="9" s="1"/>
  <c r="E168" i="9" s="1"/>
  <c r="E169" i="9" s="1"/>
  <c r="E170" i="9" s="1"/>
  <c r="E171" i="9" s="1"/>
  <c r="E172" i="9" s="1"/>
  <c r="E173" i="9" s="1"/>
  <c r="E174" i="9" s="1"/>
  <c r="E175" i="9" s="1"/>
  <c r="E176" i="9" s="1"/>
  <c r="E177" i="9" s="1"/>
  <c r="E178" i="9" s="1"/>
  <c r="E179" i="9" s="1"/>
  <c r="E180" i="9" s="1"/>
  <c r="E181" i="9" s="1"/>
  <c r="E182" i="9" s="1"/>
  <c r="E183" i="9" s="1"/>
  <c r="E184" i="9" s="1"/>
  <c r="E185" i="9" s="1"/>
  <c r="E186" i="9" s="1"/>
  <c r="E187" i="9" s="1"/>
  <c r="E188" i="9" s="1"/>
  <c r="E189" i="9" s="1"/>
  <c r="E190" i="9" s="1"/>
  <c r="E191" i="9" s="1"/>
  <c r="E192" i="9" s="1"/>
  <c r="E193" i="9" s="1"/>
  <c r="E194" i="9" s="1"/>
  <c r="E195" i="9" s="1"/>
  <c r="E196" i="9" s="1"/>
  <c r="E197" i="9" s="1"/>
  <c r="E198" i="9" s="1"/>
  <c r="E199" i="9" s="1"/>
  <c r="E200" i="9" s="1"/>
  <c r="E201" i="9" s="1"/>
  <c r="E202" i="9" s="1"/>
  <c r="E203" i="9" s="1"/>
  <c r="E204" i="9" s="1"/>
  <c r="E205" i="9" s="1"/>
  <c r="E206" i="9" s="1"/>
  <c r="E207" i="9" s="1"/>
  <c r="E208" i="9" s="1"/>
  <c r="E209" i="9" s="1"/>
  <c r="E210" i="9" s="1"/>
  <c r="E211" i="9" s="1"/>
  <c r="E212" i="9" s="1"/>
  <c r="E213" i="9" s="1"/>
  <c r="E214" i="9" s="1"/>
  <c r="E215" i="9" s="1"/>
  <c r="E216" i="9" s="1"/>
  <c r="E217" i="9" s="1"/>
  <c r="E218" i="9" s="1"/>
  <c r="E219" i="9" s="1"/>
  <c r="E220" i="9" s="1"/>
  <c r="E221" i="9" s="1"/>
  <c r="E222" i="9" s="1"/>
  <c r="E223" i="9" s="1"/>
  <c r="E224" i="9" s="1"/>
  <c r="E225" i="9" s="1"/>
  <c r="E226" i="9" s="1"/>
  <c r="E227" i="9" s="1"/>
  <c r="E228" i="9" s="1"/>
  <c r="E229" i="9" s="1"/>
  <c r="E230" i="9" s="1"/>
  <c r="E231" i="9" s="1"/>
  <c r="E232" i="9" s="1"/>
  <c r="E233" i="9" s="1"/>
  <c r="E234" i="9" s="1"/>
  <c r="E235" i="9" s="1"/>
  <c r="E236" i="9" s="1"/>
  <c r="E237" i="9" s="1"/>
  <c r="E238" i="9" s="1"/>
  <c r="E239" i="9" s="1"/>
  <c r="E240" i="9" s="1"/>
  <c r="E241" i="9" s="1"/>
  <c r="E242" i="9" s="1"/>
  <c r="E243" i="9" s="1"/>
  <c r="E244" i="9" s="1"/>
  <c r="E245" i="9" s="1"/>
  <c r="E246" i="9" s="1"/>
  <c r="E247" i="9" s="1"/>
  <c r="E248" i="9" s="1"/>
  <c r="E249" i="9" s="1"/>
  <c r="E250" i="9" s="1"/>
  <c r="E251" i="9" s="1"/>
  <c r="E252" i="9" s="1"/>
  <c r="E253" i="9" s="1"/>
  <c r="E254" i="9" s="1"/>
  <c r="E255" i="9" s="1"/>
  <c r="E256" i="9" s="1"/>
  <c r="E257" i="9" s="1"/>
  <c r="E258" i="9" s="1"/>
  <c r="E259" i="9" s="1"/>
  <c r="E260" i="9" s="1"/>
  <c r="E261" i="9" s="1"/>
  <c r="E262" i="9" s="1"/>
  <c r="E263" i="9" s="1"/>
  <c r="E264" i="9" s="1"/>
  <c r="E265" i="9" s="1"/>
  <c r="E266" i="9" s="1"/>
  <c r="E267" i="9" s="1"/>
  <c r="E268" i="9" s="1"/>
  <c r="E269" i="9" s="1"/>
  <c r="E270" i="9" s="1"/>
  <c r="E271" i="9" s="1"/>
  <c r="E272" i="9" s="1"/>
  <c r="E273" i="9" s="1"/>
  <c r="E274" i="9" s="1"/>
  <c r="E275" i="9" s="1"/>
  <c r="E276" i="9" s="1"/>
  <c r="E277" i="9" s="1"/>
  <c r="E278" i="9" s="1"/>
  <c r="E279" i="9" s="1"/>
  <c r="E280" i="9" s="1"/>
  <c r="E281" i="9" s="1"/>
  <c r="E282" i="9" s="1"/>
  <c r="E283" i="9" s="1"/>
  <c r="E284" i="9" s="1"/>
  <c r="E285" i="9" s="1"/>
  <c r="E286" i="9" s="1"/>
  <c r="E287" i="9" s="1"/>
  <c r="E288" i="9" s="1"/>
  <c r="E289" i="9" s="1"/>
  <c r="E290" i="9" s="1"/>
  <c r="E291" i="9" s="1"/>
  <c r="E292" i="9" s="1"/>
  <c r="E293" i="9" s="1"/>
  <c r="E294" i="9" s="1"/>
  <c r="E295" i="9" s="1"/>
  <c r="E296" i="9" s="1"/>
  <c r="E297" i="9" s="1"/>
  <c r="E298" i="9" s="1"/>
  <c r="E299" i="9" s="1"/>
  <c r="E300" i="9" s="1"/>
  <c r="E301" i="9" s="1"/>
  <c r="E302" i="9" s="1"/>
  <c r="E303" i="9" s="1"/>
  <c r="E304" i="9" s="1"/>
  <c r="E305" i="9" s="1"/>
  <c r="E306" i="9" s="1"/>
  <c r="E307" i="9" s="1"/>
  <c r="E308" i="9" s="1"/>
  <c r="E309" i="9" s="1"/>
  <c r="E310" i="9" s="1"/>
  <c r="E311" i="9" s="1"/>
  <c r="E312" i="9" s="1"/>
  <c r="E313" i="9" s="1"/>
  <c r="E314" i="9" s="1"/>
  <c r="E315" i="9" s="1"/>
  <c r="E316" i="9" s="1"/>
  <c r="E317" i="9" s="1"/>
  <c r="E318" i="9" s="1"/>
  <c r="E319" i="9" s="1"/>
  <c r="E320" i="9" s="1"/>
  <c r="E321" i="9" s="1"/>
  <c r="E322" i="9" s="1"/>
  <c r="E323" i="9" s="1"/>
  <c r="E324" i="9" s="1"/>
  <c r="E325" i="9" s="1"/>
  <c r="E326" i="9" s="1"/>
  <c r="E327" i="9" s="1"/>
  <c r="E328" i="9" s="1"/>
  <c r="E329" i="9" s="1"/>
  <c r="E330" i="9" s="1"/>
  <c r="E331" i="9" s="1"/>
  <c r="E332" i="9" s="1"/>
  <c r="E333" i="9" s="1"/>
  <c r="E334" i="9" s="1"/>
  <c r="E335" i="9" s="1"/>
  <c r="E336" i="9" s="1"/>
  <c r="E337" i="9" s="1"/>
  <c r="E338" i="9" s="1"/>
  <c r="E339" i="9" s="1"/>
  <c r="E340" i="9" s="1"/>
  <c r="E341" i="9" s="1"/>
  <c r="E342" i="9" s="1"/>
  <c r="E343" i="9" s="1"/>
  <c r="E344" i="9" s="1"/>
  <c r="E345" i="9" s="1"/>
  <c r="E346" i="9" s="1"/>
  <c r="E347" i="9" s="1"/>
  <c r="E348" i="9" s="1"/>
  <c r="E349" i="9" s="1"/>
  <c r="E350" i="9" s="1"/>
  <c r="E351" i="9" s="1"/>
  <c r="E352" i="9" s="1"/>
  <c r="E353" i="9" s="1"/>
  <c r="E354" i="9" s="1"/>
  <c r="E355" i="9" s="1"/>
  <c r="E356" i="9" s="1"/>
  <c r="E357" i="9" s="1"/>
  <c r="E358" i="9" s="1"/>
  <c r="E359" i="9" s="1"/>
  <c r="E360" i="9" s="1"/>
  <c r="E361" i="9" s="1"/>
  <c r="E362" i="9" s="1"/>
  <c r="E363" i="9" s="1"/>
  <c r="E364" i="9" s="1"/>
  <c r="E365" i="9" s="1"/>
  <c r="E366" i="9" s="1"/>
  <c r="E367" i="9" s="1"/>
  <c r="E368" i="9" s="1"/>
  <c r="E369" i="9" s="1"/>
  <c r="E370" i="9" s="1"/>
  <c r="E371" i="9" s="1"/>
  <c r="E372" i="9" s="1"/>
  <c r="E373" i="9" s="1"/>
  <c r="E374" i="9" s="1"/>
  <c r="E375" i="9" s="1"/>
  <c r="E376" i="9" s="1"/>
  <c r="E377" i="9" s="1"/>
  <c r="E378" i="9" s="1"/>
  <c r="E379" i="9" s="1"/>
  <c r="E380" i="9" s="1"/>
  <c r="E381" i="9" s="1"/>
  <c r="E382" i="9" s="1"/>
  <c r="E383" i="9" s="1"/>
  <c r="E384" i="9" s="1"/>
  <c r="E385" i="9" s="1"/>
  <c r="E386" i="9" s="1"/>
  <c r="E387" i="9" s="1"/>
  <c r="E388" i="9" s="1"/>
  <c r="E389" i="9" s="1"/>
  <c r="E390" i="9" s="1"/>
  <c r="E391" i="9" s="1"/>
  <c r="E392" i="9" s="1"/>
  <c r="E393" i="9" s="1"/>
  <c r="E394" i="9" s="1"/>
  <c r="E395" i="9" s="1"/>
  <c r="E396" i="9" s="1"/>
  <c r="E397" i="9" s="1"/>
  <c r="E398" i="9" s="1"/>
  <c r="E399" i="9" s="1"/>
  <c r="E400" i="9" s="1"/>
  <c r="E401" i="9" s="1"/>
  <c r="E402" i="9" s="1"/>
  <c r="E403" i="9" s="1"/>
  <c r="E404" i="9" s="1"/>
  <c r="E405" i="9" s="1"/>
  <c r="E406" i="9" s="1"/>
  <c r="E407" i="9" s="1"/>
  <c r="E408" i="9" s="1"/>
  <c r="E409" i="9" s="1"/>
  <c r="E410" i="9" s="1"/>
  <c r="E411" i="9" s="1"/>
  <c r="E412" i="9" s="1"/>
  <c r="E413" i="9" s="1"/>
  <c r="E414" i="9" s="1"/>
  <c r="E415" i="9" s="1"/>
  <c r="E416" i="9" s="1"/>
  <c r="E417" i="9" s="1"/>
  <c r="E418" i="9" s="1"/>
  <c r="E419" i="9" s="1"/>
  <c r="E420" i="9" s="1"/>
  <c r="E421" i="9" s="1"/>
  <c r="E422" i="9" s="1"/>
  <c r="E423" i="9" s="1"/>
  <c r="E424" i="9" s="1"/>
  <c r="E425" i="9" s="1"/>
  <c r="E426" i="9" s="1"/>
  <c r="E427" i="9" s="1"/>
  <c r="E428" i="9" s="1"/>
  <c r="E429" i="9" s="1"/>
  <c r="E430" i="9" s="1"/>
  <c r="E431" i="9" s="1"/>
  <c r="E432" i="9" s="1"/>
  <c r="E433" i="9" s="1"/>
  <c r="E434" i="9" s="1"/>
  <c r="E435" i="9" s="1"/>
  <c r="E436" i="9" s="1"/>
  <c r="E437" i="9" s="1"/>
  <c r="E438" i="9" s="1"/>
  <c r="E439" i="9" s="1"/>
  <c r="E440" i="9" s="1"/>
  <c r="E441" i="9" s="1"/>
  <c r="E442" i="9" s="1"/>
  <c r="E443" i="9" s="1"/>
  <c r="E444" i="9" s="1"/>
  <c r="E445" i="9" s="1"/>
  <c r="E446" i="9" s="1"/>
  <c r="E447" i="9" s="1"/>
  <c r="E448" i="9" s="1"/>
  <c r="E449" i="9" s="1"/>
  <c r="E450" i="9" s="1"/>
  <c r="E451" i="9" s="1"/>
  <c r="E452" i="9" s="1"/>
  <c r="E453" i="9" s="1"/>
  <c r="E454" i="9" s="1"/>
  <c r="E455" i="9" s="1"/>
  <c r="E456" i="9" s="1"/>
  <c r="E457" i="9" s="1"/>
  <c r="E458" i="9" s="1"/>
  <c r="E459" i="9" s="1"/>
  <c r="E460" i="9" s="1"/>
  <c r="E461" i="9" s="1"/>
  <c r="E462" i="9" s="1"/>
  <c r="E463" i="9" s="1"/>
  <c r="E464" i="9" s="1"/>
  <c r="E465" i="9" s="1"/>
  <c r="E466" i="9" s="1"/>
  <c r="E467" i="9" s="1"/>
  <c r="E468" i="9" s="1"/>
  <c r="E469" i="9" s="1"/>
  <c r="E470" i="9" s="1"/>
  <c r="E471" i="9" s="1"/>
  <c r="E472" i="9" s="1"/>
  <c r="E473" i="9" s="1"/>
  <c r="E474" i="9" s="1"/>
  <c r="E475" i="9" s="1"/>
  <c r="E476" i="9" s="1"/>
  <c r="E477" i="9" s="1"/>
  <c r="E478" i="9" s="1"/>
  <c r="E479" i="9" s="1"/>
  <c r="E480" i="9" s="1"/>
  <c r="E481" i="9" s="1"/>
  <c r="E482" i="9" s="1"/>
  <c r="E483" i="9" s="1"/>
  <c r="E484" i="9" s="1"/>
  <c r="E485" i="9" s="1"/>
  <c r="E486" i="9" s="1"/>
  <c r="E487" i="9" s="1"/>
  <c r="E488" i="9" s="1"/>
  <c r="E489" i="9" s="1"/>
  <c r="E490" i="9" s="1"/>
  <c r="E491" i="9" s="1"/>
  <c r="E492" i="9" s="1"/>
  <c r="E493" i="9" s="1"/>
  <c r="E494" i="9" s="1"/>
  <c r="E495" i="9" s="1"/>
  <c r="E496" i="9" s="1"/>
  <c r="E497" i="9" s="1"/>
  <c r="E498" i="9" s="1"/>
  <c r="E499" i="9" s="1"/>
  <c r="E500" i="9" s="1"/>
  <c r="E501" i="9" s="1"/>
  <c r="D155" i="9"/>
  <c r="E5" i="9"/>
  <c r="E6" i="9" s="1"/>
  <c r="E7" i="9" s="1"/>
  <c r="D442" i="9"/>
  <c r="D75" i="9"/>
  <c r="D411" i="9"/>
  <c r="D225" i="9"/>
  <c r="D42" i="9"/>
  <c r="D171" i="9"/>
  <c r="D390" i="9"/>
  <c r="D231" i="9"/>
  <c r="D166" i="9"/>
  <c r="D398" i="9"/>
  <c r="D245" i="9"/>
  <c r="D332" i="9"/>
  <c r="D173" i="9"/>
  <c r="D324" i="9"/>
  <c r="D286" i="9"/>
  <c r="D90" i="9"/>
  <c r="D156" i="9"/>
  <c r="D254" i="9"/>
  <c r="D452" i="9"/>
  <c r="D277" i="9"/>
  <c r="D253" i="9"/>
  <c r="D438" i="9"/>
  <c r="D122" i="9"/>
  <c r="D150" i="9"/>
  <c r="D189" i="9"/>
  <c r="D249" i="9"/>
  <c r="D341" i="9"/>
  <c r="D376" i="9"/>
  <c r="D334" i="9"/>
  <c r="D430" i="9"/>
  <c r="D72" i="9"/>
  <c r="D147" i="9"/>
  <c r="D216" i="9"/>
  <c r="D273" i="9"/>
  <c r="D308" i="9"/>
  <c r="D278" i="9"/>
  <c r="D57" i="9"/>
  <c r="D80" i="9"/>
  <c r="D108" i="9"/>
  <c r="D346" i="9"/>
  <c r="D184" i="9"/>
  <c r="D283" i="9"/>
  <c r="D382" i="9"/>
  <c r="D102" i="9"/>
  <c r="D175" i="9"/>
  <c r="D280" i="9"/>
  <c r="D267" i="9"/>
  <c r="D361" i="9"/>
  <c r="D494" i="9"/>
  <c r="D69" i="9"/>
  <c r="D140" i="9"/>
  <c r="D212" i="9"/>
  <c r="D270" i="9"/>
  <c r="D232" i="9"/>
  <c r="D33" i="9"/>
  <c r="D79" i="9"/>
  <c r="D396" i="9"/>
  <c r="D321" i="9"/>
  <c r="D65" i="9"/>
  <c r="D165" i="9"/>
  <c r="D263" i="9"/>
  <c r="D363" i="9"/>
  <c r="D472" i="9"/>
  <c r="D498" i="9"/>
  <c r="D28" i="9"/>
  <c r="D98" i="9"/>
  <c r="D240" i="9"/>
  <c r="D196" i="9"/>
  <c r="D293" i="9"/>
  <c r="D427" i="9"/>
  <c r="D67" i="9"/>
  <c r="D129" i="9"/>
  <c r="D200" i="9"/>
  <c r="D89" i="9"/>
  <c r="D209" i="9"/>
  <c r="D9" i="9"/>
  <c r="D32" i="9"/>
  <c r="D350" i="9"/>
  <c r="D297" i="9"/>
  <c r="D45" i="9"/>
  <c r="D144" i="9"/>
  <c r="D243" i="9"/>
  <c r="D405" i="9"/>
  <c r="D432" i="9"/>
  <c r="D429" i="9"/>
  <c r="D21" i="9"/>
  <c r="D95" i="9"/>
  <c r="D201" i="9"/>
  <c r="D120" i="9"/>
  <c r="D226" i="9"/>
  <c r="D357" i="9"/>
  <c r="D422" i="9"/>
  <c r="D480" i="9"/>
  <c r="D53" i="9"/>
  <c r="D168" i="9"/>
  <c r="D36" i="9"/>
  <c r="D158" i="9"/>
  <c r="D489" i="9"/>
  <c r="D8" i="9"/>
  <c r="D301" i="9"/>
  <c r="D275" i="9"/>
  <c r="D25" i="9"/>
  <c r="D124" i="9"/>
  <c r="D224" i="9"/>
  <c r="D322" i="9"/>
  <c r="D336" i="9"/>
  <c r="D387" i="9"/>
  <c r="D18" i="9"/>
  <c r="D258" i="9"/>
  <c r="D354" i="9"/>
  <c r="D413" i="9"/>
  <c r="D477" i="9"/>
  <c r="D91" i="9"/>
  <c r="D492" i="9"/>
  <c r="D466" i="9"/>
  <c r="D488" i="9"/>
  <c r="D7" i="9"/>
  <c r="D255" i="9"/>
  <c r="D251" i="9"/>
  <c r="D6" i="9"/>
  <c r="D104" i="9"/>
  <c r="D204" i="9"/>
  <c r="D295" i="9"/>
  <c r="D448" i="9"/>
  <c r="D471" i="9"/>
  <c r="D116" i="9"/>
  <c r="D191" i="9"/>
  <c r="D287" i="9"/>
  <c r="D345" i="9"/>
  <c r="D409" i="9"/>
  <c r="D49" i="9"/>
  <c r="D441" i="9"/>
  <c r="D465" i="9"/>
  <c r="D211" i="9"/>
  <c r="D484" i="9"/>
  <c r="D84" i="9"/>
  <c r="D183" i="9"/>
  <c r="D282" i="9"/>
  <c r="D197" i="9"/>
  <c r="D222" i="9"/>
  <c r="D250" i="9"/>
  <c r="D315" i="9"/>
  <c r="D93" i="9"/>
  <c r="D400" i="9"/>
  <c r="D114" i="9"/>
  <c r="D218" i="9"/>
  <c r="D340" i="9"/>
  <c r="D417" i="9"/>
  <c r="D439" i="9"/>
  <c r="D161" i="9"/>
  <c r="D135" i="9"/>
  <c r="D205" i="9"/>
  <c r="D464" i="9"/>
  <c r="D64" i="9"/>
  <c r="D163" i="9"/>
  <c r="D121" i="9"/>
  <c r="D149" i="9"/>
  <c r="D177" i="9"/>
  <c r="D247" i="9"/>
  <c r="D311" i="9"/>
  <c r="D436" i="9"/>
  <c r="D352" i="9"/>
  <c r="D35" i="9"/>
  <c r="D394" i="9"/>
  <c r="D112" i="9"/>
  <c r="D444" i="9"/>
  <c r="D44" i="9"/>
  <c r="D143" i="9"/>
  <c r="D241" i="9"/>
  <c r="D61" i="9"/>
  <c r="D491" i="9"/>
  <c r="D424" i="9"/>
  <c r="D24" i="9"/>
  <c r="D123" i="9"/>
  <c r="D39" i="9"/>
  <c r="D459" i="9"/>
  <c r="D457" i="9"/>
  <c r="D27" i="9"/>
  <c r="D97" i="9"/>
  <c r="D172" i="9"/>
  <c r="D238" i="9"/>
  <c r="D195" i="9"/>
  <c r="D331" i="9"/>
  <c r="D481" i="9"/>
  <c r="D369" i="9"/>
  <c r="D326" i="9"/>
  <c r="D370" i="9"/>
  <c r="D12" i="9"/>
  <c r="D468" i="9"/>
  <c r="D131" i="9"/>
  <c r="D404" i="9"/>
  <c r="D4" i="9"/>
  <c r="D366" i="9"/>
  <c r="D399" i="9"/>
  <c r="D389" i="9"/>
  <c r="D453" i="9"/>
  <c r="D20" i="9"/>
  <c r="D94" i="9"/>
  <c r="D126" i="9"/>
  <c r="D118" i="9"/>
  <c r="D260" i="9"/>
  <c r="D356" i="9"/>
  <c r="D414" i="9"/>
  <c r="D337" i="9"/>
  <c r="D300" i="9"/>
  <c r="D469" i="9"/>
  <c r="D385" i="9"/>
  <c r="D483" i="9"/>
  <c r="D182" i="9"/>
  <c r="D333" i="9"/>
  <c r="D319" i="9"/>
  <c r="D192" i="9"/>
  <c r="D475" i="9"/>
  <c r="D307" i="9"/>
  <c r="D299" i="9"/>
  <c r="D364" i="9"/>
  <c r="D463" i="9"/>
  <c r="D63" i="9"/>
  <c r="D395" i="9"/>
  <c r="D316" i="9"/>
  <c r="D115" i="9"/>
  <c r="D219" i="9"/>
  <c r="D313" i="9"/>
  <c r="D408" i="9"/>
  <c r="D276" i="9"/>
  <c r="D374" i="9"/>
  <c r="D425" i="9"/>
  <c r="D328" i="9"/>
  <c r="D235" i="9"/>
  <c r="D148" i="9"/>
  <c r="D246" i="9"/>
  <c r="D403" i="9"/>
  <c r="D500" i="9"/>
  <c r="D497" i="9"/>
  <c r="D30" i="9"/>
  <c r="D141" i="9"/>
  <c r="D167" i="9"/>
  <c r="D181" i="9"/>
  <c r="D207" i="9"/>
  <c r="D462" i="9"/>
  <c r="D285" i="9"/>
  <c r="D82" i="9"/>
  <c r="D365" i="9"/>
  <c r="D353" i="9"/>
  <c r="D329" i="9"/>
  <c r="D180" i="9"/>
  <c r="D43" i="9"/>
  <c r="D443" i="9"/>
  <c r="D194" i="9"/>
  <c r="D289" i="9"/>
  <c r="D262" i="9"/>
  <c r="D11" i="9"/>
  <c r="D478" i="9"/>
  <c r="D437" i="9"/>
  <c r="D261" i="9"/>
  <c r="D423" i="9"/>
  <c r="D227" i="9"/>
  <c r="D272" i="9"/>
  <c r="D174" i="9"/>
  <c r="D266" i="9"/>
  <c r="D392" i="9"/>
  <c r="D68" i="9"/>
  <c r="D138" i="9"/>
  <c r="D202" i="9"/>
  <c r="D407" i="9"/>
  <c r="D305" i="9"/>
  <c r="D372" i="9"/>
  <c r="D393" i="9"/>
  <c r="D46" i="9"/>
  <c r="D290" i="9"/>
  <c r="D269" i="9"/>
  <c r="D373" i="9"/>
  <c r="D229" i="9"/>
  <c r="D13" i="9"/>
  <c r="D236" i="9"/>
  <c r="D170" i="9"/>
  <c r="D54" i="9"/>
  <c r="D187" i="9"/>
  <c r="D415" i="9"/>
  <c r="D16" i="9"/>
  <c r="D388" i="9"/>
  <c r="D206" i="9"/>
  <c r="D371" i="9"/>
  <c r="D461" i="9"/>
  <c r="D234" i="9"/>
  <c r="E3" i="9"/>
  <c r="E4" i="9" s="1"/>
  <c r="D473" i="9"/>
  <c r="D152" i="9"/>
  <c r="D50" i="9"/>
  <c r="D178" i="9"/>
  <c r="D467" i="9"/>
  <c r="D47" i="9"/>
  <c r="D154" i="9"/>
  <c r="D96" i="9"/>
  <c r="D128" i="9"/>
  <c r="D256" i="9"/>
  <c r="D449" i="9"/>
  <c r="D210" i="9"/>
  <c r="D34" i="9"/>
  <c r="D460" i="9"/>
  <c r="D450" i="9"/>
  <c r="D15" i="9"/>
  <c r="D418" i="9"/>
  <c r="D257" i="9"/>
  <c r="D391" i="9"/>
  <c r="D380" i="9"/>
  <c r="D447" i="9"/>
  <c r="D434" i="9"/>
  <c r="D111" i="9"/>
  <c r="D142" i="9"/>
  <c r="D208" i="9"/>
  <c r="D193" i="9"/>
  <c r="D220" i="9"/>
  <c r="D367" i="9"/>
  <c r="D38" i="9"/>
  <c r="D349" i="9"/>
  <c r="D330" i="9"/>
  <c r="D456" i="9"/>
  <c r="D74" i="9"/>
  <c r="D306" i="9"/>
  <c r="D198" i="9"/>
  <c r="D59" i="9"/>
  <c r="D230" i="9"/>
  <c r="D252" i="9"/>
  <c r="D279" i="9"/>
  <c r="D487" i="9"/>
  <c r="D3" i="9"/>
  <c r="F3" i="9" s="1"/>
  <c r="D73" i="9"/>
  <c r="D309" i="9"/>
  <c r="D495" i="9"/>
  <c r="D213" i="9"/>
  <c r="D342" i="9"/>
  <c r="D314" i="9"/>
  <c r="D284" i="9"/>
  <c r="D274" i="9"/>
  <c r="D358" i="9"/>
  <c r="D151" i="9"/>
  <c r="D302" i="9"/>
  <c r="D281" i="9"/>
  <c r="D19" i="9"/>
  <c r="D446" i="9"/>
  <c r="D86" i="9"/>
  <c r="D476" i="9"/>
  <c r="D401" i="9"/>
  <c r="D10" i="9"/>
  <c r="D40" i="9"/>
  <c r="D100" i="9"/>
  <c r="D493" i="9"/>
  <c r="D486" i="9"/>
  <c r="D137" i="9"/>
  <c r="D185" i="9"/>
  <c r="D360" i="9"/>
  <c r="D359" i="9"/>
  <c r="D117" i="9"/>
  <c r="D355" i="9"/>
  <c r="D22" i="9"/>
  <c r="D14" i="9"/>
  <c r="D406" i="9"/>
  <c r="D109" i="9"/>
  <c r="D248" i="9"/>
  <c r="D58" i="9"/>
  <c r="D146" i="9"/>
  <c r="D99" i="9"/>
  <c r="D29" i="9"/>
  <c r="D362" i="9"/>
  <c r="D190" i="9"/>
  <c r="D87" i="9"/>
  <c r="D496" i="9"/>
  <c r="D125" i="9"/>
  <c r="D70" i="9"/>
  <c r="D288" i="9"/>
  <c r="D203" i="9"/>
  <c r="D339" i="9"/>
  <c r="D223" i="9"/>
  <c r="D412" i="9"/>
  <c r="D176" i="9"/>
  <c r="D490" i="9"/>
  <c r="D113" i="9"/>
  <c r="D384" i="9"/>
  <c r="D323" i="9"/>
  <c r="D383" i="9"/>
  <c r="D368" i="9"/>
  <c r="D101" i="9"/>
  <c r="D440" i="9"/>
  <c r="D303" i="9"/>
  <c r="D48" i="9"/>
  <c r="D470" i="9"/>
  <c r="D66" i="9"/>
  <c r="D377" i="9"/>
  <c r="D310" i="9"/>
  <c r="D421" i="9"/>
  <c r="D428" i="9"/>
  <c r="D179" i="9"/>
  <c r="D419" i="9"/>
  <c r="D343" i="9"/>
  <c r="D259" i="9"/>
  <c r="D88" i="9"/>
  <c r="D105" i="9"/>
  <c r="D325" i="9"/>
  <c r="D344" i="9"/>
  <c r="D51" i="9"/>
  <c r="D433" i="9"/>
  <c r="D304" i="9"/>
  <c r="D338" i="9"/>
  <c r="D132" i="9"/>
  <c r="D397" i="9"/>
  <c r="D416" i="9"/>
  <c r="D5" i="9"/>
  <c r="D410" i="9"/>
  <c r="D386" i="9"/>
  <c r="D296" i="9"/>
  <c r="D41" i="9"/>
  <c r="D435" i="9"/>
  <c r="D106" i="9"/>
  <c r="D431" i="9"/>
  <c r="D153" i="9"/>
  <c r="D77" i="9"/>
  <c r="D485" i="9"/>
  <c r="D81" i="9"/>
  <c r="D160" i="9"/>
  <c r="D499" i="9"/>
  <c r="D60" i="9"/>
  <c r="D37" i="9"/>
  <c r="D312" i="9"/>
  <c r="D162" i="9"/>
  <c r="D237" i="9"/>
  <c r="D375" i="9"/>
  <c r="D271" i="9"/>
  <c r="D145" i="9"/>
  <c r="D233" i="9"/>
  <c r="D92" i="9"/>
  <c r="D119" i="9"/>
  <c r="D136" i="9"/>
  <c r="D56" i="9"/>
  <c r="D217" i="9"/>
  <c r="D244" i="9"/>
  <c r="D78" i="9"/>
  <c r="D298" i="9"/>
  <c r="D169" i="9"/>
  <c r="D381" i="9"/>
  <c r="D320" i="9"/>
  <c r="D76" i="9"/>
  <c r="D451" i="9"/>
  <c r="D454" i="9"/>
  <c r="D420" i="9"/>
  <c r="D445" i="9"/>
  <c r="D133" i="9"/>
  <c r="D107" i="9"/>
  <c r="D426" i="9"/>
  <c r="D71" i="9"/>
  <c r="D214" i="9"/>
  <c r="D85" i="9"/>
  <c r="D482" i="9"/>
  <c r="D317" i="9"/>
  <c r="D351" i="9"/>
  <c r="D455" i="9"/>
  <c r="D348" i="9"/>
  <c r="D31" i="9"/>
  <c r="D62" i="9"/>
  <c r="D186" i="9"/>
  <c r="D215" i="9"/>
  <c r="D474" i="9"/>
  <c r="D157" i="9"/>
  <c r="D479" i="9"/>
  <c r="D318" i="9"/>
  <c r="D268" i="9"/>
  <c r="D335" i="9"/>
  <c r="D378" i="9"/>
  <c r="D327" i="9"/>
  <c r="D159" i="9"/>
  <c r="D52" i="9"/>
  <c r="D379" i="9"/>
  <c r="D127" i="9"/>
  <c r="D17" i="9"/>
  <c r="D55" i="9"/>
  <c r="D242" i="9"/>
  <c r="D83" i="9"/>
  <c r="D139" i="9"/>
  <c r="D458" i="9"/>
  <c r="D294" i="9"/>
  <c r="D239" i="9"/>
  <c r="D291" i="9"/>
  <c r="D347" i="9"/>
  <c r="D103" i="9"/>
  <c r="D221" i="9"/>
  <c r="D199" i="9"/>
  <c r="D228" i="9"/>
  <c r="D130" i="9"/>
  <c r="D264" i="9"/>
  <c r="D110" i="9"/>
  <c r="D265" i="9"/>
  <c r="D164" i="9"/>
  <c r="D134" i="9"/>
  <c r="D26" i="9"/>
  <c r="D292" i="9"/>
  <c r="D188" i="9"/>
  <c r="N2" i="4"/>
  <c r="O4" i="4" s="1"/>
  <c r="F5" i="9" l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F33" i="9" s="1"/>
  <c r="F34" i="9" s="1"/>
  <c r="F35" i="9" s="1"/>
  <c r="F36" i="9" s="1"/>
  <c r="F37" i="9" s="1"/>
  <c r="F38" i="9" s="1"/>
  <c r="F39" i="9" s="1"/>
  <c r="F40" i="9" s="1"/>
  <c r="F41" i="9" s="1"/>
  <c r="F42" i="9" s="1"/>
  <c r="F43" i="9" s="1"/>
  <c r="F44" i="9" s="1"/>
  <c r="F45" i="9" s="1"/>
  <c r="F46" i="9" s="1"/>
  <c r="F47" i="9" s="1"/>
  <c r="F48" i="9" s="1"/>
  <c r="F49" i="9" s="1"/>
  <c r="F50" i="9" s="1"/>
  <c r="F51" i="9" s="1"/>
  <c r="F52" i="9" s="1"/>
  <c r="F53" i="9" s="1"/>
  <c r="F54" i="9" s="1"/>
  <c r="F55" i="9" s="1"/>
  <c r="F56" i="9" s="1"/>
  <c r="F57" i="9" s="1"/>
  <c r="F58" i="9" s="1"/>
  <c r="F59" i="9" s="1"/>
  <c r="F60" i="9" s="1"/>
  <c r="F61" i="9" s="1"/>
  <c r="F62" i="9" s="1"/>
  <c r="F63" i="9" s="1"/>
  <c r="F64" i="9" s="1"/>
  <c r="F65" i="9" s="1"/>
  <c r="F66" i="9" s="1"/>
  <c r="F67" i="9" s="1"/>
  <c r="F68" i="9" s="1"/>
  <c r="F69" i="9" s="1"/>
  <c r="F70" i="9" s="1"/>
  <c r="F71" i="9" s="1"/>
  <c r="F72" i="9" s="1"/>
  <c r="F73" i="9" s="1"/>
  <c r="F74" i="9" s="1"/>
  <c r="F75" i="9" s="1"/>
  <c r="F76" i="9" s="1"/>
  <c r="F77" i="9" s="1"/>
  <c r="F78" i="9" s="1"/>
  <c r="F79" i="9" s="1"/>
  <c r="F80" i="9" s="1"/>
  <c r="F81" i="9" s="1"/>
  <c r="F82" i="9" s="1"/>
  <c r="F83" i="9" s="1"/>
  <c r="F84" i="9" s="1"/>
  <c r="F85" i="9" s="1"/>
  <c r="F86" i="9" s="1"/>
  <c r="F87" i="9" s="1"/>
  <c r="F88" i="9" s="1"/>
  <c r="F89" i="9" s="1"/>
  <c r="F90" i="9" s="1"/>
  <c r="F91" i="9" s="1"/>
  <c r="F92" i="9" s="1"/>
  <c r="F93" i="9" s="1"/>
  <c r="F94" i="9" s="1"/>
  <c r="F95" i="9" s="1"/>
  <c r="F96" i="9" s="1"/>
  <c r="F97" i="9" s="1"/>
  <c r="F98" i="9" s="1"/>
  <c r="F99" i="9" s="1"/>
  <c r="F100" i="9" s="1"/>
  <c r="F101" i="9" s="1"/>
  <c r="F102" i="9" s="1"/>
  <c r="F103" i="9" s="1"/>
  <c r="F104" i="9" s="1"/>
  <c r="F105" i="9" s="1"/>
  <c r="F106" i="9" s="1"/>
  <c r="F107" i="9" s="1"/>
  <c r="F108" i="9" s="1"/>
  <c r="F109" i="9" s="1"/>
  <c r="F110" i="9" s="1"/>
  <c r="F111" i="9" s="1"/>
  <c r="F112" i="9" s="1"/>
  <c r="F113" i="9" s="1"/>
  <c r="F114" i="9" s="1"/>
  <c r="F115" i="9" s="1"/>
  <c r="F116" i="9" s="1"/>
  <c r="F117" i="9" s="1"/>
  <c r="F118" i="9" s="1"/>
  <c r="F119" i="9" s="1"/>
  <c r="F120" i="9" s="1"/>
  <c r="F121" i="9" s="1"/>
  <c r="F122" i="9" s="1"/>
  <c r="F123" i="9" s="1"/>
  <c r="F124" i="9" s="1"/>
  <c r="F125" i="9" s="1"/>
  <c r="F126" i="9" s="1"/>
  <c r="F127" i="9" s="1"/>
  <c r="F128" i="9" s="1"/>
  <c r="F129" i="9" s="1"/>
  <c r="F130" i="9" s="1"/>
  <c r="F131" i="9" s="1"/>
  <c r="F132" i="9" s="1"/>
  <c r="F133" i="9" s="1"/>
  <c r="F134" i="9" s="1"/>
  <c r="F135" i="9" s="1"/>
  <c r="F136" i="9" s="1"/>
  <c r="F137" i="9" s="1"/>
  <c r="F138" i="9" s="1"/>
  <c r="F139" i="9" s="1"/>
  <c r="F140" i="9" s="1"/>
  <c r="F141" i="9" s="1"/>
  <c r="F142" i="9" s="1"/>
  <c r="F143" i="9" s="1"/>
  <c r="F144" i="9" s="1"/>
  <c r="F145" i="9" s="1"/>
  <c r="F146" i="9" s="1"/>
  <c r="F147" i="9" s="1"/>
  <c r="F148" i="9" s="1"/>
  <c r="F149" i="9" s="1"/>
  <c r="F150" i="9" s="1"/>
  <c r="F151" i="9" s="1"/>
  <c r="F152" i="9" s="1"/>
  <c r="F153" i="9" s="1"/>
  <c r="F154" i="9" s="1"/>
  <c r="F155" i="9" s="1"/>
  <c r="F156" i="9" s="1"/>
  <c r="F157" i="9" s="1"/>
  <c r="F158" i="9" s="1"/>
  <c r="F159" i="9" s="1"/>
  <c r="F160" i="9" s="1"/>
  <c r="F161" i="9" s="1"/>
  <c r="F162" i="9" s="1"/>
  <c r="F163" i="9" s="1"/>
  <c r="F164" i="9" s="1"/>
  <c r="F165" i="9" s="1"/>
  <c r="F166" i="9" s="1"/>
  <c r="F167" i="9" s="1"/>
  <c r="F168" i="9" s="1"/>
  <c r="F169" i="9" s="1"/>
  <c r="F170" i="9" s="1"/>
  <c r="F171" i="9" s="1"/>
  <c r="F172" i="9" s="1"/>
  <c r="F173" i="9" s="1"/>
  <c r="F174" i="9" s="1"/>
  <c r="F175" i="9" s="1"/>
  <c r="F176" i="9" s="1"/>
  <c r="F177" i="9" s="1"/>
  <c r="F178" i="9" s="1"/>
  <c r="F179" i="9" s="1"/>
  <c r="F180" i="9" s="1"/>
  <c r="F181" i="9" s="1"/>
  <c r="F182" i="9" s="1"/>
  <c r="F183" i="9" s="1"/>
  <c r="F184" i="9" s="1"/>
  <c r="F185" i="9" s="1"/>
  <c r="F186" i="9" s="1"/>
  <c r="F187" i="9" s="1"/>
  <c r="F188" i="9" s="1"/>
  <c r="F189" i="9" s="1"/>
  <c r="F190" i="9" s="1"/>
  <c r="F191" i="9" s="1"/>
  <c r="F192" i="9" s="1"/>
  <c r="F193" i="9" s="1"/>
  <c r="F194" i="9" s="1"/>
  <c r="F195" i="9" s="1"/>
  <c r="F196" i="9" s="1"/>
  <c r="F197" i="9" s="1"/>
  <c r="F198" i="9" s="1"/>
  <c r="F199" i="9" s="1"/>
  <c r="F200" i="9" s="1"/>
  <c r="F201" i="9" s="1"/>
  <c r="F202" i="9" s="1"/>
  <c r="F203" i="9" s="1"/>
  <c r="F204" i="9" s="1"/>
  <c r="F205" i="9" s="1"/>
  <c r="F206" i="9" s="1"/>
  <c r="F207" i="9" s="1"/>
  <c r="F208" i="9" s="1"/>
  <c r="F209" i="9" s="1"/>
  <c r="F210" i="9" s="1"/>
  <c r="F211" i="9" s="1"/>
  <c r="F212" i="9" s="1"/>
  <c r="F213" i="9" s="1"/>
  <c r="F214" i="9" s="1"/>
  <c r="F215" i="9" s="1"/>
  <c r="F216" i="9" s="1"/>
  <c r="F217" i="9" s="1"/>
  <c r="F218" i="9" s="1"/>
  <c r="F219" i="9" s="1"/>
  <c r="F220" i="9" s="1"/>
  <c r="F221" i="9" s="1"/>
  <c r="F222" i="9" s="1"/>
  <c r="F223" i="9" s="1"/>
  <c r="F224" i="9" s="1"/>
  <c r="F225" i="9" s="1"/>
  <c r="F226" i="9" s="1"/>
  <c r="F227" i="9" s="1"/>
  <c r="F228" i="9" s="1"/>
  <c r="F229" i="9" s="1"/>
  <c r="F230" i="9" s="1"/>
  <c r="F231" i="9" s="1"/>
  <c r="F232" i="9" s="1"/>
  <c r="F233" i="9" s="1"/>
  <c r="F234" i="9" s="1"/>
  <c r="F235" i="9" s="1"/>
  <c r="F236" i="9" s="1"/>
  <c r="F237" i="9" s="1"/>
  <c r="F238" i="9" s="1"/>
  <c r="F239" i="9" s="1"/>
  <c r="F240" i="9" s="1"/>
  <c r="F241" i="9" s="1"/>
  <c r="F242" i="9" s="1"/>
  <c r="F243" i="9" s="1"/>
  <c r="F244" i="9" s="1"/>
  <c r="F245" i="9" s="1"/>
  <c r="F246" i="9" s="1"/>
  <c r="F247" i="9" s="1"/>
  <c r="F248" i="9" s="1"/>
  <c r="F249" i="9" s="1"/>
  <c r="F250" i="9" s="1"/>
  <c r="F251" i="9" s="1"/>
  <c r="F252" i="9" s="1"/>
  <c r="F253" i="9" s="1"/>
  <c r="F254" i="9" s="1"/>
  <c r="F255" i="9" s="1"/>
  <c r="F256" i="9" s="1"/>
  <c r="F257" i="9" s="1"/>
  <c r="F258" i="9" s="1"/>
  <c r="F259" i="9" s="1"/>
  <c r="F260" i="9" s="1"/>
  <c r="F261" i="9" s="1"/>
  <c r="F262" i="9" s="1"/>
  <c r="F263" i="9" s="1"/>
  <c r="F264" i="9" s="1"/>
  <c r="F265" i="9" s="1"/>
  <c r="F266" i="9" s="1"/>
  <c r="F267" i="9" s="1"/>
  <c r="F268" i="9" s="1"/>
  <c r="F269" i="9" s="1"/>
  <c r="F270" i="9" s="1"/>
  <c r="F271" i="9" s="1"/>
  <c r="F272" i="9" s="1"/>
  <c r="F273" i="9" s="1"/>
  <c r="F274" i="9" s="1"/>
  <c r="F275" i="9" s="1"/>
  <c r="F276" i="9" s="1"/>
  <c r="F277" i="9" s="1"/>
  <c r="F278" i="9" s="1"/>
  <c r="F279" i="9" s="1"/>
  <c r="F280" i="9" s="1"/>
  <c r="F281" i="9" s="1"/>
  <c r="F282" i="9" s="1"/>
  <c r="F283" i="9" s="1"/>
  <c r="F284" i="9" s="1"/>
  <c r="F285" i="9" s="1"/>
  <c r="F286" i="9" s="1"/>
  <c r="F287" i="9" s="1"/>
  <c r="F288" i="9" s="1"/>
  <c r="F289" i="9" s="1"/>
  <c r="F290" i="9" s="1"/>
  <c r="F291" i="9" s="1"/>
  <c r="F292" i="9" s="1"/>
  <c r="F293" i="9" s="1"/>
  <c r="F294" i="9" s="1"/>
  <c r="F295" i="9" s="1"/>
  <c r="F296" i="9" s="1"/>
  <c r="F297" i="9" s="1"/>
  <c r="F298" i="9" s="1"/>
  <c r="F299" i="9" s="1"/>
  <c r="F300" i="9" s="1"/>
  <c r="F301" i="9" s="1"/>
  <c r="F302" i="9" s="1"/>
  <c r="F303" i="9" s="1"/>
  <c r="F304" i="9" s="1"/>
  <c r="F305" i="9" s="1"/>
  <c r="F306" i="9" s="1"/>
  <c r="F307" i="9" s="1"/>
  <c r="F308" i="9" s="1"/>
  <c r="F309" i="9" s="1"/>
  <c r="F310" i="9" s="1"/>
  <c r="F311" i="9" s="1"/>
  <c r="F312" i="9" s="1"/>
  <c r="F313" i="9" s="1"/>
  <c r="F314" i="9" s="1"/>
  <c r="F315" i="9" s="1"/>
  <c r="F316" i="9" s="1"/>
  <c r="F317" i="9" s="1"/>
  <c r="F318" i="9" s="1"/>
  <c r="F319" i="9" s="1"/>
  <c r="F320" i="9" s="1"/>
  <c r="F321" i="9" s="1"/>
  <c r="F322" i="9" s="1"/>
  <c r="F323" i="9" s="1"/>
  <c r="F324" i="9" s="1"/>
  <c r="F325" i="9" s="1"/>
  <c r="F326" i="9" s="1"/>
  <c r="F327" i="9" s="1"/>
  <c r="F328" i="9" s="1"/>
  <c r="F329" i="9" s="1"/>
  <c r="F330" i="9" s="1"/>
  <c r="F331" i="9" s="1"/>
  <c r="F332" i="9" s="1"/>
  <c r="F333" i="9" s="1"/>
  <c r="F334" i="9" s="1"/>
  <c r="F335" i="9" s="1"/>
  <c r="F336" i="9" s="1"/>
  <c r="F337" i="9" s="1"/>
  <c r="F338" i="9" s="1"/>
  <c r="F339" i="9" s="1"/>
  <c r="F340" i="9" s="1"/>
  <c r="F341" i="9" s="1"/>
  <c r="F342" i="9" s="1"/>
  <c r="F343" i="9" s="1"/>
  <c r="F344" i="9" s="1"/>
  <c r="F345" i="9" s="1"/>
  <c r="F346" i="9" s="1"/>
  <c r="F347" i="9" s="1"/>
  <c r="F348" i="9" s="1"/>
  <c r="F349" i="9" s="1"/>
  <c r="F350" i="9" s="1"/>
  <c r="F351" i="9" s="1"/>
  <c r="F352" i="9" s="1"/>
  <c r="F353" i="9" s="1"/>
  <c r="F354" i="9" s="1"/>
  <c r="F355" i="9" s="1"/>
  <c r="F356" i="9" s="1"/>
  <c r="F357" i="9" s="1"/>
  <c r="F358" i="9" s="1"/>
  <c r="F359" i="9" s="1"/>
  <c r="F360" i="9" s="1"/>
  <c r="F361" i="9" s="1"/>
  <c r="F362" i="9" s="1"/>
  <c r="F363" i="9" s="1"/>
  <c r="F364" i="9" s="1"/>
  <c r="F365" i="9" s="1"/>
  <c r="F366" i="9" s="1"/>
  <c r="F367" i="9" s="1"/>
  <c r="F368" i="9" s="1"/>
  <c r="F369" i="9" s="1"/>
  <c r="F370" i="9" s="1"/>
  <c r="F371" i="9" s="1"/>
  <c r="F372" i="9" s="1"/>
  <c r="F373" i="9" s="1"/>
  <c r="F374" i="9" s="1"/>
  <c r="F375" i="9" s="1"/>
  <c r="F376" i="9" s="1"/>
  <c r="F377" i="9" s="1"/>
  <c r="F378" i="9" s="1"/>
  <c r="F379" i="9" s="1"/>
  <c r="F380" i="9" s="1"/>
  <c r="F381" i="9" s="1"/>
  <c r="F382" i="9" s="1"/>
  <c r="F383" i="9" s="1"/>
  <c r="F384" i="9" s="1"/>
  <c r="F385" i="9" s="1"/>
  <c r="F386" i="9" s="1"/>
  <c r="F387" i="9" s="1"/>
  <c r="F388" i="9" s="1"/>
  <c r="F389" i="9" s="1"/>
  <c r="F390" i="9" s="1"/>
  <c r="F391" i="9" s="1"/>
  <c r="F392" i="9" s="1"/>
  <c r="F393" i="9" s="1"/>
  <c r="F394" i="9" s="1"/>
  <c r="F395" i="9" s="1"/>
  <c r="F396" i="9" s="1"/>
  <c r="F397" i="9" s="1"/>
  <c r="F398" i="9" s="1"/>
  <c r="F399" i="9" s="1"/>
  <c r="F400" i="9" s="1"/>
  <c r="F401" i="9" s="1"/>
  <c r="F402" i="9" s="1"/>
  <c r="F403" i="9" s="1"/>
  <c r="F404" i="9" s="1"/>
  <c r="F405" i="9" s="1"/>
  <c r="F406" i="9" s="1"/>
  <c r="F407" i="9" s="1"/>
  <c r="F408" i="9" s="1"/>
  <c r="F409" i="9" s="1"/>
  <c r="F410" i="9" s="1"/>
  <c r="F411" i="9" s="1"/>
  <c r="F412" i="9" s="1"/>
  <c r="F413" i="9" s="1"/>
  <c r="F414" i="9" s="1"/>
  <c r="F415" i="9" s="1"/>
  <c r="F416" i="9" s="1"/>
  <c r="F417" i="9" s="1"/>
  <c r="F418" i="9" s="1"/>
  <c r="F419" i="9" s="1"/>
  <c r="F420" i="9" s="1"/>
  <c r="F421" i="9" s="1"/>
  <c r="F422" i="9" s="1"/>
  <c r="F423" i="9" s="1"/>
  <c r="F424" i="9" s="1"/>
  <c r="F425" i="9" s="1"/>
  <c r="F426" i="9" s="1"/>
  <c r="F427" i="9" s="1"/>
  <c r="F428" i="9" s="1"/>
  <c r="F429" i="9" s="1"/>
  <c r="F430" i="9" s="1"/>
  <c r="F431" i="9" s="1"/>
  <c r="F432" i="9" s="1"/>
  <c r="F433" i="9" s="1"/>
  <c r="F434" i="9" s="1"/>
  <c r="F435" i="9" s="1"/>
  <c r="F436" i="9" s="1"/>
  <c r="F437" i="9" s="1"/>
  <c r="F438" i="9" s="1"/>
  <c r="F439" i="9" s="1"/>
  <c r="F440" i="9" s="1"/>
  <c r="F441" i="9" s="1"/>
  <c r="F442" i="9" s="1"/>
  <c r="F443" i="9" s="1"/>
  <c r="F444" i="9" s="1"/>
  <c r="F445" i="9" s="1"/>
  <c r="F446" i="9" s="1"/>
  <c r="F447" i="9" s="1"/>
  <c r="F448" i="9" s="1"/>
  <c r="F449" i="9" s="1"/>
  <c r="F450" i="9" s="1"/>
  <c r="F451" i="9" s="1"/>
  <c r="F452" i="9" s="1"/>
  <c r="F453" i="9" s="1"/>
  <c r="F454" i="9" s="1"/>
  <c r="F455" i="9" s="1"/>
  <c r="F456" i="9" s="1"/>
  <c r="F457" i="9" s="1"/>
  <c r="F458" i="9" s="1"/>
  <c r="F459" i="9" s="1"/>
  <c r="F460" i="9" s="1"/>
  <c r="F461" i="9" s="1"/>
  <c r="F462" i="9" s="1"/>
  <c r="F463" i="9" s="1"/>
  <c r="F464" i="9" s="1"/>
  <c r="F465" i="9" s="1"/>
  <c r="F466" i="9" s="1"/>
  <c r="F467" i="9" s="1"/>
  <c r="F468" i="9" s="1"/>
  <c r="F469" i="9" s="1"/>
  <c r="F470" i="9" s="1"/>
  <c r="F471" i="9" s="1"/>
  <c r="F472" i="9" s="1"/>
  <c r="F473" i="9" s="1"/>
  <c r="F474" i="9" s="1"/>
  <c r="F475" i="9" s="1"/>
  <c r="F476" i="9" s="1"/>
  <c r="F477" i="9" s="1"/>
  <c r="F478" i="9" s="1"/>
  <c r="F479" i="9" s="1"/>
  <c r="F480" i="9" s="1"/>
  <c r="F481" i="9" s="1"/>
  <c r="F482" i="9" s="1"/>
  <c r="F483" i="9" s="1"/>
  <c r="F484" i="9" s="1"/>
  <c r="F485" i="9" s="1"/>
  <c r="F486" i="9" s="1"/>
  <c r="F487" i="9" s="1"/>
  <c r="F488" i="9" s="1"/>
  <c r="F489" i="9" s="1"/>
  <c r="F490" i="9" s="1"/>
  <c r="F491" i="9" s="1"/>
  <c r="F492" i="9" s="1"/>
  <c r="F493" i="9" s="1"/>
  <c r="F494" i="9" s="1"/>
  <c r="F495" i="9" s="1"/>
  <c r="F496" i="9" s="1"/>
  <c r="F497" i="9" s="1"/>
  <c r="F498" i="9" s="1"/>
  <c r="F499" i="9" s="1"/>
  <c r="F500" i="9" s="1"/>
  <c r="F501" i="9" s="1"/>
  <c r="F4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730D02-E2B0-4DF5-A728-B0928751E1B9}" keepAlive="1" name="クエリ - curva_interessante_500" description="ブック内の 'curva_interessante_500' クエリへの接続です。" type="5" refreshedVersion="0" background="1">
    <dbPr connection="Provider=Microsoft.Mashup.OleDb.1;Data Source=$Workbook$;Location=curva_interessante_500;Extended Properties=&quot;&quot;" command="SELECT * FROM [curva_interessante_500]"/>
  </connection>
  <connection id="2" xr16:uid="{B64AECA3-7C28-4E06-A4CD-E67FD02366DD}" keepAlive="1" name="クエリ - data" description="ブック内の 'data' クエリへの接続です。" type="5" refreshedVersion="0" background="1">
    <dbPr connection="Provider=Microsoft.Mashup.OleDb.1;Data Source=$Workbook$;Location=data;Extended Properties=&quot;&quot;" command="SELECT * FROM [dat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<sst xmlns="http://schemas.openxmlformats.org/spreadsheetml/2006/main" count="9" uniqueCount="9">
  <si>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y = ax + b</t>
    <phoneticPr fontId="18"/>
  </si>
  <si>
    <t>a</t>
    <phoneticPr fontId="18"/>
  </si>
  <si>
    <t>b</t>
    <phoneticPr fontId="18"/>
  </si>
  <si>
    <t xml:space="preserve">a = </t>
    <phoneticPr fontId="18"/>
  </si>
  <si>
    <t>b =</t>
    <phoneticPr fontId="18"/>
  </si>
  <si>
    <t>y_reg =</t>
    <phoneticPr fontId="18"/>
  </si>
  <si>
    <t>y = a*e^(bx) + c</t>
    <phoneticPr fontId="18"/>
  </si>
  <si>
    <t>c</t>
    <phoneticPr fontId="18"/>
  </si>
  <si>
    <t>y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</si>
</sst>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3" formatCode="0_);[Red]\(0\)"/>
  </numFmts>
  <fonts count="21" x14ac:knownFonts="1">
    <font>
      <sz val="11"/>
      <color theme="1"/>
      <name val="ＭＳ Ｐゴシック"/>
      <family val="2"/>
      <charset val="128"/>
    </font>
    <font>
      <sz val="11"/>
      <color theme="1"/>
      <name val="ＭＳ Ｐゴシック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ＭＳ Ｐゴシック"/>
      <family val="2"/>
      <charset val="128"/>
    </font>
    <font>
      <b/>
      <sz val="13"/>
      <color theme="3"/>
      <name val="ＭＳ Ｐゴシック"/>
      <family val="2"/>
      <charset val="128"/>
    </font>
    <font>
      <b/>
      <sz val="11"/>
      <color theme="3"/>
      <name val="ＭＳ Ｐゴシック"/>
      <family val="2"/>
      <charset val="128"/>
    </font>
    <font>
      <sz val="11"/>
      <color rgb="FF006100"/>
      <name val="ＭＳ Ｐゴシック"/>
      <family val="2"/>
      <charset val="128"/>
    </font>
    <font>
      <sz val="11"/>
      <color rgb="FF9C0006"/>
      <name val="ＭＳ Ｐゴシック"/>
      <family val="2"/>
      <charset val="128"/>
    </font>
    <font>
      <sz val="11"/>
      <color rgb="FF9C5700"/>
      <name val="ＭＳ Ｐゴシック"/>
      <family val="2"/>
      <charset val="128"/>
    </font>
    <font>
      <sz val="11"/>
      <color rgb="FF3F3F76"/>
      <name val="ＭＳ Ｐゴシック"/>
      <family val="2"/>
      <charset val="128"/>
    </font>
    <font>
      <b/>
      <sz val="11"/>
      <color rgb="FF3F3F3F"/>
      <name val="ＭＳ Ｐゴシック"/>
      <family val="2"/>
      <charset val="128"/>
    </font>
    <font>
      <b/>
      <sz val="11"/>
      <color rgb="FFFA7D00"/>
      <name val="ＭＳ Ｐゴシック"/>
      <family val="2"/>
      <charset val="128"/>
    </font>
    <font>
      <sz val="11"/>
      <color rgb="FFFA7D00"/>
      <name val="ＭＳ Ｐゴシック"/>
      <family val="2"/>
      <charset val="128"/>
    </font>
    <font>
      <b/>
      <sz val="11"/>
      <color theme="0"/>
      <name val="ＭＳ Ｐゴシック"/>
      <family val="2"/>
      <charset val="128"/>
    </font>
    <font>
      <sz val="11"/>
      <color rgb="FFFF0000"/>
      <name val="ＭＳ Ｐゴシック"/>
      <family val="2"/>
      <charset val="128"/>
    </font>
    <font>
      <i/>
      <sz val="11"/>
      <color rgb="FF7F7F7F"/>
      <name val="ＭＳ Ｐゴシック"/>
      <family val="2"/>
      <charset val="128"/>
    </font>
    <font>
      <b/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6"/>
      <name val="ＭＳ Ｐゴシック"/>
      <family val="2"/>
      <charset val="128"/>
    </font>
    <font>
      <sz val="11"/>
      <color theme="1"/>
      <name val="Arial Unicode MS"/>
      <family val="3"/>
      <charset val="128"/>
    </font>
    <font>
      <sz val="12"/>
      <color theme="1"/>
      <name val="Arial Unicode MS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right" vertical="center"/>
    </xf>
    <xf numFmtId="0" fontId="20" fillId="0" borderId="0" xfId="0" applyFont="1">
      <alignment vertical="center"/>
    </xf>
    <xf numFmtId="183" fontId="19" fillId="0" borderId="0" xfId="0" applyNumberFormat="1" applyFon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Original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Original</c:v>
          </c:tx>
          <c:spPr>
            <a:ln w="95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  <a:alpha val="31000"/>
                </a:schemeClr>
              </a:solidFill>
              <a:ln w="3175">
                <a:solidFill>
                  <a:schemeClr val="tx1">
                    <a:lumMod val="95000"/>
                    <a:lumOff val="5000"/>
                    <a:alpha val="95000"/>
                  </a:schemeClr>
                </a:solidFill>
                <a:round/>
              </a:ln>
              <a:effectLst/>
            </c:spPr>
          </c:marker>
          <c:xVal>
            <c:numRef>
              <c:f>Data!$A$1:$A$500</c:f>
              <c:numCache>
                <c:formatCode>General</c:formatCode>
                <c:ptCount val="500"/>
                <c:pt idx="0">
                  <c:v>0.1206</c:v>
                </c:pt>
                <c:pt idx="1">
                  <c:v>0.17858499999999999</c:v>
                </c:pt>
                <c:pt idx="2">
                  <c:v>0.26098500000000002</c:v>
                </c:pt>
                <c:pt idx="3">
                  <c:v>0.26632600000000001</c:v>
                </c:pt>
                <c:pt idx="4">
                  <c:v>0.42044399999999998</c:v>
                </c:pt>
                <c:pt idx="5">
                  <c:v>0.59363699999999997</c:v>
                </c:pt>
                <c:pt idx="6">
                  <c:v>0.67374800000000001</c:v>
                </c:pt>
                <c:pt idx="7">
                  <c:v>0.74622900000000003</c:v>
                </c:pt>
                <c:pt idx="8">
                  <c:v>0.75767399999999996</c:v>
                </c:pt>
                <c:pt idx="9">
                  <c:v>0.88508900000000001</c:v>
                </c:pt>
                <c:pt idx="10">
                  <c:v>0.89653300000000002</c:v>
                </c:pt>
                <c:pt idx="11">
                  <c:v>0.92628900000000003</c:v>
                </c:pt>
                <c:pt idx="12">
                  <c:v>0.96443699999999999</c:v>
                </c:pt>
                <c:pt idx="13">
                  <c:v>1.0132699999999999</c:v>
                </c:pt>
                <c:pt idx="14">
                  <c:v>1.0430200000000001</c:v>
                </c:pt>
                <c:pt idx="15">
                  <c:v>1.0437799999999999</c:v>
                </c:pt>
                <c:pt idx="16">
                  <c:v>1.0682</c:v>
                </c:pt>
                <c:pt idx="17">
                  <c:v>1.1048199999999999</c:v>
                </c:pt>
                <c:pt idx="18">
                  <c:v>1.1689099999999999</c:v>
                </c:pt>
                <c:pt idx="19">
                  <c:v>1.16967</c:v>
                </c:pt>
                <c:pt idx="20">
                  <c:v>1.1895100000000001</c:v>
                </c:pt>
                <c:pt idx="21">
                  <c:v>1.22461</c:v>
                </c:pt>
                <c:pt idx="22">
                  <c:v>1.2314700000000001</c:v>
                </c:pt>
                <c:pt idx="23">
                  <c:v>1.2841199999999999</c:v>
                </c:pt>
                <c:pt idx="24">
                  <c:v>1.30396</c:v>
                </c:pt>
                <c:pt idx="25">
                  <c:v>1.3077700000000001</c:v>
                </c:pt>
                <c:pt idx="26">
                  <c:v>1.4618899999999999</c:v>
                </c:pt>
                <c:pt idx="27">
                  <c:v>1.4802</c:v>
                </c:pt>
                <c:pt idx="28">
                  <c:v>1.49088</c:v>
                </c:pt>
                <c:pt idx="29">
                  <c:v>1.4946999999999999</c:v>
                </c:pt>
                <c:pt idx="30">
                  <c:v>1.5397099999999999</c:v>
                </c:pt>
                <c:pt idx="31">
                  <c:v>1.5679399999999999</c:v>
                </c:pt>
                <c:pt idx="32">
                  <c:v>1.65873</c:v>
                </c:pt>
                <c:pt idx="33">
                  <c:v>1.66178</c:v>
                </c:pt>
                <c:pt idx="34">
                  <c:v>1.71672</c:v>
                </c:pt>
                <c:pt idx="35">
                  <c:v>1.7548699999999999</c:v>
                </c:pt>
                <c:pt idx="36">
                  <c:v>1.8159000000000001</c:v>
                </c:pt>
                <c:pt idx="37">
                  <c:v>1.92424</c:v>
                </c:pt>
                <c:pt idx="38">
                  <c:v>1.9265300000000001</c:v>
                </c:pt>
                <c:pt idx="39">
                  <c:v>1.9532400000000001</c:v>
                </c:pt>
                <c:pt idx="40">
                  <c:v>2.00664</c:v>
                </c:pt>
                <c:pt idx="41">
                  <c:v>2.0501299999999998</c:v>
                </c:pt>
                <c:pt idx="42">
                  <c:v>2.08752</c:v>
                </c:pt>
                <c:pt idx="43">
                  <c:v>2.1180400000000001</c:v>
                </c:pt>
                <c:pt idx="44">
                  <c:v>2.1310099999999998</c:v>
                </c:pt>
                <c:pt idx="45">
                  <c:v>2.1928100000000001</c:v>
                </c:pt>
                <c:pt idx="46">
                  <c:v>2.2301899999999999</c:v>
                </c:pt>
                <c:pt idx="47">
                  <c:v>2.4712900000000002</c:v>
                </c:pt>
                <c:pt idx="48">
                  <c:v>2.5887799999999999</c:v>
                </c:pt>
                <c:pt idx="49">
                  <c:v>2.6040399999999999</c:v>
                </c:pt>
                <c:pt idx="50">
                  <c:v>2.6360899999999998</c:v>
                </c:pt>
                <c:pt idx="51">
                  <c:v>2.66737</c:v>
                </c:pt>
                <c:pt idx="52">
                  <c:v>2.7398500000000001</c:v>
                </c:pt>
                <c:pt idx="53">
                  <c:v>2.7581600000000002</c:v>
                </c:pt>
                <c:pt idx="54">
                  <c:v>2.76579</c:v>
                </c:pt>
                <c:pt idx="55">
                  <c:v>2.7711299999999999</c:v>
                </c:pt>
                <c:pt idx="56">
                  <c:v>2.7970700000000002</c:v>
                </c:pt>
                <c:pt idx="57">
                  <c:v>2.9740799999999998</c:v>
                </c:pt>
                <c:pt idx="58">
                  <c:v>2.9756100000000001</c:v>
                </c:pt>
                <c:pt idx="59">
                  <c:v>3.0610599999999999</c:v>
                </c:pt>
                <c:pt idx="60">
                  <c:v>3.0870000000000002</c:v>
                </c:pt>
                <c:pt idx="61">
                  <c:v>3.1015000000000001</c:v>
                </c:pt>
                <c:pt idx="62">
                  <c:v>3.13964</c:v>
                </c:pt>
                <c:pt idx="63">
                  <c:v>3.1549</c:v>
                </c:pt>
                <c:pt idx="64">
                  <c:v>3.26553</c:v>
                </c:pt>
                <c:pt idx="65">
                  <c:v>3.2716400000000001</c:v>
                </c:pt>
                <c:pt idx="66">
                  <c:v>3.28918</c:v>
                </c:pt>
                <c:pt idx="67">
                  <c:v>3.3830300000000002</c:v>
                </c:pt>
                <c:pt idx="68">
                  <c:v>3.5768200000000001</c:v>
                </c:pt>
                <c:pt idx="69">
                  <c:v>3.6256499999999998</c:v>
                </c:pt>
                <c:pt idx="70">
                  <c:v>3.6439599999999999</c:v>
                </c:pt>
                <c:pt idx="71">
                  <c:v>3.7240700000000002</c:v>
                </c:pt>
                <c:pt idx="72">
                  <c:v>3.7240700000000002</c:v>
                </c:pt>
                <c:pt idx="73">
                  <c:v>3.7278899999999999</c:v>
                </c:pt>
                <c:pt idx="74">
                  <c:v>3.72865</c:v>
                </c:pt>
                <c:pt idx="75">
                  <c:v>3.7362799999999998</c:v>
                </c:pt>
                <c:pt idx="76">
                  <c:v>3.7416200000000002</c:v>
                </c:pt>
                <c:pt idx="77">
                  <c:v>3.83928</c:v>
                </c:pt>
                <c:pt idx="78">
                  <c:v>3.86293</c:v>
                </c:pt>
                <c:pt idx="79">
                  <c:v>3.94381</c:v>
                </c:pt>
                <c:pt idx="80">
                  <c:v>3.9903499999999998</c:v>
                </c:pt>
                <c:pt idx="81">
                  <c:v>3.9933999999999998</c:v>
                </c:pt>
                <c:pt idx="82">
                  <c:v>4.117</c:v>
                </c:pt>
                <c:pt idx="83">
                  <c:v>4.12005</c:v>
                </c:pt>
                <c:pt idx="84">
                  <c:v>4.2985800000000003</c:v>
                </c:pt>
                <c:pt idx="85">
                  <c:v>4.3115500000000004</c:v>
                </c:pt>
                <c:pt idx="86">
                  <c:v>4.3313899999999999</c:v>
                </c:pt>
                <c:pt idx="87">
                  <c:v>4.3367300000000002</c:v>
                </c:pt>
                <c:pt idx="88">
                  <c:v>4.4137899999999997</c:v>
                </c:pt>
                <c:pt idx="89">
                  <c:v>4.4435500000000001</c:v>
                </c:pt>
                <c:pt idx="90">
                  <c:v>4.4565200000000003</c:v>
                </c:pt>
                <c:pt idx="91">
                  <c:v>4.4862700000000002</c:v>
                </c:pt>
                <c:pt idx="92">
                  <c:v>4.5007700000000002</c:v>
                </c:pt>
                <c:pt idx="93">
                  <c:v>4.5785900000000002</c:v>
                </c:pt>
                <c:pt idx="94">
                  <c:v>4.5793499999999998</c:v>
                </c:pt>
                <c:pt idx="95">
                  <c:v>4.5953799999999996</c:v>
                </c:pt>
                <c:pt idx="96">
                  <c:v>4.6648100000000001</c:v>
                </c:pt>
                <c:pt idx="97">
                  <c:v>4.8021399999999996</c:v>
                </c:pt>
                <c:pt idx="98">
                  <c:v>4.8494400000000004</c:v>
                </c:pt>
                <c:pt idx="99">
                  <c:v>5.10656</c:v>
                </c:pt>
                <c:pt idx="100">
                  <c:v>5.2232900000000004</c:v>
                </c:pt>
                <c:pt idx="101">
                  <c:v>5.2370299999999999</c:v>
                </c:pt>
                <c:pt idx="102">
                  <c:v>5.2843299999999997</c:v>
                </c:pt>
                <c:pt idx="103">
                  <c:v>5.2911999999999999</c:v>
                </c:pt>
                <c:pt idx="104">
                  <c:v>5.3156100000000004</c:v>
                </c:pt>
                <c:pt idx="105">
                  <c:v>5.38809</c:v>
                </c:pt>
                <c:pt idx="106">
                  <c:v>5.4254800000000003</c:v>
                </c:pt>
                <c:pt idx="107">
                  <c:v>5.5590000000000002</c:v>
                </c:pt>
                <c:pt idx="108">
                  <c:v>5.6406400000000003</c:v>
                </c:pt>
                <c:pt idx="109">
                  <c:v>5.70167</c:v>
                </c:pt>
                <c:pt idx="110">
                  <c:v>5.7695800000000004</c:v>
                </c:pt>
                <c:pt idx="111">
                  <c:v>5.8008600000000001</c:v>
                </c:pt>
                <c:pt idx="112">
                  <c:v>5.8870699999999996</c:v>
                </c:pt>
                <c:pt idx="113">
                  <c:v>5.9084399999999997</c:v>
                </c:pt>
                <c:pt idx="114">
                  <c:v>5.9160599999999999</c:v>
                </c:pt>
                <c:pt idx="115">
                  <c:v>5.9305599999999998</c:v>
                </c:pt>
                <c:pt idx="116">
                  <c:v>5.9534500000000001</c:v>
                </c:pt>
                <c:pt idx="117">
                  <c:v>5.9580299999999999</c:v>
                </c:pt>
                <c:pt idx="118">
                  <c:v>6.0053299999999998</c:v>
                </c:pt>
                <c:pt idx="119">
                  <c:v>6.0434799999999997</c:v>
                </c:pt>
                <c:pt idx="120">
                  <c:v>6.0579799999999997</c:v>
                </c:pt>
                <c:pt idx="121">
                  <c:v>6.1495300000000004</c:v>
                </c:pt>
                <c:pt idx="122">
                  <c:v>6.2502399999999998</c:v>
                </c:pt>
                <c:pt idx="123">
                  <c:v>6.2899200000000004</c:v>
                </c:pt>
                <c:pt idx="124">
                  <c:v>6.3372200000000003</c:v>
                </c:pt>
                <c:pt idx="125">
                  <c:v>6.3837599999999997</c:v>
                </c:pt>
                <c:pt idx="126">
                  <c:v>6.5638199999999998</c:v>
                </c:pt>
                <c:pt idx="127">
                  <c:v>6.5691600000000001</c:v>
                </c:pt>
                <c:pt idx="128">
                  <c:v>6.6408800000000001</c:v>
                </c:pt>
                <c:pt idx="129">
                  <c:v>6.6515599999999999</c:v>
                </c:pt>
                <c:pt idx="130">
                  <c:v>6.6706399999999997</c:v>
                </c:pt>
                <c:pt idx="131">
                  <c:v>6.82552</c:v>
                </c:pt>
                <c:pt idx="132">
                  <c:v>6.8407799999999996</c:v>
                </c:pt>
                <c:pt idx="133">
                  <c:v>6.8934199999999999</c:v>
                </c:pt>
                <c:pt idx="134">
                  <c:v>6.9514100000000001</c:v>
                </c:pt>
                <c:pt idx="135">
                  <c:v>6.9994699999999996</c:v>
                </c:pt>
                <c:pt idx="136">
                  <c:v>7.0254099999999999</c:v>
                </c:pt>
                <c:pt idx="137">
                  <c:v>7.0422000000000002</c:v>
                </c:pt>
                <c:pt idx="138">
                  <c:v>7.07348</c:v>
                </c:pt>
                <c:pt idx="139">
                  <c:v>7.1177299999999999</c:v>
                </c:pt>
                <c:pt idx="140">
                  <c:v>7.1429099999999996</c:v>
                </c:pt>
                <c:pt idx="141">
                  <c:v>7.1718999999999999</c:v>
                </c:pt>
                <c:pt idx="142">
                  <c:v>7.1780099999999996</c:v>
                </c:pt>
                <c:pt idx="143">
                  <c:v>7.2100499999999998</c:v>
                </c:pt>
                <c:pt idx="144">
                  <c:v>7.2306499999999998</c:v>
                </c:pt>
                <c:pt idx="145">
                  <c:v>7.3016100000000002</c:v>
                </c:pt>
                <c:pt idx="146">
                  <c:v>7.3588300000000002</c:v>
                </c:pt>
                <c:pt idx="147">
                  <c:v>7.37561</c:v>
                </c:pt>
                <c:pt idx="148">
                  <c:v>7.39011</c:v>
                </c:pt>
                <c:pt idx="149">
                  <c:v>7.5297299999999998</c:v>
                </c:pt>
                <c:pt idx="150">
                  <c:v>7.6250999999999998</c:v>
                </c:pt>
                <c:pt idx="151">
                  <c:v>7.6777499999999996</c:v>
                </c:pt>
                <c:pt idx="152">
                  <c:v>7.74641</c:v>
                </c:pt>
                <c:pt idx="153">
                  <c:v>7.7487000000000004</c:v>
                </c:pt>
                <c:pt idx="154">
                  <c:v>7.7799800000000001</c:v>
                </c:pt>
                <c:pt idx="155">
                  <c:v>7.8272899999999996</c:v>
                </c:pt>
                <c:pt idx="156">
                  <c:v>7.9608100000000004</c:v>
                </c:pt>
                <c:pt idx="157">
                  <c:v>8.0607500000000005</c:v>
                </c:pt>
                <c:pt idx="158">
                  <c:v>8.2041900000000005</c:v>
                </c:pt>
                <c:pt idx="159">
                  <c:v>8.2423400000000004</c:v>
                </c:pt>
                <c:pt idx="160">
                  <c:v>8.2782</c:v>
                </c:pt>
                <c:pt idx="161">
                  <c:v>8.3102400000000003</c:v>
                </c:pt>
                <c:pt idx="162">
                  <c:v>8.3491499999999998</c:v>
                </c:pt>
                <c:pt idx="163">
                  <c:v>8.3666999999999998</c:v>
                </c:pt>
                <c:pt idx="164">
                  <c:v>8.4254499999999997</c:v>
                </c:pt>
                <c:pt idx="165">
                  <c:v>8.4536800000000003</c:v>
                </c:pt>
                <c:pt idx="166">
                  <c:v>8.6291600000000006</c:v>
                </c:pt>
                <c:pt idx="167">
                  <c:v>8.6467100000000006</c:v>
                </c:pt>
                <c:pt idx="168">
                  <c:v>8.7024000000000008</c:v>
                </c:pt>
                <c:pt idx="169">
                  <c:v>8.7748899999999992</c:v>
                </c:pt>
                <c:pt idx="170">
                  <c:v>8.7954899999999991</c:v>
                </c:pt>
                <c:pt idx="171">
                  <c:v>8.8450799999999994</c:v>
                </c:pt>
                <c:pt idx="172">
                  <c:v>8.8580500000000004</c:v>
                </c:pt>
                <c:pt idx="173">
                  <c:v>8.8595799999999993</c:v>
                </c:pt>
                <c:pt idx="174">
                  <c:v>8.8694900000000008</c:v>
                </c:pt>
                <c:pt idx="175">
                  <c:v>8.89086</c:v>
                </c:pt>
                <c:pt idx="176">
                  <c:v>8.9160299999999992</c:v>
                </c:pt>
                <c:pt idx="177">
                  <c:v>8.9244299999999992</c:v>
                </c:pt>
                <c:pt idx="178">
                  <c:v>8.9923300000000008</c:v>
                </c:pt>
                <c:pt idx="179">
                  <c:v>9.0022500000000001</c:v>
                </c:pt>
                <c:pt idx="180">
                  <c:v>9.032</c:v>
                </c:pt>
                <c:pt idx="181">
                  <c:v>9.0548900000000003</c:v>
                </c:pt>
                <c:pt idx="182">
                  <c:v>9.0831199999999992</c:v>
                </c:pt>
                <c:pt idx="183">
                  <c:v>9.0907499999999999</c:v>
                </c:pt>
                <c:pt idx="184">
                  <c:v>9.0915199999999992</c:v>
                </c:pt>
                <c:pt idx="185">
                  <c:v>9.0937999999999999</c:v>
                </c:pt>
                <c:pt idx="186">
                  <c:v>9.1143999999999998</c:v>
                </c:pt>
                <c:pt idx="187">
                  <c:v>9.1143999999999998</c:v>
                </c:pt>
                <c:pt idx="188">
                  <c:v>9.1815499999999997</c:v>
                </c:pt>
                <c:pt idx="189">
                  <c:v>9.1861200000000007</c:v>
                </c:pt>
                <c:pt idx="190">
                  <c:v>9.3074300000000001</c:v>
                </c:pt>
                <c:pt idx="191">
                  <c:v>9.33948</c:v>
                </c:pt>
                <c:pt idx="192">
                  <c:v>9.3646600000000007</c:v>
                </c:pt>
                <c:pt idx="193">
                  <c:v>9.3768600000000006</c:v>
                </c:pt>
                <c:pt idx="194">
                  <c:v>9.4073799999999999</c:v>
                </c:pt>
                <c:pt idx="195">
                  <c:v>9.4371399999999994</c:v>
                </c:pt>
                <c:pt idx="196">
                  <c:v>9.4661299999999997</c:v>
                </c:pt>
                <c:pt idx="197">
                  <c:v>9.6004100000000001</c:v>
                </c:pt>
                <c:pt idx="198">
                  <c:v>9.6614500000000003</c:v>
                </c:pt>
                <c:pt idx="199">
                  <c:v>9.9910499999999995</c:v>
                </c:pt>
                <c:pt idx="200">
                  <c:v>10.037599999999999</c:v>
                </c:pt>
                <c:pt idx="201">
                  <c:v>10.047499999999999</c:v>
                </c:pt>
                <c:pt idx="202">
                  <c:v>10.111599999999999</c:v>
                </c:pt>
                <c:pt idx="203">
                  <c:v>10.274100000000001</c:v>
                </c:pt>
                <c:pt idx="204">
                  <c:v>10.3611</c:v>
                </c:pt>
                <c:pt idx="205">
                  <c:v>10.4381</c:v>
                </c:pt>
                <c:pt idx="206">
                  <c:v>10.4435</c:v>
                </c:pt>
                <c:pt idx="207">
                  <c:v>10.4847</c:v>
                </c:pt>
                <c:pt idx="208">
                  <c:v>10.4877</c:v>
                </c:pt>
                <c:pt idx="209">
                  <c:v>10.5465</c:v>
                </c:pt>
                <c:pt idx="210">
                  <c:v>10.831099999999999</c:v>
                </c:pt>
                <c:pt idx="211">
                  <c:v>10.873799999999999</c:v>
                </c:pt>
                <c:pt idx="212">
                  <c:v>10.911899999999999</c:v>
                </c:pt>
                <c:pt idx="213">
                  <c:v>10.935600000000001</c:v>
                </c:pt>
                <c:pt idx="214">
                  <c:v>11.2255</c:v>
                </c:pt>
                <c:pt idx="215">
                  <c:v>11.2377</c:v>
                </c:pt>
                <c:pt idx="216">
                  <c:v>11.2431</c:v>
                </c:pt>
                <c:pt idx="217">
                  <c:v>11.3217</c:v>
                </c:pt>
                <c:pt idx="218">
                  <c:v>11.3659</c:v>
                </c:pt>
                <c:pt idx="219">
                  <c:v>11.3705</c:v>
                </c:pt>
                <c:pt idx="220">
                  <c:v>11.3705</c:v>
                </c:pt>
                <c:pt idx="221">
                  <c:v>11.4186</c:v>
                </c:pt>
                <c:pt idx="222">
                  <c:v>11.462</c:v>
                </c:pt>
                <c:pt idx="223">
                  <c:v>11.702400000000001</c:v>
                </c:pt>
                <c:pt idx="224">
                  <c:v>11.741300000000001</c:v>
                </c:pt>
                <c:pt idx="225">
                  <c:v>11.753500000000001</c:v>
                </c:pt>
                <c:pt idx="226">
                  <c:v>11.767200000000001</c:v>
                </c:pt>
                <c:pt idx="227">
                  <c:v>11.796200000000001</c:v>
                </c:pt>
                <c:pt idx="228">
                  <c:v>11.8565</c:v>
                </c:pt>
                <c:pt idx="229">
                  <c:v>11.9122</c:v>
                </c:pt>
                <c:pt idx="230">
                  <c:v>11.9152</c:v>
                </c:pt>
                <c:pt idx="231">
                  <c:v>11.929</c:v>
                </c:pt>
                <c:pt idx="232">
                  <c:v>11.9503</c:v>
                </c:pt>
                <c:pt idx="233">
                  <c:v>11.9732</c:v>
                </c:pt>
                <c:pt idx="234">
                  <c:v>11.9938</c:v>
                </c:pt>
                <c:pt idx="235">
                  <c:v>12.0213</c:v>
                </c:pt>
                <c:pt idx="236">
                  <c:v>12.0251</c:v>
                </c:pt>
                <c:pt idx="237">
                  <c:v>12.0526</c:v>
                </c:pt>
                <c:pt idx="238">
                  <c:v>12.2059</c:v>
                </c:pt>
                <c:pt idx="239">
                  <c:v>12.2212</c:v>
                </c:pt>
                <c:pt idx="240">
                  <c:v>12.373799999999999</c:v>
                </c:pt>
                <c:pt idx="241">
                  <c:v>12.424099999999999</c:v>
                </c:pt>
                <c:pt idx="242">
                  <c:v>12.510400000000001</c:v>
                </c:pt>
                <c:pt idx="243">
                  <c:v>12.563800000000001</c:v>
                </c:pt>
                <c:pt idx="244">
                  <c:v>12.572900000000001</c:v>
                </c:pt>
                <c:pt idx="245">
                  <c:v>12.6805</c:v>
                </c:pt>
                <c:pt idx="246">
                  <c:v>12.7324</c:v>
                </c:pt>
                <c:pt idx="247">
                  <c:v>12.7507</c:v>
                </c:pt>
                <c:pt idx="248">
                  <c:v>12.7675</c:v>
                </c:pt>
                <c:pt idx="249">
                  <c:v>12.8552</c:v>
                </c:pt>
                <c:pt idx="250">
                  <c:v>12.875</c:v>
                </c:pt>
                <c:pt idx="251">
                  <c:v>12.9361</c:v>
                </c:pt>
                <c:pt idx="252">
                  <c:v>12.9613</c:v>
                </c:pt>
                <c:pt idx="253">
                  <c:v>12.9864</c:v>
                </c:pt>
                <c:pt idx="254">
                  <c:v>13.065799999999999</c:v>
                </c:pt>
                <c:pt idx="255">
                  <c:v>13.098599999999999</c:v>
                </c:pt>
                <c:pt idx="256">
                  <c:v>13.171799999999999</c:v>
                </c:pt>
                <c:pt idx="257">
                  <c:v>13.193199999999999</c:v>
                </c:pt>
                <c:pt idx="258">
                  <c:v>13.3992</c:v>
                </c:pt>
                <c:pt idx="259">
                  <c:v>13.4168</c:v>
                </c:pt>
                <c:pt idx="260">
                  <c:v>13.6281</c:v>
                </c:pt>
                <c:pt idx="261">
                  <c:v>13.6372</c:v>
                </c:pt>
                <c:pt idx="262">
                  <c:v>13.6395</c:v>
                </c:pt>
                <c:pt idx="263">
                  <c:v>13.6609</c:v>
                </c:pt>
                <c:pt idx="264">
                  <c:v>13.6655</c:v>
                </c:pt>
                <c:pt idx="265">
                  <c:v>13.6731</c:v>
                </c:pt>
                <c:pt idx="266">
                  <c:v>13.6846</c:v>
                </c:pt>
                <c:pt idx="267">
                  <c:v>13.797499999999999</c:v>
                </c:pt>
                <c:pt idx="268">
                  <c:v>13.879099999999999</c:v>
                </c:pt>
                <c:pt idx="269">
                  <c:v>13.970700000000001</c:v>
                </c:pt>
                <c:pt idx="270">
                  <c:v>13.979799999999999</c:v>
                </c:pt>
                <c:pt idx="271">
                  <c:v>14.044700000000001</c:v>
                </c:pt>
                <c:pt idx="272">
                  <c:v>14.078200000000001</c:v>
                </c:pt>
                <c:pt idx="273">
                  <c:v>14.2163</c:v>
                </c:pt>
                <c:pt idx="274">
                  <c:v>14.2285</c:v>
                </c:pt>
                <c:pt idx="275">
                  <c:v>14.2545</c:v>
                </c:pt>
                <c:pt idx="276">
                  <c:v>14.2713</c:v>
                </c:pt>
                <c:pt idx="277">
                  <c:v>14.2812</c:v>
                </c:pt>
                <c:pt idx="278">
                  <c:v>14.3216</c:v>
                </c:pt>
                <c:pt idx="279">
                  <c:v>14.3399</c:v>
                </c:pt>
                <c:pt idx="280">
                  <c:v>14.459</c:v>
                </c:pt>
                <c:pt idx="281">
                  <c:v>14.4727</c:v>
                </c:pt>
                <c:pt idx="282">
                  <c:v>14.5223</c:v>
                </c:pt>
                <c:pt idx="283">
                  <c:v>14.567299999999999</c:v>
                </c:pt>
                <c:pt idx="284">
                  <c:v>14.5848</c:v>
                </c:pt>
                <c:pt idx="285">
                  <c:v>14.634399999999999</c:v>
                </c:pt>
                <c:pt idx="286">
                  <c:v>14.9518</c:v>
                </c:pt>
                <c:pt idx="287">
                  <c:v>14.9923</c:v>
                </c:pt>
                <c:pt idx="288">
                  <c:v>15.1296</c:v>
                </c:pt>
                <c:pt idx="289">
                  <c:v>15.1365</c:v>
                </c:pt>
                <c:pt idx="290">
                  <c:v>15.154</c:v>
                </c:pt>
                <c:pt idx="291">
                  <c:v>15.1678</c:v>
                </c:pt>
                <c:pt idx="292">
                  <c:v>15.183</c:v>
                </c:pt>
                <c:pt idx="293">
                  <c:v>15.2448</c:v>
                </c:pt>
                <c:pt idx="294">
                  <c:v>15.2997</c:v>
                </c:pt>
                <c:pt idx="295">
                  <c:v>15.3142</c:v>
                </c:pt>
                <c:pt idx="296">
                  <c:v>15.356199999999999</c:v>
                </c:pt>
                <c:pt idx="297">
                  <c:v>15.398199999999999</c:v>
                </c:pt>
                <c:pt idx="298">
                  <c:v>15.416499999999999</c:v>
                </c:pt>
                <c:pt idx="299">
                  <c:v>15.466100000000001</c:v>
                </c:pt>
                <c:pt idx="300">
                  <c:v>15.518000000000001</c:v>
                </c:pt>
                <c:pt idx="301">
                  <c:v>15.577500000000001</c:v>
                </c:pt>
                <c:pt idx="302">
                  <c:v>15.6271</c:v>
                </c:pt>
                <c:pt idx="303">
                  <c:v>15.632400000000001</c:v>
                </c:pt>
                <c:pt idx="304">
                  <c:v>15.666700000000001</c:v>
                </c:pt>
                <c:pt idx="305">
                  <c:v>15.7095</c:v>
                </c:pt>
                <c:pt idx="306">
                  <c:v>15.7354</c:v>
                </c:pt>
                <c:pt idx="307">
                  <c:v>15.7438</c:v>
                </c:pt>
                <c:pt idx="308">
                  <c:v>15.7606</c:v>
                </c:pt>
                <c:pt idx="309">
                  <c:v>15.814</c:v>
                </c:pt>
                <c:pt idx="310">
                  <c:v>15.8918</c:v>
                </c:pt>
                <c:pt idx="311">
                  <c:v>15.9429</c:v>
                </c:pt>
                <c:pt idx="312">
                  <c:v>15.9757</c:v>
                </c:pt>
                <c:pt idx="313">
                  <c:v>16.078700000000001</c:v>
                </c:pt>
                <c:pt idx="314">
                  <c:v>16.086400000000001</c:v>
                </c:pt>
                <c:pt idx="315">
                  <c:v>16.167999999999999</c:v>
                </c:pt>
                <c:pt idx="316">
                  <c:v>16.319099999999999</c:v>
                </c:pt>
                <c:pt idx="317">
                  <c:v>16.325900000000001</c:v>
                </c:pt>
                <c:pt idx="318">
                  <c:v>16.331299999999999</c:v>
                </c:pt>
                <c:pt idx="319">
                  <c:v>16.4984</c:v>
                </c:pt>
                <c:pt idx="320">
                  <c:v>16.506799999999998</c:v>
                </c:pt>
                <c:pt idx="321">
                  <c:v>16.509</c:v>
                </c:pt>
                <c:pt idx="322">
                  <c:v>16.5274</c:v>
                </c:pt>
                <c:pt idx="323">
                  <c:v>16.552499999999998</c:v>
                </c:pt>
                <c:pt idx="324">
                  <c:v>16.564699999999998</c:v>
                </c:pt>
                <c:pt idx="325">
                  <c:v>16.6143</c:v>
                </c:pt>
                <c:pt idx="326">
                  <c:v>16.6937</c:v>
                </c:pt>
                <c:pt idx="327">
                  <c:v>16.718900000000001</c:v>
                </c:pt>
                <c:pt idx="328">
                  <c:v>16.7532</c:v>
                </c:pt>
                <c:pt idx="329">
                  <c:v>16.857700000000001</c:v>
                </c:pt>
                <c:pt idx="330">
                  <c:v>16.866099999999999</c:v>
                </c:pt>
                <c:pt idx="331">
                  <c:v>16.905000000000001</c:v>
                </c:pt>
                <c:pt idx="332">
                  <c:v>16.975999999999999</c:v>
                </c:pt>
                <c:pt idx="333">
                  <c:v>17.007999999999999</c:v>
                </c:pt>
                <c:pt idx="334">
                  <c:v>17.022500000000001</c:v>
                </c:pt>
                <c:pt idx="335">
                  <c:v>17.149899999999999</c:v>
                </c:pt>
                <c:pt idx="336">
                  <c:v>17.1568</c:v>
                </c:pt>
                <c:pt idx="337">
                  <c:v>17.166699999999999</c:v>
                </c:pt>
                <c:pt idx="338">
                  <c:v>17.218599999999999</c:v>
                </c:pt>
                <c:pt idx="339">
                  <c:v>17.2773</c:v>
                </c:pt>
                <c:pt idx="340">
                  <c:v>17.305599999999998</c:v>
                </c:pt>
                <c:pt idx="341">
                  <c:v>17.363600000000002</c:v>
                </c:pt>
                <c:pt idx="342">
                  <c:v>17.5001</c:v>
                </c:pt>
                <c:pt idx="343">
                  <c:v>17.574100000000001</c:v>
                </c:pt>
                <c:pt idx="344">
                  <c:v>17.616900000000001</c:v>
                </c:pt>
                <c:pt idx="345">
                  <c:v>17.795400000000001</c:v>
                </c:pt>
                <c:pt idx="346">
                  <c:v>17.808399999999999</c:v>
                </c:pt>
                <c:pt idx="347">
                  <c:v>17.837399999999999</c:v>
                </c:pt>
                <c:pt idx="348">
                  <c:v>17.936499999999999</c:v>
                </c:pt>
                <c:pt idx="349">
                  <c:v>18.1143</c:v>
                </c:pt>
                <c:pt idx="350">
                  <c:v>18.1158</c:v>
                </c:pt>
                <c:pt idx="351">
                  <c:v>18.298200000000001</c:v>
                </c:pt>
                <c:pt idx="352">
                  <c:v>18.3127</c:v>
                </c:pt>
                <c:pt idx="353">
                  <c:v>18.325700000000001</c:v>
                </c:pt>
                <c:pt idx="354">
                  <c:v>18.363800000000001</c:v>
                </c:pt>
                <c:pt idx="355">
                  <c:v>18.397400000000001</c:v>
                </c:pt>
                <c:pt idx="356">
                  <c:v>18.480499999999999</c:v>
                </c:pt>
                <c:pt idx="357">
                  <c:v>18.495799999999999</c:v>
                </c:pt>
                <c:pt idx="358">
                  <c:v>18.501899999999999</c:v>
                </c:pt>
                <c:pt idx="359">
                  <c:v>18.506499999999999</c:v>
                </c:pt>
                <c:pt idx="360">
                  <c:v>18.517900000000001</c:v>
                </c:pt>
                <c:pt idx="361">
                  <c:v>18.536999999999999</c:v>
                </c:pt>
                <c:pt idx="362">
                  <c:v>18.543900000000001</c:v>
                </c:pt>
                <c:pt idx="363">
                  <c:v>18.6568</c:v>
                </c:pt>
                <c:pt idx="364">
                  <c:v>18.672799999999999</c:v>
                </c:pt>
                <c:pt idx="365">
                  <c:v>18.764399999999998</c:v>
                </c:pt>
                <c:pt idx="366">
                  <c:v>18.8277</c:v>
                </c:pt>
                <c:pt idx="367">
                  <c:v>18.836099999999998</c:v>
                </c:pt>
                <c:pt idx="368">
                  <c:v>18.8506</c:v>
                </c:pt>
                <c:pt idx="369">
                  <c:v>18.8857</c:v>
                </c:pt>
                <c:pt idx="370">
                  <c:v>19.0352</c:v>
                </c:pt>
                <c:pt idx="371">
                  <c:v>19.0871</c:v>
                </c:pt>
                <c:pt idx="372">
                  <c:v>19.123699999999999</c:v>
                </c:pt>
                <c:pt idx="373">
                  <c:v>19.145099999999999</c:v>
                </c:pt>
                <c:pt idx="374">
                  <c:v>19.158000000000001</c:v>
                </c:pt>
                <c:pt idx="375">
                  <c:v>19.228200000000001</c:v>
                </c:pt>
                <c:pt idx="376">
                  <c:v>19.331199999999999</c:v>
                </c:pt>
                <c:pt idx="377">
                  <c:v>19.4709</c:v>
                </c:pt>
                <c:pt idx="378">
                  <c:v>19.521999999999998</c:v>
                </c:pt>
                <c:pt idx="379">
                  <c:v>19.5227</c:v>
                </c:pt>
                <c:pt idx="380">
                  <c:v>19.584499999999998</c:v>
                </c:pt>
                <c:pt idx="381">
                  <c:v>19.6235</c:v>
                </c:pt>
                <c:pt idx="382">
                  <c:v>19.6387</c:v>
                </c:pt>
                <c:pt idx="383">
                  <c:v>19.686800000000002</c:v>
                </c:pt>
                <c:pt idx="384">
                  <c:v>19.723400000000002</c:v>
                </c:pt>
                <c:pt idx="385">
                  <c:v>19.7593</c:v>
                </c:pt>
                <c:pt idx="386">
                  <c:v>19.767700000000001</c:v>
                </c:pt>
                <c:pt idx="387">
                  <c:v>19.772200000000002</c:v>
                </c:pt>
                <c:pt idx="388">
                  <c:v>19.790500000000002</c:v>
                </c:pt>
                <c:pt idx="389">
                  <c:v>19.836300000000001</c:v>
                </c:pt>
                <c:pt idx="390">
                  <c:v>19.863800000000001</c:v>
                </c:pt>
                <c:pt idx="391">
                  <c:v>19.970600000000001</c:v>
                </c:pt>
                <c:pt idx="392">
                  <c:v>20.078199999999999</c:v>
                </c:pt>
                <c:pt idx="393">
                  <c:v>20.087299999999999</c:v>
                </c:pt>
                <c:pt idx="394">
                  <c:v>20.093399999999999</c:v>
                </c:pt>
                <c:pt idx="395">
                  <c:v>20.135400000000001</c:v>
                </c:pt>
                <c:pt idx="396">
                  <c:v>20.147600000000001</c:v>
                </c:pt>
                <c:pt idx="397">
                  <c:v>20.182700000000001</c:v>
                </c:pt>
                <c:pt idx="398">
                  <c:v>20.203299999999999</c:v>
                </c:pt>
                <c:pt idx="399">
                  <c:v>20.2544</c:v>
                </c:pt>
                <c:pt idx="400">
                  <c:v>20.316199999999998</c:v>
                </c:pt>
                <c:pt idx="401">
                  <c:v>20.340599999999998</c:v>
                </c:pt>
                <c:pt idx="402">
                  <c:v>20.390999999999998</c:v>
                </c:pt>
                <c:pt idx="403">
                  <c:v>20.4238</c:v>
                </c:pt>
                <c:pt idx="404">
                  <c:v>20.4864</c:v>
                </c:pt>
                <c:pt idx="405">
                  <c:v>20.490200000000002</c:v>
                </c:pt>
                <c:pt idx="406">
                  <c:v>20.543600000000001</c:v>
                </c:pt>
                <c:pt idx="407">
                  <c:v>20.6023</c:v>
                </c:pt>
                <c:pt idx="408">
                  <c:v>20.665700000000001</c:v>
                </c:pt>
                <c:pt idx="409">
                  <c:v>20.697700000000001</c:v>
                </c:pt>
                <c:pt idx="410">
                  <c:v>20.771699999999999</c:v>
                </c:pt>
                <c:pt idx="411">
                  <c:v>20.775500000000001</c:v>
                </c:pt>
                <c:pt idx="412">
                  <c:v>20.814399999999999</c:v>
                </c:pt>
                <c:pt idx="413">
                  <c:v>20.821300000000001</c:v>
                </c:pt>
                <c:pt idx="414">
                  <c:v>20.847999999999999</c:v>
                </c:pt>
                <c:pt idx="415">
                  <c:v>20.983799999999999</c:v>
                </c:pt>
                <c:pt idx="416">
                  <c:v>20.9876</c:v>
                </c:pt>
                <c:pt idx="417">
                  <c:v>21.0899</c:v>
                </c:pt>
                <c:pt idx="418">
                  <c:v>21.1005</c:v>
                </c:pt>
                <c:pt idx="419">
                  <c:v>21.160799999999998</c:v>
                </c:pt>
                <c:pt idx="420">
                  <c:v>21.2882</c:v>
                </c:pt>
                <c:pt idx="421">
                  <c:v>21.289000000000001</c:v>
                </c:pt>
                <c:pt idx="422">
                  <c:v>21.406500000000001</c:v>
                </c:pt>
                <c:pt idx="423">
                  <c:v>21.509499999999999</c:v>
                </c:pt>
                <c:pt idx="424">
                  <c:v>21.556000000000001</c:v>
                </c:pt>
                <c:pt idx="425">
                  <c:v>21.571300000000001</c:v>
                </c:pt>
                <c:pt idx="426">
                  <c:v>21.7453</c:v>
                </c:pt>
                <c:pt idx="427">
                  <c:v>21.7559</c:v>
                </c:pt>
                <c:pt idx="428">
                  <c:v>21.7773</c:v>
                </c:pt>
                <c:pt idx="429">
                  <c:v>21.810099999999998</c:v>
                </c:pt>
                <c:pt idx="430">
                  <c:v>21.8551</c:v>
                </c:pt>
                <c:pt idx="431">
                  <c:v>21.8917</c:v>
                </c:pt>
                <c:pt idx="432">
                  <c:v>21.9894</c:v>
                </c:pt>
                <c:pt idx="433">
                  <c:v>22.060400000000001</c:v>
                </c:pt>
                <c:pt idx="434">
                  <c:v>22.174800000000001</c:v>
                </c:pt>
                <c:pt idx="435">
                  <c:v>22.303000000000001</c:v>
                </c:pt>
                <c:pt idx="436">
                  <c:v>22.358699999999999</c:v>
                </c:pt>
                <c:pt idx="437">
                  <c:v>22.4678</c:v>
                </c:pt>
                <c:pt idx="438">
                  <c:v>22.628</c:v>
                </c:pt>
                <c:pt idx="439">
                  <c:v>22.6951</c:v>
                </c:pt>
                <c:pt idx="440">
                  <c:v>22.7073</c:v>
                </c:pt>
                <c:pt idx="441">
                  <c:v>22.753900000000002</c:v>
                </c:pt>
                <c:pt idx="442">
                  <c:v>22.775300000000001</c:v>
                </c:pt>
                <c:pt idx="443">
                  <c:v>22.776</c:v>
                </c:pt>
                <c:pt idx="444">
                  <c:v>22.805</c:v>
                </c:pt>
                <c:pt idx="445">
                  <c:v>22.816500000000001</c:v>
                </c:pt>
                <c:pt idx="446">
                  <c:v>22.909500000000001</c:v>
                </c:pt>
                <c:pt idx="447">
                  <c:v>22.959900000000001</c:v>
                </c:pt>
                <c:pt idx="448">
                  <c:v>22.977399999999999</c:v>
                </c:pt>
                <c:pt idx="449">
                  <c:v>22.993500000000001</c:v>
                </c:pt>
                <c:pt idx="450">
                  <c:v>22.996500000000001</c:v>
                </c:pt>
                <c:pt idx="451">
                  <c:v>23.053699999999999</c:v>
                </c:pt>
                <c:pt idx="452">
                  <c:v>23.060600000000001</c:v>
                </c:pt>
                <c:pt idx="453">
                  <c:v>23.091100000000001</c:v>
                </c:pt>
                <c:pt idx="454">
                  <c:v>23.133099999999999</c:v>
                </c:pt>
                <c:pt idx="455">
                  <c:v>23.143000000000001</c:v>
                </c:pt>
                <c:pt idx="456">
                  <c:v>23.152200000000001</c:v>
                </c:pt>
                <c:pt idx="457">
                  <c:v>23.161300000000001</c:v>
                </c:pt>
                <c:pt idx="458">
                  <c:v>23.163599999999999</c:v>
                </c:pt>
                <c:pt idx="459">
                  <c:v>23.180399999999999</c:v>
                </c:pt>
                <c:pt idx="460">
                  <c:v>23.197199999999999</c:v>
                </c:pt>
                <c:pt idx="461">
                  <c:v>23.242899999999999</c:v>
                </c:pt>
                <c:pt idx="462">
                  <c:v>23.2651</c:v>
                </c:pt>
                <c:pt idx="463">
                  <c:v>23.291799999999999</c:v>
                </c:pt>
                <c:pt idx="464">
                  <c:v>23.300899999999999</c:v>
                </c:pt>
                <c:pt idx="465">
                  <c:v>23.328399999999998</c:v>
                </c:pt>
                <c:pt idx="466">
                  <c:v>23.3902</c:v>
                </c:pt>
                <c:pt idx="467">
                  <c:v>23.569500000000001</c:v>
                </c:pt>
                <c:pt idx="468">
                  <c:v>23.644300000000001</c:v>
                </c:pt>
                <c:pt idx="469">
                  <c:v>23.6496</c:v>
                </c:pt>
                <c:pt idx="470">
                  <c:v>23.702999999999999</c:v>
                </c:pt>
                <c:pt idx="471">
                  <c:v>23.787700000000001</c:v>
                </c:pt>
                <c:pt idx="472">
                  <c:v>23.924299999999999</c:v>
                </c:pt>
                <c:pt idx="473">
                  <c:v>23.951699999999999</c:v>
                </c:pt>
                <c:pt idx="474">
                  <c:v>23.9678</c:v>
                </c:pt>
                <c:pt idx="475">
                  <c:v>23.9998</c:v>
                </c:pt>
                <c:pt idx="476">
                  <c:v>24.082999999999998</c:v>
                </c:pt>
                <c:pt idx="477">
                  <c:v>24.096699999999998</c:v>
                </c:pt>
                <c:pt idx="478">
                  <c:v>24.099799999999998</c:v>
                </c:pt>
                <c:pt idx="479">
                  <c:v>24.145499999999998</c:v>
                </c:pt>
                <c:pt idx="480">
                  <c:v>24.1753</c:v>
                </c:pt>
                <c:pt idx="481">
                  <c:v>24.266100000000002</c:v>
                </c:pt>
                <c:pt idx="482">
                  <c:v>24.267600000000002</c:v>
                </c:pt>
                <c:pt idx="483">
                  <c:v>24.2775</c:v>
                </c:pt>
                <c:pt idx="484">
                  <c:v>24.2791</c:v>
                </c:pt>
                <c:pt idx="485">
                  <c:v>24.2989</c:v>
                </c:pt>
                <c:pt idx="486">
                  <c:v>24.510999999999999</c:v>
                </c:pt>
                <c:pt idx="487">
                  <c:v>24.530100000000001</c:v>
                </c:pt>
                <c:pt idx="488">
                  <c:v>24.575099999999999</c:v>
                </c:pt>
                <c:pt idx="489">
                  <c:v>24.605599999999999</c:v>
                </c:pt>
                <c:pt idx="490">
                  <c:v>24.716999999999999</c:v>
                </c:pt>
                <c:pt idx="491">
                  <c:v>24.806999999999999</c:v>
                </c:pt>
                <c:pt idx="492">
                  <c:v>24.8124</c:v>
                </c:pt>
                <c:pt idx="493">
                  <c:v>24.820799999999998</c:v>
                </c:pt>
                <c:pt idx="494">
                  <c:v>24.8414</c:v>
                </c:pt>
                <c:pt idx="495">
                  <c:v>24.845199999999998</c:v>
                </c:pt>
                <c:pt idx="496">
                  <c:v>24.848199999999999</c:v>
                </c:pt>
                <c:pt idx="497">
                  <c:v>25.0046</c:v>
                </c:pt>
                <c:pt idx="498">
                  <c:v>25.0092</c:v>
                </c:pt>
                <c:pt idx="499">
                  <c:v>25.020700000000001</c:v>
                </c:pt>
              </c:numCache>
            </c:numRef>
          </c:xVal>
          <c:yVal>
            <c:numRef>
              <c:f>Data!$B$1:$B$500</c:f>
              <c:numCache>
                <c:formatCode>General</c:formatCode>
                <c:ptCount val="500"/>
                <c:pt idx="0">
                  <c:v>-2.10284</c:v>
                </c:pt>
                <c:pt idx="1">
                  <c:v>-2.0302600000000002</c:v>
                </c:pt>
                <c:pt idx="2">
                  <c:v>-1.26223</c:v>
                </c:pt>
                <c:pt idx="3">
                  <c:v>-1.04247</c:v>
                </c:pt>
                <c:pt idx="4">
                  <c:v>-0.84216500000000005</c:v>
                </c:pt>
                <c:pt idx="5">
                  <c:v>-0.38304100000000002</c:v>
                </c:pt>
                <c:pt idx="6">
                  <c:v>1.1259699999999999E-2</c:v>
                </c:pt>
                <c:pt idx="7">
                  <c:v>-4.4904699999999999E-2</c:v>
                </c:pt>
                <c:pt idx="8">
                  <c:v>-0.29413600000000001</c:v>
                </c:pt>
                <c:pt idx="9">
                  <c:v>-0.17608199999999999</c:v>
                </c:pt>
                <c:pt idx="10">
                  <c:v>0.11809</c:v>
                </c:pt>
                <c:pt idx="11">
                  <c:v>-6.9123100000000007E-2</c:v>
                </c:pt>
                <c:pt idx="12">
                  <c:v>-0.25100600000000001</c:v>
                </c:pt>
                <c:pt idx="13">
                  <c:v>0.229299</c:v>
                </c:pt>
                <c:pt idx="14">
                  <c:v>1.83976E-2</c:v>
                </c:pt>
                <c:pt idx="15">
                  <c:v>0.19788</c:v>
                </c:pt>
                <c:pt idx="16">
                  <c:v>0.19425600000000001</c:v>
                </c:pt>
                <c:pt idx="17">
                  <c:v>0.237569</c:v>
                </c:pt>
                <c:pt idx="18">
                  <c:v>9.58455E-2</c:v>
                </c:pt>
                <c:pt idx="19">
                  <c:v>0.58549300000000004</c:v>
                </c:pt>
                <c:pt idx="20">
                  <c:v>0.19946900000000001</c:v>
                </c:pt>
                <c:pt idx="21">
                  <c:v>0.44446400000000003</c:v>
                </c:pt>
                <c:pt idx="22">
                  <c:v>0.28638200000000003</c:v>
                </c:pt>
                <c:pt idx="23">
                  <c:v>0.19086900000000001</c:v>
                </c:pt>
                <c:pt idx="24">
                  <c:v>0.29805500000000001</c:v>
                </c:pt>
                <c:pt idx="25">
                  <c:v>-0.141599</c:v>
                </c:pt>
                <c:pt idx="26">
                  <c:v>0.42938100000000001</c:v>
                </c:pt>
                <c:pt idx="27">
                  <c:v>0.25897599999999998</c:v>
                </c:pt>
                <c:pt idx="28">
                  <c:v>0.17130500000000001</c:v>
                </c:pt>
                <c:pt idx="29">
                  <c:v>0.52870200000000001</c:v>
                </c:pt>
                <c:pt idx="30">
                  <c:v>0.15890899999999999</c:v>
                </c:pt>
                <c:pt idx="31">
                  <c:v>0.33368300000000001</c:v>
                </c:pt>
                <c:pt idx="32">
                  <c:v>0.62237100000000001</c:v>
                </c:pt>
                <c:pt idx="33">
                  <c:v>0.51598100000000002</c:v>
                </c:pt>
                <c:pt idx="34">
                  <c:v>0.29778300000000002</c:v>
                </c:pt>
                <c:pt idx="35">
                  <c:v>0.382548</c:v>
                </c:pt>
                <c:pt idx="36">
                  <c:v>0.66732100000000005</c:v>
                </c:pt>
                <c:pt idx="37">
                  <c:v>0.88837500000000003</c:v>
                </c:pt>
                <c:pt idx="38">
                  <c:v>0.58219600000000005</c:v>
                </c:pt>
                <c:pt idx="39">
                  <c:v>0.74784600000000001</c:v>
                </c:pt>
                <c:pt idx="40">
                  <c:v>0.45223200000000002</c:v>
                </c:pt>
                <c:pt idx="41">
                  <c:v>0.288188</c:v>
                </c:pt>
                <c:pt idx="42">
                  <c:v>0.88066100000000003</c:v>
                </c:pt>
                <c:pt idx="43">
                  <c:v>0.60583799999999999</c:v>
                </c:pt>
                <c:pt idx="44">
                  <c:v>0.47750300000000001</c:v>
                </c:pt>
                <c:pt idx="45">
                  <c:v>0.70753999999999995</c:v>
                </c:pt>
                <c:pt idx="46">
                  <c:v>1.22559</c:v>
                </c:pt>
                <c:pt idx="47">
                  <c:v>0.79319700000000004</c:v>
                </c:pt>
                <c:pt idx="48">
                  <c:v>0.77575300000000003</c:v>
                </c:pt>
                <c:pt idx="49">
                  <c:v>1.05318</c:v>
                </c:pt>
                <c:pt idx="50">
                  <c:v>1.21882</c:v>
                </c:pt>
                <c:pt idx="51">
                  <c:v>0.87056999999999995</c:v>
                </c:pt>
                <c:pt idx="52">
                  <c:v>1.2516</c:v>
                </c:pt>
                <c:pt idx="53">
                  <c:v>0.67628100000000002</c:v>
                </c:pt>
                <c:pt idx="54">
                  <c:v>0.58515799999999996</c:v>
                </c:pt>
                <c:pt idx="55">
                  <c:v>0.95874000000000004</c:v>
                </c:pt>
                <c:pt idx="56">
                  <c:v>0.69375500000000001</c:v>
                </c:pt>
                <c:pt idx="57">
                  <c:v>1.4447099999999999</c:v>
                </c:pt>
                <c:pt idx="58">
                  <c:v>0.99664399999999997</c:v>
                </c:pt>
                <c:pt idx="59">
                  <c:v>0.84225099999999997</c:v>
                </c:pt>
                <c:pt idx="60">
                  <c:v>1.1970000000000001</c:v>
                </c:pt>
                <c:pt idx="61">
                  <c:v>1.3294600000000001</c:v>
                </c:pt>
                <c:pt idx="62">
                  <c:v>1.2001900000000001</c:v>
                </c:pt>
                <c:pt idx="63">
                  <c:v>1.1504700000000001</c:v>
                </c:pt>
                <c:pt idx="64">
                  <c:v>1.14489</c:v>
                </c:pt>
                <c:pt idx="65">
                  <c:v>0.95310399999999995</c:v>
                </c:pt>
                <c:pt idx="66">
                  <c:v>0.98744399999999999</c:v>
                </c:pt>
                <c:pt idx="67">
                  <c:v>1.0704499999999999</c:v>
                </c:pt>
                <c:pt idx="68">
                  <c:v>1.3310500000000001</c:v>
                </c:pt>
                <c:pt idx="69">
                  <c:v>1.5586500000000001</c:v>
                </c:pt>
                <c:pt idx="70">
                  <c:v>1.48071</c:v>
                </c:pt>
                <c:pt idx="71">
                  <c:v>1.37296</c:v>
                </c:pt>
                <c:pt idx="72">
                  <c:v>1.37985</c:v>
                </c:pt>
                <c:pt idx="73">
                  <c:v>1.26414</c:v>
                </c:pt>
                <c:pt idx="74">
                  <c:v>1.5401499999999999</c:v>
                </c:pt>
                <c:pt idx="75">
                  <c:v>1.0899799999999999</c:v>
                </c:pt>
                <c:pt idx="76">
                  <c:v>1.2454099999999999</c:v>
                </c:pt>
                <c:pt idx="77">
                  <c:v>1.3876299999999999</c:v>
                </c:pt>
                <c:pt idx="78">
                  <c:v>1.2479800000000001</c:v>
                </c:pt>
                <c:pt idx="79">
                  <c:v>1.29322</c:v>
                </c:pt>
                <c:pt idx="80">
                  <c:v>1.74163</c:v>
                </c:pt>
                <c:pt idx="81">
                  <c:v>1.39055</c:v>
                </c:pt>
                <c:pt idx="82">
                  <c:v>1.54251</c:v>
                </c:pt>
                <c:pt idx="83">
                  <c:v>1.7365600000000001</c:v>
                </c:pt>
                <c:pt idx="84">
                  <c:v>1.51424</c:v>
                </c:pt>
                <c:pt idx="85">
                  <c:v>1.53026</c:v>
                </c:pt>
                <c:pt idx="86">
                  <c:v>1.9479500000000001</c:v>
                </c:pt>
                <c:pt idx="87">
                  <c:v>1.2618100000000001</c:v>
                </c:pt>
                <c:pt idx="88">
                  <c:v>1.3084</c:v>
                </c:pt>
                <c:pt idx="89">
                  <c:v>1.4531099999999999</c:v>
                </c:pt>
                <c:pt idx="90">
                  <c:v>1.5680400000000001</c:v>
                </c:pt>
                <c:pt idx="91">
                  <c:v>1.50631</c:v>
                </c:pt>
                <c:pt idx="92">
                  <c:v>1.1387100000000001</c:v>
                </c:pt>
                <c:pt idx="93">
                  <c:v>1.3653900000000001</c:v>
                </c:pt>
                <c:pt idx="94">
                  <c:v>1.6901600000000001</c:v>
                </c:pt>
                <c:pt idx="95">
                  <c:v>1.2771699999999999</c:v>
                </c:pt>
                <c:pt idx="96">
                  <c:v>1.5438700000000001</c:v>
                </c:pt>
                <c:pt idx="97">
                  <c:v>1.4758800000000001</c:v>
                </c:pt>
                <c:pt idx="98">
                  <c:v>1.49932</c:v>
                </c:pt>
                <c:pt idx="99">
                  <c:v>1.74336</c:v>
                </c:pt>
                <c:pt idx="100">
                  <c:v>1.76946</c:v>
                </c:pt>
                <c:pt idx="101">
                  <c:v>1.6501999999999999</c:v>
                </c:pt>
                <c:pt idx="102">
                  <c:v>2.0023499999999999</c:v>
                </c:pt>
                <c:pt idx="103">
                  <c:v>1.67639</c:v>
                </c:pt>
                <c:pt idx="104">
                  <c:v>1.7688600000000001</c:v>
                </c:pt>
                <c:pt idx="105">
                  <c:v>1.4756899999999999</c:v>
                </c:pt>
                <c:pt idx="106">
                  <c:v>1.8916599999999999</c:v>
                </c:pt>
                <c:pt idx="107">
                  <c:v>1.3796900000000001</c:v>
                </c:pt>
                <c:pt idx="108">
                  <c:v>1.50589</c:v>
                </c:pt>
                <c:pt idx="109">
                  <c:v>1.6543699999999999</c:v>
                </c:pt>
                <c:pt idx="110">
                  <c:v>1.82674</c:v>
                </c:pt>
                <c:pt idx="111">
                  <c:v>1.8596999999999999</c:v>
                </c:pt>
                <c:pt idx="112">
                  <c:v>1.8353200000000001</c:v>
                </c:pt>
                <c:pt idx="113">
                  <c:v>1.8242400000000001</c:v>
                </c:pt>
                <c:pt idx="114">
                  <c:v>1.6422600000000001</c:v>
                </c:pt>
                <c:pt idx="115">
                  <c:v>1.86341</c:v>
                </c:pt>
                <c:pt idx="116">
                  <c:v>1.8763000000000001</c:v>
                </c:pt>
                <c:pt idx="117">
                  <c:v>1.9578</c:v>
                </c:pt>
                <c:pt idx="118">
                  <c:v>1.61209</c:v>
                </c:pt>
                <c:pt idx="119">
                  <c:v>1.63869</c:v>
                </c:pt>
                <c:pt idx="120">
                  <c:v>1.8699300000000001</c:v>
                </c:pt>
                <c:pt idx="121">
                  <c:v>1.7554399999999999</c:v>
                </c:pt>
                <c:pt idx="122">
                  <c:v>2.09646</c:v>
                </c:pt>
                <c:pt idx="123">
                  <c:v>1.7103900000000001</c:v>
                </c:pt>
                <c:pt idx="124">
                  <c:v>1.94574</c:v>
                </c:pt>
                <c:pt idx="125">
                  <c:v>1.6417200000000001</c:v>
                </c:pt>
                <c:pt idx="126">
                  <c:v>2.0197099999999999</c:v>
                </c:pt>
                <c:pt idx="127">
                  <c:v>1.8646199999999999</c:v>
                </c:pt>
                <c:pt idx="128">
                  <c:v>1.7303900000000001</c:v>
                </c:pt>
                <c:pt idx="129">
                  <c:v>1.5936399999999999</c:v>
                </c:pt>
                <c:pt idx="130">
                  <c:v>1.9419</c:v>
                </c:pt>
                <c:pt idx="131">
                  <c:v>1.9483299999999999</c:v>
                </c:pt>
                <c:pt idx="132">
                  <c:v>1.85425</c:v>
                </c:pt>
                <c:pt idx="133">
                  <c:v>2.2064400000000002</c:v>
                </c:pt>
                <c:pt idx="134">
                  <c:v>1.7228000000000001</c:v>
                </c:pt>
                <c:pt idx="135">
                  <c:v>2.0041899999999999</c:v>
                </c:pt>
                <c:pt idx="136">
                  <c:v>1.49207</c:v>
                </c:pt>
                <c:pt idx="137">
                  <c:v>2.41405</c:v>
                </c:pt>
                <c:pt idx="138">
                  <c:v>2.1619199999999998</c:v>
                </c:pt>
                <c:pt idx="139">
                  <c:v>2.1349399999999998</c:v>
                </c:pt>
                <c:pt idx="140">
                  <c:v>2.0184799999999998</c:v>
                </c:pt>
                <c:pt idx="141">
                  <c:v>2.24817</c:v>
                </c:pt>
                <c:pt idx="142">
                  <c:v>2.20668</c:v>
                </c:pt>
                <c:pt idx="143">
                  <c:v>1.9330099999999999</c:v>
                </c:pt>
                <c:pt idx="144">
                  <c:v>1.81732</c:v>
                </c:pt>
                <c:pt idx="145">
                  <c:v>1.94028</c:v>
                </c:pt>
                <c:pt idx="146">
                  <c:v>2.1898300000000002</c:v>
                </c:pt>
                <c:pt idx="147">
                  <c:v>2.2551999999999999</c:v>
                </c:pt>
                <c:pt idx="148">
                  <c:v>2.1497700000000002</c:v>
                </c:pt>
                <c:pt idx="149">
                  <c:v>2.4226399999999999</c:v>
                </c:pt>
                <c:pt idx="150">
                  <c:v>2.0767500000000001</c:v>
                </c:pt>
                <c:pt idx="151">
                  <c:v>1.95773</c:v>
                </c:pt>
                <c:pt idx="152">
                  <c:v>1.8723799999999999</c:v>
                </c:pt>
                <c:pt idx="153">
                  <c:v>1.9578500000000001</c:v>
                </c:pt>
                <c:pt idx="154">
                  <c:v>2.4280200000000001</c:v>
                </c:pt>
                <c:pt idx="155">
                  <c:v>2.1440999999999999</c:v>
                </c:pt>
                <c:pt idx="156">
                  <c:v>1.91652</c:v>
                </c:pt>
                <c:pt idx="157">
                  <c:v>2.3376399999999999</c:v>
                </c:pt>
                <c:pt idx="158">
                  <c:v>2.1493500000000001</c:v>
                </c:pt>
                <c:pt idx="159">
                  <c:v>2.6132599999999999</c:v>
                </c:pt>
                <c:pt idx="160">
                  <c:v>1.92848</c:v>
                </c:pt>
                <c:pt idx="161">
                  <c:v>2.4836499999999999</c:v>
                </c:pt>
                <c:pt idx="162">
                  <c:v>2.0003799999999998</c:v>
                </c:pt>
                <c:pt idx="163">
                  <c:v>1.9183600000000001</c:v>
                </c:pt>
                <c:pt idx="164">
                  <c:v>1.8890100000000001</c:v>
                </c:pt>
                <c:pt idx="165">
                  <c:v>1.9395100000000001</c:v>
                </c:pt>
                <c:pt idx="166">
                  <c:v>1.9958899999999999</c:v>
                </c:pt>
                <c:pt idx="167">
                  <c:v>2.0992000000000002</c:v>
                </c:pt>
                <c:pt idx="168">
                  <c:v>2.1040700000000001</c:v>
                </c:pt>
                <c:pt idx="169">
                  <c:v>2.0424199999999999</c:v>
                </c:pt>
                <c:pt idx="170">
                  <c:v>2.21651</c:v>
                </c:pt>
                <c:pt idx="171">
                  <c:v>2.1682999999999999</c:v>
                </c:pt>
                <c:pt idx="172">
                  <c:v>2.0373100000000002</c:v>
                </c:pt>
                <c:pt idx="173">
                  <c:v>1.7828599999999999</c:v>
                </c:pt>
                <c:pt idx="174">
                  <c:v>2.4655</c:v>
                </c:pt>
                <c:pt idx="175">
                  <c:v>2.29664</c:v>
                </c:pt>
                <c:pt idx="176">
                  <c:v>1.7577499999999999</c:v>
                </c:pt>
                <c:pt idx="177">
                  <c:v>2.0114299999999998</c:v>
                </c:pt>
                <c:pt idx="178">
                  <c:v>1.9837199999999999</c:v>
                </c:pt>
                <c:pt idx="179">
                  <c:v>2.04372</c:v>
                </c:pt>
                <c:pt idx="180">
                  <c:v>2.05667</c:v>
                </c:pt>
                <c:pt idx="181">
                  <c:v>2.1196100000000002</c:v>
                </c:pt>
                <c:pt idx="182">
                  <c:v>2.4771800000000002</c:v>
                </c:pt>
                <c:pt idx="183">
                  <c:v>1.9593</c:v>
                </c:pt>
                <c:pt idx="184">
                  <c:v>2.2811900000000001</c:v>
                </c:pt>
                <c:pt idx="185">
                  <c:v>2.4289000000000001</c:v>
                </c:pt>
                <c:pt idx="186">
                  <c:v>2.0087100000000002</c:v>
                </c:pt>
                <c:pt idx="187">
                  <c:v>2.2592500000000002</c:v>
                </c:pt>
                <c:pt idx="188">
                  <c:v>2.2436099999999999</c:v>
                </c:pt>
                <c:pt idx="189">
                  <c:v>2.1064699999999998</c:v>
                </c:pt>
                <c:pt idx="190">
                  <c:v>2.29528</c:v>
                </c:pt>
                <c:pt idx="191">
                  <c:v>2.3940800000000002</c:v>
                </c:pt>
                <c:pt idx="192">
                  <c:v>2.0447899999999999</c:v>
                </c:pt>
                <c:pt idx="193">
                  <c:v>1.8766799999999999</c:v>
                </c:pt>
                <c:pt idx="194">
                  <c:v>2.41316</c:v>
                </c:pt>
                <c:pt idx="195">
                  <c:v>2.55436</c:v>
                </c:pt>
                <c:pt idx="196">
                  <c:v>2.1792099999999999</c:v>
                </c:pt>
                <c:pt idx="197">
                  <c:v>2.6103399999999999</c:v>
                </c:pt>
                <c:pt idx="198">
                  <c:v>2.5286499999999998</c:v>
                </c:pt>
                <c:pt idx="199">
                  <c:v>2.0015700000000001</c:v>
                </c:pt>
                <c:pt idx="200">
                  <c:v>2.2610000000000001</c:v>
                </c:pt>
                <c:pt idx="201">
                  <c:v>2.4150399999999999</c:v>
                </c:pt>
                <c:pt idx="202">
                  <c:v>2.2017799999999998</c:v>
                </c:pt>
                <c:pt idx="203">
                  <c:v>2.53396</c:v>
                </c:pt>
                <c:pt idx="204">
                  <c:v>2.1593100000000001</c:v>
                </c:pt>
                <c:pt idx="205">
                  <c:v>2.2696100000000001</c:v>
                </c:pt>
                <c:pt idx="206">
                  <c:v>2.4321799999999998</c:v>
                </c:pt>
                <c:pt idx="207">
                  <c:v>2.4177399999999998</c:v>
                </c:pt>
                <c:pt idx="208">
                  <c:v>2.39507</c:v>
                </c:pt>
                <c:pt idx="209">
                  <c:v>2.6295700000000002</c:v>
                </c:pt>
                <c:pt idx="210">
                  <c:v>2.3141500000000002</c:v>
                </c:pt>
                <c:pt idx="211">
                  <c:v>2.3983500000000002</c:v>
                </c:pt>
                <c:pt idx="212">
                  <c:v>2.1671200000000002</c:v>
                </c:pt>
                <c:pt idx="213">
                  <c:v>2.0600299999999998</c:v>
                </c:pt>
                <c:pt idx="214">
                  <c:v>2.1919499999999998</c:v>
                </c:pt>
                <c:pt idx="215">
                  <c:v>2.5131899999999998</c:v>
                </c:pt>
                <c:pt idx="216">
                  <c:v>2.6889799999999999</c:v>
                </c:pt>
                <c:pt idx="217">
                  <c:v>2.3031600000000001</c:v>
                </c:pt>
                <c:pt idx="218">
                  <c:v>2.6705999999999999</c:v>
                </c:pt>
                <c:pt idx="219">
                  <c:v>2.5037500000000001</c:v>
                </c:pt>
                <c:pt idx="220">
                  <c:v>2.65191</c:v>
                </c:pt>
                <c:pt idx="221">
                  <c:v>2.00692</c:v>
                </c:pt>
                <c:pt idx="222">
                  <c:v>2.2588699999999999</c:v>
                </c:pt>
                <c:pt idx="223">
                  <c:v>2.6063200000000002</c:v>
                </c:pt>
                <c:pt idx="224">
                  <c:v>2.4892300000000001</c:v>
                </c:pt>
                <c:pt idx="225">
                  <c:v>2.79386</c:v>
                </c:pt>
                <c:pt idx="226">
                  <c:v>2.47139</c:v>
                </c:pt>
                <c:pt idx="227">
                  <c:v>2.16919</c:v>
                </c:pt>
                <c:pt idx="228">
                  <c:v>2.10819</c:v>
                </c:pt>
                <c:pt idx="229">
                  <c:v>2.1005600000000002</c:v>
                </c:pt>
                <c:pt idx="230">
                  <c:v>2.2634799999999999</c:v>
                </c:pt>
                <c:pt idx="231">
                  <c:v>2.5402900000000002</c:v>
                </c:pt>
                <c:pt idx="232">
                  <c:v>2.5555099999999999</c:v>
                </c:pt>
                <c:pt idx="233">
                  <c:v>2.2879100000000001</c:v>
                </c:pt>
                <c:pt idx="234">
                  <c:v>2.4084699999999999</c:v>
                </c:pt>
                <c:pt idx="235">
                  <c:v>1.83405</c:v>
                </c:pt>
                <c:pt idx="236">
                  <c:v>2.4653499999999999</c:v>
                </c:pt>
                <c:pt idx="237">
                  <c:v>2.44977</c:v>
                </c:pt>
                <c:pt idx="238">
                  <c:v>2.6643599999999998</c:v>
                </c:pt>
                <c:pt idx="239">
                  <c:v>2.0990600000000001</c:v>
                </c:pt>
                <c:pt idx="240">
                  <c:v>2.6537099999999998</c:v>
                </c:pt>
                <c:pt idx="241">
                  <c:v>2.5552800000000002</c:v>
                </c:pt>
                <c:pt idx="242">
                  <c:v>2.2081300000000001</c:v>
                </c:pt>
                <c:pt idx="243">
                  <c:v>2.3316300000000001</c:v>
                </c:pt>
                <c:pt idx="244">
                  <c:v>2.6070700000000002</c:v>
                </c:pt>
                <c:pt idx="245">
                  <c:v>2.5376099999999999</c:v>
                </c:pt>
                <c:pt idx="246">
                  <c:v>2.8028</c:v>
                </c:pt>
                <c:pt idx="247">
                  <c:v>2.4662500000000001</c:v>
                </c:pt>
                <c:pt idx="248">
                  <c:v>2.9452400000000001</c:v>
                </c:pt>
                <c:pt idx="249">
                  <c:v>2.3941300000000001</c:v>
                </c:pt>
                <c:pt idx="250">
                  <c:v>2.45932</c:v>
                </c:pt>
                <c:pt idx="251">
                  <c:v>2.4428999999999998</c:v>
                </c:pt>
                <c:pt idx="252">
                  <c:v>2.7755800000000002</c:v>
                </c:pt>
                <c:pt idx="253">
                  <c:v>2.50773</c:v>
                </c:pt>
                <c:pt idx="254">
                  <c:v>2.4190399999999999</c:v>
                </c:pt>
                <c:pt idx="255">
                  <c:v>2.7968899999999999</c:v>
                </c:pt>
                <c:pt idx="256">
                  <c:v>2.4866899999999998</c:v>
                </c:pt>
                <c:pt idx="257">
                  <c:v>2.50691</c:v>
                </c:pt>
                <c:pt idx="258">
                  <c:v>2.5523699999999998</c:v>
                </c:pt>
                <c:pt idx="259">
                  <c:v>2.3053499999999998</c:v>
                </c:pt>
                <c:pt idx="260">
                  <c:v>2.8720699999999999</c:v>
                </c:pt>
                <c:pt idx="261">
                  <c:v>2.6972299999999998</c:v>
                </c:pt>
                <c:pt idx="262">
                  <c:v>2.6415299999999999</c:v>
                </c:pt>
                <c:pt idx="263">
                  <c:v>2.6816800000000001</c:v>
                </c:pt>
                <c:pt idx="264">
                  <c:v>2.4940000000000002</c:v>
                </c:pt>
                <c:pt idx="265">
                  <c:v>2.83636</c:v>
                </c:pt>
                <c:pt idx="266">
                  <c:v>2.7777799999999999</c:v>
                </c:pt>
                <c:pt idx="267">
                  <c:v>2.5405600000000002</c:v>
                </c:pt>
                <c:pt idx="268">
                  <c:v>2.7686000000000002</c:v>
                </c:pt>
                <c:pt idx="269">
                  <c:v>2.9093599999999999</c:v>
                </c:pt>
                <c:pt idx="270">
                  <c:v>3.0581</c:v>
                </c:pt>
                <c:pt idx="271">
                  <c:v>2.7875700000000001</c:v>
                </c:pt>
                <c:pt idx="272">
                  <c:v>2.6894800000000001</c:v>
                </c:pt>
                <c:pt idx="273">
                  <c:v>2.7647900000000001</c:v>
                </c:pt>
                <c:pt idx="274">
                  <c:v>2.4182899999999998</c:v>
                </c:pt>
                <c:pt idx="275">
                  <c:v>2.4580099999999998</c:v>
                </c:pt>
                <c:pt idx="276">
                  <c:v>3.0859399999999999</c:v>
                </c:pt>
                <c:pt idx="277">
                  <c:v>2.7578900000000002</c:v>
                </c:pt>
                <c:pt idx="278">
                  <c:v>2.39263</c:v>
                </c:pt>
                <c:pt idx="279">
                  <c:v>2.9527999999999999</c:v>
                </c:pt>
                <c:pt idx="280">
                  <c:v>2.75949</c:v>
                </c:pt>
                <c:pt idx="281">
                  <c:v>2.5701999999999998</c:v>
                </c:pt>
                <c:pt idx="282">
                  <c:v>2.4670700000000001</c:v>
                </c:pt>
                <c:pt idx="283">
                  <c:v>2.38212</c:v>
                </c:pt>
                <c:pt idx="284">
                  <c:v>2.4785499999999998</c:v>
                </c:pt>
                <c:pt idx="285">
                  <c:v>2.5549300000000001</c:v>
                </c:pt>
                <c:pt idx="286">
                  <c:v>2.6564899999999998</c:v>
                </c:pt>
                <c:pt idx="287">
                  <c:v>3.0144899999999999</c:v>
                </c:pt>
                <c:pt idx="288">
                  <c:v>2.7271899999999998</c:v>
                </c:pt>
                <c:pt idx="289">
                  <c:v>2.7357300000000002</c:v>
                </c:pt>
                <c:pt idx="290">
                  <c:v>2.8245399999999998</c:v>
                </c:pt>
                <c:pt idx="291">
                  <c:v>2.77678</c:v>
                </c:pt>
                <c:pt idx="292">
                  <c:v>2.7833000000000001</c:v>
                </c:pt>
                <c:pt idx="293">
                  <c:v>2.6638899999999999</c:v>
                </c:pt>
                <c:pt idx="294">
                  <c:v>3.1733600000000002</c:v>
                </c:pt>
                <c:pt idx="295">
                  <c:v>2.5451700000000002</c:v>
                </c:pt>
                <c:pt idx="296">
                  <c:v>2.7492000000000001</c:v>
                </c:pt>
                <c:pt idx="297">
                  <c:v>3.1879</c:v>
                </c:pt>
                <c:pt idx="298">
                  <c:v>2.9731200000000002</c:v>
                </c:pt>
                <c:pt idx="299">
                  <c:v>2.7734999999999999</c:v>
                </c:pt>
                <c:pt idx="300">
                  <c:v>2.6652999999999998</c:v>
                </c:pt>
                <c:pt idx="301">
                  <c:v>2.8065699999999998</c:v>
                </c:pt>
                <c:pt idx="302">
                  <c:v>2.1709399999999999</c:v>
                </c:pt>
                <c:pt idx="303">
                  <c:v>2.82558</c:v>
                </c:pt>
                <c:pt idx="304">
                  <c:v>2.55762</c:v>
                </c:pt>
                <c:pt idx="305">
                  <c:v>2.8998900000000001</c:v>
                </c:pt>
                <c:pt idx="306">
                  <c:v>2.35534</c:v>
                </c:pt>
                <c:pt idx="307">
                  <c:v>2.5859899999999998</c:v>
                </c:pt>
                <c:pt idx="308">
                  <c:v>2.36409</c:v>
                </c:pt>
                <c:pt idx="309">
                  <c:v>2.9994299999999998</c:v>
                </c:pt>
                <c:pt idx="310">
                  <c:v>2.8432499999999998</c:v>
                </c:pt>
                <c:pt idx="311">
                  <c:v>2.8214199999999998</c:v>
                </c:pt>
                <c:pt idx="312">
                  <c:v>2.7910599999999999</c:v>
                </c:pt>
                <c:pt idx="313">
                  <c:v>2.9014799999999998</c:v>
                </c:pt>
                <c:pt idx="314">
                  <c:v>2.9337800000000001</c:v>
                </c:pt>
                <c:pt idx="315">
                  <c:v>3.07911</c:v>
                </c:pt>
                <c:pt idx="316">
                  <c:v>2.43398</c:v>
                </c:pt>
                <c:pt idx="317">
                  <c:v>2.7737400000000001</c:v>
                </c:pt>
                <c:pt idx="318">
                  <c:v>2.9786600000000001</c:v>
                </c:pt>
                <c:pt idx="319">
                  <c:v>2.9011300000000002</c:v>
                </c:pt>
                <c:pt idx="320">
                  <c:v>2.8070599999999999</c:v>
                </c:pt>
                <c:pt idx="321">
                  <c:v>2.3957199999999998</c:v>
                </c:pt>
                <c:pt idx="322">
                  <c:v>3.2900299999999998</c:v>
                </c:pt>
                <c:pt idx="323">
                  <c:v>3.3275700000000001</c:v>
                </c:pt>
                <c:pt idx="324">
                  <c:v>2.4825300000000001</c:v>
                </c:pt>
                <c:pt idx="325">
                  <c:v>2.7044700000000002</c:v>
                </c:pt>
                <c:pt idx="326">
                  <c:v>2.7035</c:v>
                </c:pt>
                <c:pt idx="327">
                  <c:v>2.8967800000000001</c:v>
                </c:pt>
                <c:pt idx="328">
                  <c:v>3.25095</c:v>
                </c:pt>
                <c:pt idx="329">
                  <c:v>2.8866499999999999</c:v>
                </c:pt>
                <c:pt idx="330">
                  <c:v>2.7302599999999999</c:v>
                </c:pt>
                <c:pt idx="331">
                  <c:v>2.9409000000000001</c:v>
                </c:pt>
                <c:pt idx="332">
                  <c:v>2.93296</c:v>
                </c:pt>
                <c:pt idx="333">
                  <c:v>2.6079300000000001</c:v>
                </c:pt>
                <c:pt idx="334">
                  <c:v>2.9493200000000002</c:v>
                </c:pt>
                <c:pt idx="335">
                  <c:v>2.9967199999999998</c:v>
                </c:pt>
                <c:pt idx="336">
                  <c:v>2.7439900000000002</c:v>
                </c:pt>
                <c:pt idx="337">
                  <c:v>2.5621200000000002</c:v>
                </c:pt>
                <c:pt idx="338">
                  <c:v>3.0558000000000001</c:v>
                </c:pt>
                <c:pt idx="339">
                  <c:v>2.6577199999999999</c:v>
                </c:pt>
                <c:pt idx="340">
                  <c:v>2.7179000000000002</c:v>
                </c:pt>
                <c:pt idx="341">
                  <c:v>2.8640599999999998</c:v>
                </c:pt>
                <c:pt idx="342">
                  <c:v>3.3388599999999999</c:v>
                </c:pt>
                <c:pt idx="343">
                  <c:v>2.94171</c:v>
                </c:pt>
                <c:pt idx="344">
                  <c:v>3.1007600000000002</c:v>
                </c:pt>
                <c:pt idx="345">
                  <c:v>2.7500200000000001</c:v>
                </c:pt>
                <c:pt idx="346">
                  <c:v>2.5680200000000002</c:v>
                </c:pt>
                <c:pt idx="347">
                  <c:v>2.5917599999999998</c:v>
                </c:pt>
                <c:pt idx="348">
                  <c:v>2.93838</c:v>
                </c:pt>
                <c:pt idx="349">
                  <c:v>2.6511300000000002</c:v>
                </c:pt>
                <c:pt idx="350">
                  <c:v>3.1930000000000001</c:v>
                </c:pt>
                <c:pt idx="351">
                  <c:v>3.0014500000000002</c:v>
                </c:pt>
                <c:pt idx="352">
                  <c:v>3.1135999999999999</c:v>
                </c:pt>
                <c:pt idx="353">
                  <c:v>2.93445</c:v>
                </c:pt>
                <c:pt idx="354">
                  <c:v>2.9501599999999999</c:v>
                </c:pt>
                <c:pt idx="355">
                  <c:v>2.5568200000000001</c:v>
                </c:pt>
                <c:pt idx="356">
                  <c:v>2.6566299999999998</c:v>
                </c:pt>
                <c:pt idx="357">
                  <c:v>3.2260200000000001</c:v>
                </c:pt>
                <c:pt idx="358">
                  <c:v>3.0498799999999999</c:v>
                </c:pt>
                <c:pt idx="359">
                  <c:v>2.9994999999999998</c:v>
                </c:pt>
                <c:pt idx="360">
                  <c:v>3.2577500000000001</c:v>
                </c:pt>
                <c:pt idx="361">
                  <c:v>2.80972</c:v>
                </c:pt>
                <c:pt idx="362">
                  <c:v>3.34613</c:v>
                </c:pt>
                <c:pt idx="363">
                  <c:v>2.9200900000000001</c:v>
                </c:pt>
                <c:pt idx="364">
                  <c:v>2.8454000000000002</c:v>
                </c:pt>
                <c:pt idx="365">
                  <c:v>2.7430300000000001</c:v>
                </c:pt>
                <c:pt idx="366">
                  <c:v>2.7980900000000002</c:v>
                </c:pt>
                <c:pt idx="367">
                  <c:v>3.1577299999999999</c:v>
                </c:pt>
                <c:pt idx="368">
                  <c:v>3.1718600000000001</c:v>
                </c:pt>
                <c:pt idx="369">
                  <c:v>2.8473299999999999</c:v>
                </c:pt>
                <c:pt idx="370">
                  <c:v>2.5731799999999998</c:v>
                </c:pt>
                <c:pt idx="371">
                  <c:v>3.1418400000000002</c:v>
                </c:pt>
                <c:pt idx="372">
                  <c:v>3.0291999999999999</c:v>
                </c:pt>
                <c:pt idx="373">
                  <c:v>2.6225200000000002</c:v>
                </c:pt>
                <c:pt idx="374">
                  <c:v>3.2106300000000001</c:v>
                </c:pt>
                <c:pt idx="375">
                  <c:v>2.8896700000000002</c:v>
                </c:pt>
                <c:pt idx="376">
                  <c:v>3.2012</c:v>
                </c:pt>
                <c:pt idx="377">
                  <c:v>2.8707600000000002</c:v>
                </c:pt>
                <c:pt idx="378">
                  <c:v>3.27935</c:v>
                </c:pt>
                <c:pt idx="379">
                  <c:v>3.27569</c:v>
                </c:pt>
                <c:pt idx="380">
                  <c:v>2.8148</c:v>
                </c:pt>
                <c:pt idx="381">
                  <c:v>2.9464199999999998</c:v>
                </c:pt>
                <c:pt idx="382">
                  <c:v>3.0338599999999998</c:v>
                </c:pt>
                <c:pt idx="383">
                  <c:v>2.9112499999999999</c:v>
                </c:pt>
                <c:pt idx="384">
                  <c:v>3.0986199999999999</c:v>
                </c:pt>
                <c:pt idx="385">
                  <c:v>2.9780500000000001</c:v>
                </c:pt>
                <c:pt idx="386">
                  <c:v>2.75</c:v>
                </c:pt>
                <c:pt idx="387">
                  <c:v>3.1993900000000002</c:v>
                </c:pt>
                <c:pt idx="388">
                  <c:v>2.6344699999999999</c:v>
                </c:pt>
                <c:pt idx="389">
                  <c:v>3.05844</c:v>
                </c:pt>
                <c:pt idx="390">
                  <c:v>2.6926999999999999</c:v>
                </c:pt>
                <c:pt idx="391">
                  <c:v>3.4942899999999999</c:v>
                </c:pt>
                <c:pt idx="392">
                  <c:v>2.8362099999999999</c:v>
                </c:pt>
                <c:pt idx="393">
                  <c:v>3.20207</c:v>
                </c:pt>
                <c:pt idx="394">
                  <c:v>2.9659599999999999</c:v>
                </c:pt>
                <c:pt idx="395">
                  <c:v>3.2719999999999998</c:v>
                </c:pt>
                <c:pt idx="396">
                  <c:v>3.1948699999999999</c:v>
                </c:pt>
                <c:pt idx="397">
                  <c:v>3.1650299999999998</c:v>
                </c:pt>
                <c:pt idx="398">
                  <c:v>3.1315300000000001</c:v>
                </c:pt>
                <c:pt idx="399">
                  <c:v>3.1333299999999999</c:v>
                </c:pt>
                <c:pt idx="400">
                  <c:v>3.3932199999999999</c:v>
                </c:pt>
                <c:pt idx="401">
                  <c:v>3.1394700000000002</c:v>
                </c:pt>
                <c:pt idx="402">
                  <c:v>3.3091300000000001</c:v>
                </c:pt>
                <c:pt idx="403">
                  <c:v>3.0264899999999999</c:v>
                </c:pt>
                <c:pt idx="404">
                  <c:v>3.0528300000000002</c:v>
                </c:pt>
                <c:pt idx="405">
                  <c:v>3.1648399999999999</c:v>
                </c:pt>
                <c:pt idx="406">
                  <c:v>3.1728100000000001</c:v>
                </c:pt>
                <c:pt idx="407">
                  <c:v>3.0862500000000002</c:v>
                </c:pt>
                <c:pt idx="408">
                  <c:v>3.2206999999999999</c:v>
                </c:pt>
                <c:pt idx="409">
                  <c:v>3.1909999999999998</c:v>
                </c:pt>
                <c:pt idx="410">
                  <c:v>3.0025200000000001</c:v>
                </c:pt>
                <c:pt idx="411">
                  <c:v>3.1823899999999998</c:v>
                </c:pt>
                <c:pt idx="412">
                  <c:v>3.1031300000000002</c:v>
                </c:pt>
                <c:pt idx="413">
                  <c:v>3.2307000000000001</c:v>
                </c:pt>
                <c:pt idx="414">
                  <c:v>2.74438</c:v>
                </c:pt>
                <c:pt idx="415">
                  <c:v>3.5633900000000001</c:v>
                </c:pt>
                <c:pt idx="416">
                  <c:v>2.5179800000000001</c:v>
                </c:pt>
                <c:pt idx="417">
                  <c:v>3.0772599999999999</c:v>
                </c:pt>
                <c:pt idx="418">
                  <c:v>2.9206699999999999</c:v>
                </c:pt>
                <c:pt idx="419">
                  <c:v>3.081</c:v>
                </c:pt>
                <c:pt idx="420">
                  <c:v>3.1488800000000001</c:v>
                </c:pt>
                <c:pt idx="421">
                  <c:v>3.3273999999999999</c:v>
                </c:pt>
                <c:pt idx="422">
                  <c:v>3.0223</c:v>
                </c:pt>
                <c:pt idx="423">
                  <c:v>3.0549900000000001</c:v>
                </c:pt>
                <c:pt idx="424">
                  <c:v>3.0321500000000001</c:v>
                </c:pt>
                <c:pt idx="425">
                  <c:v>3.1533199999999999</c:v>
                </c:pt>
                <c:pt idx="426">
                  <c:v>3.14012</c:v>
                </c:pt>
                <c:pt idx="427">
                  <c:v>3.2629899999999998</c:v>
                </c:pt>
                <c:pt idx="428">
                  <c:v>2.9195899999999999</c:v>
                </c:pt>
                <c:pt idx="429">
                  <c:v>3.4394999999999998</c:v>
                </c:pt>
                <c:pt idx="430">
                  <c:v>2.7821199999999999</c:v>
                </c:pt>
                <c:pt idx="431">
                  <c:v>3.13524</c:v>
                </c:pt>
                <c:pt idx="432">
                  <c:v>2.90787</c:v>
                </c:pt>
                <c:pt idx="433">
                  <c:v>3.0525000000000002</c:v>
                </c:pt>
                <c:pt idx="434">
                  <c:v>2.7865899999999999</c:v>
                </c:pt>
                <c:pt idx="435">
                  <c:v>3.27399</c:v>
                </c:pt>
                <c:pt idx="436">
                  <c:v>3.2529300000000001</c:v>
                </c:pt>
                <c:pt idx="437">
                  <c:v>3.32118</c:v>
                </c:pt>
                <c:pt idx="438">
                  <c:v>2.97187</c:v>
                </c:pt>
                <c:pt idx="439">
                  <c:v>3.3170000000000002</c:v>
                </c:pt>
                <c:pt idx="440">
                  <c:v>3.2046999999999999</c:v>
                </c:pt>
                <c:pt idx="441">
                  <c:v>2.6430199999999999</c:v>
                </c:pt>
                <c:pt idx="442">
                  <c:v>3.0851000000000002</c:v>
                </c:pt>
                <c:pt idx="443">
                  <c:v>3.1279499999999998</c:v>
                </c:pt>
                <c:pt idx="444">
                  <c:v>3.2364899999999999</c:v>
                </c:pt>
                <c:pt idx="445">
                  <c:v>3.4605100000000002</c:v>
                </c:pt>
                <c:pt idx="446">
                  <c:v>3.0828899999999999</c:v>
                </c:pt>
                <c:pt idx="447">
                  <c:v>2.8250700000000002</c:v>
                </c:pt>
                <c:pt idx="448">
                  <c:v>2.9728500000000002</c:v>
                </c:pt>
                <c:pt idx="449">
                  <c:v>3.2004899999999998</c:v>
                </c:pt>
                <c:pt idx="450">
                  <c:v>3.0411700000000002</c:v>
                </c:pt>
                <c:pt idx="451">
                  <c:v>3.0657399999999999</c:v>
                </c:pt>
                <c:pt idx="452">
                  <c:v>3.2027800000000002</c:v>
                </c:pt>
                <c:pt idx="453">
                  <c:v>2.96651</c:v>
                </c:pt>
                <c:pt idx="454">
                  <c:v>3.41473</c:v>
                </c:pt>
                <c:pt idx="455">
                  <c:v>2.9622999999999999</c:v>
                </c:pt>
                <c:pt idx="456">
                  <c:v>3.49526</c:v>
                </c:pt>
                <c:pt idx="457">
                  <c:v>3.6074600000000001</c:v>
                </c:pt>
                <c:pt idx="458">
                  <c:v>3.0678899999999998</c:v>
                </c:pt>
                <c:pt idx="459">
                  <c:v>2.88103</c:v>
                </c:pt>
                <c:pt idx="460">
                  <c:v>3.2097799999999999</c:v>
                </c:pt>
                <c:pt idx="461">
                  <c:v>2.8144300000000002</c:v>
                </c:pt>
                <c:pt idx="462">
                  <c:v>3.1393800000000001</c:v>
                </c:pt>
                <c:pt idx="463">
                  <c:v>3.31399</c:v>
                </c:pt>
                <c:pt idx="464">
                  <c:v>3.0562800000000001</c:v>
                </c:pt>
                <c:pt idx="465">
                  <c:v>3.48333</c:v>
                </c:pt>
                <c:pt idx="466">
                  <c:v>3.3552200000000001</c:v>
                </c:pt>
                <c:pt idx="467">
                  <c:v>2.86063</c:v>
                </c:pt>
                <c:pt idx="468">
                  <c:v>3.3934000000000002</c:v>
                </c:pt>
                <c:pt idx="469">
                  <c:v>3.09307</c:v>
                </c:pt>
                <c:pt idx="470">
                  <c:v>3.1871900000000002</c:v>
                </c:pt>
                <c:pt idx="471">
                  <c:v>3.1701800000000002</c:v>
                </c:pt>
                <c:pt idx="472">
                  <c:v>3.3155600000000001</c:v>
                </c:pt>
                <c:pt idx="473">
                  <c:v>3.2051799999999999</c:v>
                </c:pt>
                <c:pt idx="474">
                  <c:v>3.2415400000000001</c:v>
                </c:pt>
                <c:pt idx="475">
                  <c:v>2.9892500000000002</c:v>
                </c:pt>
                <c:pt idx="476">
                  <c:v>3.1156600000000001</c:v>
                </c:pt>
                <c:pt idx="477">
                  <c:v>3.3235000000000001</c:v>
                </c:pt>
                <c:pt idx="478">
                  <c:v>3.0764300000000002</c:v>
                </c:pt>
                <c:pt idx="479">
                  <c:v>2.9422700000000002</c:v>
                </c:pt>
                <c:pt idx="480">
                  <c:v>3.4544199999999998</c:v>
                </c:pt>
                <c:pt idx="481">
                  <c:v>2.8535499999999998</c:v>
                </c:pt>
                <c:pt idx="482">
                  <c:v>2.8593000000000002</c:v>
                </c:pt>
                <c:pt idx="483">
                  <c:v>2.9663400000000002</c:v>
                </c:pt>
                <c:pt idx="484">
                  <c:v>3.1063000000000001</c:v>
                </c:pt>
                <c:pt idx="485">
                  <c:v>3.3765299999999998</c:v>
                </c:pt>
                <c:pt idx="486">
                  <c:v>3.06629</c:v>
                </c:pt>
                <c:pt idx="487">
                  <c:v>3.0603099999999999</c:v>
                </c:pt>
                <c:pt idx="488">
                  <c:v>3.4092199999999999</c:v>
                </c:pt>
                <c:pt idx="489">
                  <c:v>2.7338200000000001</c:v>
                </c:pt>
                <c:pt idx="490">
                  <c:v>3.1234899999999999</c:v>
                </c:pt>
                <c:pt idx="491">
                  <c:v>3.77115</c:v>
                </c:pt>
                <c:pt idx="492">
                  <c:v>2.9974500000000002</c:v>
                </c:pt>
                <c:pt idx="493">
                  <c:v>3.0769099999999998</c:v>
                </c:pt>
                <c:pt idx="494">
                  <c:v>3.3772899999999999</c:v>
                </c:pt>
                <c:pt idx="495">
                  <c:v>3.3386999999999998</c:v>
                </c:pt>
                <c:pt idx="496">
                  <c:v>3.1603699999999999</c:v>
                </c:pt>
                <c:pt idx="497">
                  <c:v>3.15272</c:v>
                </c:pt>
                <c:pt idx="498">
                  <c:v>3.2543600000000001</c:v>
                </c:pt>
                <c:pt idx="499">
                  <c:v>3.2679200000000002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CF-4763-8485-494BBDFAE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777248"/>
        <c:axId val="863774728"/>
      </c:scatterChart>
      <c:valAx>
        <c:axId val="86377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774728"/>
        <c:crosses val="autoZero"/>
        <c:crossBetween val="midCat"/>
      </c:valAx>
      <c:valAx>
        <c:axId val="86377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77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Least Squares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Original</c:v>
          </c:tx>
          <c:spPr>
            <a:ln w="95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  <a:alpha val="31000"/>
                </a:schemeClr>
              </a:solidFill>
              <a:ln w="3175">
                <a:solidFill>
                  <a:schemeClr val="tx1">
                    <a:lumMod val="95000"/>
                    <a:lumOff val="5000"/>
                    <a:alpha val="95000"/>
                  </a:schemeClr>
                </a:solidFill>
                <a:round/>
              </a:ln>
              <a:effectLst/>
            </c:spPr>
          </c:marker>
          <c:xVal>
            <c:numRef>
              <c:f>Data!$A$1:$A$500</c:f>
              <c:numCache>
                <c:formatCode>General</c:formatCode>
                <c:ptCount val="500"/>
                <c:pt idx="0">
                  <c:v>0.1206</c:v>
                </c:pt>
                <c:pt idx="1">
                  <c:v>0.17858499999999999</c:v>
                </c:pt>
                <c:pt idx="2">
                  <c:v>0.26098500000000002</c:v>
                </c:pt>
                <c:pt idx="3">
                  <c:v>0.26632600000000001</c:v>
                </c:pt>
                <c:pt idx="4">
                  <c:v>0.42044399999999998</c:v>
                </c:pt>
                <c:pt idx="5">
                  <c:v>0.59363699999999997</c:v>
                </c:pt>
                <c:pt idx="6">
                  <c:v>0.67374800000000001</c:v>
                </c:pt>
                <c:pt idx="7">
                  <c:v>0.74622900000000003</c:v>
                </c:pt>
                <c:pt idx="8">
                  <c:v>0.75767399999999996</c:v>
                </c:pt>
                <c:pt idx="9">
                  <c:v>0.88508900000000001</c:v>
                </c:pt>
                <c:pt idx="10">
                  <c:v>0.89653300000000002</c:v>
                </c:pt>
                <c:pt idx="11">
                  <c:v>0.92628900000000003</c:v>
                </c:pt>
                <c:pt idx="12">
                  <c:v>0.96443699999999999</c:v>
                </c:pt>
                <c:pt idx="13">
                  <c:v>1.0132699999999999</c:v>
                </c:pt>
                <c:pt idx="14">
                  <c:v>1.0430200000000001</c:v>
                </c:pt>
                <c:pt idx="15">
                  <c:v>1.0437799999999999</c:v>
                </c:pt>
                <c:pt idx="16">
                  <c:v>1.0682</c:v>
                </c:pt>
                <c:pt idx="17">
                  <c:v>1.1048199999999999</c:v>
                </c:pt>
                <c:pt idx="18">
                  <c:v>1.1689099999999999</c:v>
                </c:pt>
                <c:pt idx="19">
                  <c:v>1.16967</c:v>
                </c:pt>
                <c:pt idx="20">
                  <c:v>1.1895100000000001</c:v>
                </c:pt>
                <c:pt idx="21">
                  <c:v>1.22461</c:v>
                </c:pt>
                <c:pt idx="22">
                  <c:v>1.2314700000000001</c:v>
                </c:pt>
                <c:pt idx="23">
                  <c:v>1.2841199999999999</c:v>
                </c:pt>
                <c:pt idx="24">
                  <c:v>1.30396</c:v>
                </c:pt>
                <c:pt idx="25">
                  <c:v>1.3077700000000001</c:v>
                </c:pt>
                <c:pt idx="26">
                  <c:v>1.4618899999999999</c:v>
                </c:pt>
                <c:pt idx="27">
                  <c:v>1.4802</c:v>
                </c:pt>
                <c:pt idx="28">
                  <c:v>1.49088</c:v>
                </c:pt>
                <c:pt idx="29">
                  <c:v>1.4946999999999999</c:v>
                </c:pt>
                <c:pt idx="30">
                  <c:v>1.5397099999999999</c:v>
                </c:pt>
                <c:pt idx="31">
                  <c:v>1.5679399999999999</c:v>
                </c:pt>
                <c:pt idx="32">
                  <c:v>1.65873</c:v>
                </c:pt>
                <c:pt idx="33">
                  <c:v>1.66178</c:v>
                </c:pt>
                <c:pt idx="34">
                  <c:v>1.71672</c:v>
                </c:pt>
                <c:pt idx="35">
                  <c:v>1.7548699999999999</c:v>
                </c:pt>
                <c:pt idx="36">
                  <c:v>1.8159000000000001</c:v>
                </c:pt>
                <c:pt idx="37">
                  <c:v>1.92424</c:v>
                </c:pt>
                <c:pt idx="38">
                  <c:v>1.9265300000000001</c:v>
                </c:pt>
                <c:pt idx="39">
                  <c:v>1.9532400000000001</c:v>
                </c:pt>
                <c:pt idx="40">
                  <c:v>2.00664</c:v>
                </c:pt>
                <c:pt idx="41">
                  <c:v>2.0501299999999998</c:v>
                </c:pt>
                <c:pt idx="42">
                  <c:v>2.08752</c:v>
                </c:pt>
                <c:pt idx="43">
                  <c:v>2.1180400000000001</c:v>
                </c:pt>
                <c:pt idx="44">
                  <c:v>2.1310099999999998</c:v>
                </c:pt>
                <c:pt idx="45">
                  <c:v>2.1928100000000001</c:v>
                </c:pt>
                <c:pt idx="46">
                  <c:v>2.2301899999999999</c:v>
                </c:pt>
                <c:pt idx="47">
                  <c:v>2.4712900000000002</c:v>
                </c:pt>
                <c:pt idx="48">
                  <c:v>2.5887799999999999</c:v>
                </c:pt>
                <c:pt idx="49">
                  <c:v>2.6040399999999999</c:v>
                </c:pt>
                <c:pt idx="50">
                  <c:v>2.6360899999999998</c:v>
                </c:pt>
                <c:pt idx="51">
                  <c:v>2.66737</c:v>
                </c:pt>
                <c:pt idx="52">
                  <c:v>2.7398500000000001</c:v>
                </c:pt>
                <c:pt idx="53">
                  <c:v>2.7581600000000002</c:v>
                </c:pt>
                <c:pt idx="54">
                  <c:v>2.76579</c:v>
                </c:pt>
                <c:pt idx="55">
                  <c:v>2.7711299999999999</c:v>
                </c:pt>
                <c:pt idx="56">
                  <c:v>2.7970700000000002</c:v>
                </c:pt>
                <c:pt idx="57">
                  <c:v>2.9740799999999998</c:v>
                </c:pt>
                <c:pt idx="58">
                  <c:v>2.9756100000000001</c:v>
                </c:pt>
                <c:pt idx="59">
                  <c:v>3.0610599999999999</c:v>
                </c:pt>
                <c:pt idx="60">
                  <c:v>3.0870000000000002</c:v>
                </c:pt>
                <c:pt idx="61">
                  <c:v>3.1015000000000001</c:v>
                </c:pt>
                <c:pt idx="62">
                  <c:v>3.13964</c:v>
                </c:pt>
                <c:pt idx="63">
                  <c:v>3.1549</c:v>
                </c:pt>
                <c:pt idx="64">
                  <c:v>3.26553</c:v>
                </c:pt>
                <c:pt idx="65">
                  <c:v>3.2716400000000001</c:v>
                </c:pt>
                <c:pt idx="66">
                  <c:v>3.28918</c:v>
                </c:pt>
                <c:pt idx="67">
                  <c:v>3.3830300000000002</c:v>
                </c:pt>
                <c:pt idx="68">
                  <c:v>3.5768200000000001</c:v>
                </c:pt>
                <c:pt idx="69">
                  <c:v>3.6256499999999998</c:v>
                </c:pt>
                <c:pt idx="70">
                  <c:v>3.6439599999999999</c:v>
                </c:pt>
                <c:pt idx="71">
                  <c:v>3.7240700000000002</c:v>
                </c:pt>
                <c:pt idx="72">
                  <c:v>3.7240700000000002</c:v>
                </c:pt>
                <c:pt idx="73">
                  <c:v>3.7278899999999999</c:v>
                </c:pt>
                <c:pt idx="74">
                  <c:v>3.72865</c:v>
                </c:pt>
                <c:pt idx="75">
                  <c:v>3.7362799999999998</c:v>
                </c:pt>
                <c:pt idx="76">
                  <c:v>3.7416200000000002</c:v>
                </c:pt>
                <c:pt idx="77">
                  <c:v>3.83928</c:v>
                </c:pt>
                <c:pt idx="78">
                  <c:v>3.86293</c:v>
                </c:pt>
                <c:pt idx="79">
                  <c:v>3.94381</c:v>
                </c:pt>
                <c:pt idx="80">
                  <c:v>3.9903499999999998</c:v>
                </c:pt>
                <c:pt idx="81">
                  <c:v>3.9933999999999998</c:v>
                </c:pt>
                <c:pt idx="82">
                  <c:v>4.117</c:v>
                </c:pt>
                <c:pt idx="83">
                  <c:v>4.12005</c:v>
                </c:pt>
                <c:pt idx="84">
                  <c:v>4.2985800000000003</c:v>
                </c:pt>
                <c:pt idx="85">
                  <c:v>4.3115500000000004</c:v>
                </c:pt>
                <c:pt idx="86">
                  <c:v>4.3313899999999999</c:v>
                </c:pt>
                <c:pt idx="87">
                  <c:v>4.3367300000000002</c:v>
                </c:pt>
                <c:pt idx="88">
                  <c:v>4.4137899999999997</c:v>
                </c:pt>
                <c:pt idx="89">
                  <c:v>4.4435500000000001</c:v>
                </c:pt>
                <c:pt idx="90">
                  <c:v>4.4565200000000003</c:v>
                </c:pt>
                <c:pt idx="91">
                  <c:v>4.4862700000000002</c:v>
                </c:pt>
                <c:pt idx="92">
                  <c:v>4.5007700000000002</c:v>
                </c:pt>
                <c:pt idx="93">
                  <c:v>4.5785900000000002</c:v>
                </c:pt>
                <c:pt idx="94">
                  <c:v>4.5793499999999998</c:v>
                </c:pt>
                <c:pt idx="95">
                  <c:v>4.5953799999999996</c:v>
                </c:pt>
                <c:pt idx="96">
                  <c:v>4.6648100000000001</c:v>
                </c:pt>
                <c:pt idx="97">
                  <c:v>4.8021399999999996</c:v>
                </c:pt>
                <c:pt idx="98">
                  <c:v>4.8494400000000004</c:v>
                </c:pt>
                <c:pt idx="99">
                  <c:v>5.10656</c:v>
                </c:pt>
                <c:pt idx="100">
                  <c:v>5.2232900000000004</c:v>
                </c:pt>
                <c:pt idx="101">
                  <c:v>5.2370299999999999</c:v>
                </c:pt>
                <c:pt idx="102">
                  <c:v>5.2843299999999997</c:v>
                </c:pt>
                <c:pt idx="103">
                  <c:v>5.2911999999999999</c:v>
                </c:pt>
                <c:pt idx="104">
                  <c:v>5.3156100000000004</c:v>
                </c:pt>
                <c:pt idx="105">
                  <c:v>5.38809</c:v>
                </c:pt>
                <c:pt idx="106">
                  <c:v>5.4254800000000003</c:v>
                </c:pt>
                <c:pt idx="107">
                  <c:v>5.5590000000000002</c:v>
                </c:pt>
                <c:pt idx="108">
                  <c:v>5.6406400000000003</c:v>
                </c:pt>
                <c:pt idx="109">
                  <c:v>5.70167</c:v>
                </c:pt>
                <c:pt idx="110">
                  <c:v>5.7695800000000004</c:v>
                </c:pt>
                <c:pt idx="111">
                  <c:v>5.8008600000000001</c:v>
                </c:pt>
                <c:pt idx="112">
                  <c:v>5.8870699999999996</c:v>
                </c:pt>
                <c:pt idx="113">
                  <c:v>5.9084399999999997</c:v>
                </c:pt>
                <c:pt idx="114">
                  <c:v>5.9160599999999999</c:v>
                </c:pt>
                <c:pt idx="115">
                  <c:v>5.9305599999999998</c:v>
                </c:pt>
                <c:pt idx="116">
                  <c:v>5.9534500000000001</c:v>
                </c:pt>
                <c:pt idx="117">
                  <c:v>5.9580299999999999</c:v>
                </c:pt>
                <c:pt idx="118">
                  <c:v>6.0053299999999998</c:v>
                </c:pt>
                <c:pt idx="119">
                  <c:v>6.0434799999999997</c:v>
                </c:pt>
                <c:pt idx="120">
                  <c:v>6.0579799999999997</c:v>
                </c:pt>
                <c:pt idx="121">
                  <c:v>6.1495300000000004</c:v>
                </c:pt>
                <c:pt idx="122">
                  <c:v>6.2502399999999998</c:v>
                </c:pt>
                <c:pt idx="123">
                  <c:v>6.2899200000000004</c:v>
                </c:pt>
                <c:pt idx="124">
                  <c:v>6.3372200000000003</c:v>
                </c:pt>
                <c:pt idx="125">
                  <c:v>6.3837599999999997</c:v>
                </c:pt>
                <c:pt idx="126">
                  <c:v>6.5638199999999998</c:v>
                </c:pt>
                <c:pt idx="127">
                  <c:v>6.5691600000000001</c:v>
                </c:pt>
                <c:pt idx="128">
                  <c:v>6.6408800000000001</c:v>
                </c:pt>
                <c:pt idx="129">
                  <c:v>6.6515599999999999</c:v>
                </c:pt>
                <c:pt idx="130">
                  <c:v>6.6706399999999997</c:v>
                </c:pt>
                <c:pt idx="131">
                  <c:v>6.82552</c:v>
                </c:pt>
                <c:pt idx="132">
                  <c:v>6.8407799999999996</c:v>
                </c:pt>
                <c:pt idx="133">
                  <c:v>6.8934199999999999</c:v>
                </c:pt>
                <c:pt idx="134">
                  <c:v>6.9514100000000001</c:v>
                </c:pt>
                <c:pt idx="135">
                  <c:v>6.9994699999999996</c:v>
                </c:pt>
                <c:pt idx="136">
                  <c:v>7.0254099999999999</c:v>
                </c:pt>
                <c:pt idx="137">
                  <c:v>7.0422000000000002</c:v>
                </c:pt>
                <c:pt idx="138">
                  <c:v>7.07348</c:v>
                </c:pt>
                <c:pt idx="139">
                  <c:v>7.1177299999999999</c:v>
                </c:pt>
                <c:pt idx="140">
                  <c:v>7.1429099999999996</c:v>
                </c:pt>
                <c:pt idx="141">
                  <c:v>7.1718999999999999</c:v>
                </c:pt>
                <c:pt idx="142">
                  <c:v>7.1780099999999996</c:v>
                </c:pt>
                <c:pt idx="143">
                  <c:v>7.2100499999999998</c:v>
                </c:pt>
                <c:pt idx="144">
                  <c:v>7.2306499999999998</c:v>
                </c:pt>
                <c:pt idx="145">
                  <c:v>7.3016100000000002</c:v>
                </c:pt>
                <c:pt idx="146">
                  <c:v>7.3588300000000002</c:v>
                </c:pt>
                <c:pt idx="147">
                  <c:v>7.37561</c:v>
                </c:pt>
                <c:pt idx="148">
                  <c:v>7.39011</c:v>
                </c:pt>
                <c:pt idx="149">
                  <c:v>7.5297299999999998</c:v>
                </c:pt>
                <c:pt idx="150">
                  <c:v>7.6250999999999998</c:v>
                </c:pt>
                <c:pt idx="151">
                  <c:v>7.6777499999999996</c:v>
                </c:pt>
                <c:pt idx="152">
                  <c:v>7.74641</c:v>
                </c:pt>
                <c:pt idx="153">
                  <c:v>7.7487000000000004</c:v>
                </c:pt>
                <c:pt idx="154">
                  <c:v>7.7799800000000001</c:v>
                </c:pt>
                <c:pt idx="155">
                  <c:v>7.8272899999999996</c:v>
                </c:pt>
                <c:pt idx="156">
                  <c:v>7.9608100000000004</c:v>
                </c:pt>
                <c:pt idx="157">
                  <c:v>8.0607500000000005</c:v>
                </c:pt>
                <c:pt idx="158">
                  <c:v>8.2041900000000005</c:v>
                </c:pt>
                <c:pt idx="159">
                  <c:v>8.2423400000000004</c:v>
                </c:pt>
                <c:pt idx="160">
                  <c:v>8.2782</c:v>
                </c:pt>
                <c:pt idx="161">
                  <c:v>8.3102400000000003</c:v>
                </c:pt>
                <c:pt idx="162">
                  <c:v>8.3491499999999998</c:v>
                </c:pt>
                <c:pt idx="163">
                  <c:v>8.3666999999999998</c:v>
                </c:pt>
                <c:pt idx="164">
                  <c:v>8.4254499999999997</c:v>
                </c:pt>
                <c:pt idx="165">
                  <c:v>8.4536800000000003</c:v>
                </c:pt>
                <c:pt idx="166">
                  <c:v>8.6291600000000006</c:v>
                </c:pt>
                <c:pt idx="167">
                  <c:v>8.6467100000000006</c:v>
                </c:pt>
                <c:pt idx="168">
                  <c:v>8.7024000000000008</c:v>
                </c:pt>
                <c:pt idx="169">
                  <c:v>8.7748899999999992</c:v>
                </c:pt>
                <c:pt idx="170">
                  <c:v>8.7954899999999991</c:v>
                </c:pt>
                <c:pt idx="171">
                  <c:v>8.8450799999999994</c:v>
                </c:pt>
                <c:pt idx="172">
                  <c:v>8.8580500000000004</c:v>
                </c:pt>
                <c:pt idx="173">
                  <c:v>8.8595799999999993</c:v>
                </c:pt>
                <c:pt idx="174">
                  <c:v>8.8694900000000008</c:v>
                </c:pt>
                <c:pt idx="175">
                  <c:v>8.89086</c:v>
                </c:pt>
                <c:pt idx="176">
                  <c:v>8.9160299999999992</c:v>
                </c:pt>
                <c:pt idx="177">
                  <c:v>8.9244299999999992</c:v>
                </c:pt>
                <c:pt idx="178">
                  <c:v>8.9923300000000008</c:v>
                </c:pt>
                <c:pt idx="179">
                  <c:v>9.0022500000000001</c:v>
                </c:pt>
                <c:pt idx="180">
                  <c:v>9.032</c:v>
                </c:pt>
                <c:pt idx="181">
                  <c:v>9.0548900000000003</c:v>
                </c:pt>
                <c:pt idx="182">
                  <c:v>9.0831199999999992</c:v>
                </c:pt>
                <c:pt idx="183">
                  <c:v>9.0907499999999999</c:v>
                </c:pt>
                <c:pt idx="184">
                  <c:v>9.0915199999999992</c:v>
                </c:pt>
                <c:pt idx="185">
                  <c:v>9.0937999999999999</c:v>
                </c:pt>
                <c:pt idx="186">
                  <c:v>9.1143999999999998</c:v>
                </c:pt>
                <c:pt idx="187">
                  <c:v>9.1143999999999998</c:v>
                </c:pt>
                <c:pt idx="188">
                  <c:v>9.1815499999999997</c:v>
                </c:pt>
                <c:pt idx="189">
                  <c:v>9.1861200000000007</c:v>
                </c:pt>
                <c:pt idx="190">
                  <c:v>9.3074300000000001</c:v>
                </c:pt>
                <c:pt idx="191">
                  <c:v>9.33948</c:v>
                </c:pt>
                <c:pt idx="192">
                  <c:v>9.3646600000000007</c:v>
                </c:pt>
                <c:pt idx="193">
                  <c:v>9.3768600000000006</c:v>
                </c:pt>
                <c:pt idx="194">
                  <c:v>9.4073799999999999</c:v>
                </c:pt>
                <c:pt idx="195">
                  <c:v>9.4371399999999994</c:v>
                </c:pt>
                <c:pt idx="196">
                  <c:v>9.4661299999999997</c:v>
                </c:pt>
                <c:pt idx="197">
                  <c:v>9.6004100000000001</c:v>
                </c:pt>
                <c:pt idx="198">
                  <c:v>9.6614500000000003</c:v>
                </c:pt>
                <c:pt idx="199">
                  <c:v>9.9910499999999995</c:v>
                </c:pt>
                <c:pt idx="200">
                  <c:v>10.037599999999999</c:v>
                </c:pt>
                <c:pt idx="201">
                  <c:v>10.047499999999999</c:v>
                </c:pt>
                <c:pt idx="202">
                  <c:v>10.111599999999999</c:v>
                </c:pt>
                <c:pt idx="203">
                  <c:v>10.274100000000001</c:v>
                </c:pt>
                <c:pt idx="204">
                  <c:v>10.3611</c:v>
                </c:pt>
                <c:pt idx="205">
                  <c:v>10.4381</c:v>
                </c:pt>
                <c:pt idx="206">
                  <c:v>10.4435</c:v>
                </c:pt>
                <c:pt idx="207">
                  <c:v>10.4847</c:v>
                </c:pt>
                <c:pt idx="208">
                  <c:v>10.4877</c:v>
                </c:pt>
                <c:pt idx="209">
                  <c:v>10.5465</c:v>
                </c:pt>
                <c:pt idx="210">
                  <c:v>10.831099999999999</c:v>
                </c:pt>
                <c:pt idx="211">
                  <c:v>10.873799999999999</c:v>
                </c:pt>
                <c:pt idx="212">
                  <c:v>10.911899999999999</c:v>
                </c:pt>
                <c:pt idx="213">
                  <c:v>10.935600000000001</c:v>
                </c:pt>
                <c:pt idx="214">
                  <c:v>11.2255</c:v>
                </c:pt>
                <c:pt idx="215">
                  <c:v>11.2377</c:v>
                </c:pt>
                <c:pt idx="216">
                  <c:v>11.2431</c:v>
                </c:pt>
                <c:pt idx="217">
                  <c:v>11.3217</c:v>
                </c:pt>
                <c:pt idx="218">
                  <c:v>11.3659</c:v>
                </c:pt>
                <c:pt idx="219">
                  <c:v>11.3705</c:v>
                </c:pt>
                <c:pt idx="220">
                  <c:v>11.3705</c:v>
                </c:pt>
                <c:pt idx="221">
                  <c:v>11.4186</c:v>
                </c:pt>
                <c:pt idx="222">
                  <c:v>11.462</c:v>
                </c:pt>
                <c:pt idx="223">
                  <c:v>11.702400000000001</c:v>
                </c:pt>
                <c:pt idx="224">
                  <c:v>11.741300000000001</c:v>
                </c:pt>
                <c:pt idx="225">
                  <c:v>11.753500000000001</c:v>
                </c:pt>
                <c:pt idx="226">
                  <c:v>11.767200000000001</c:v>
                </c:pt>
                <c:pt idx="227">
                  <c:v>11.796200000000001</c:v>
                </c:pt>
                <c:pt idx="228">
                  <c:v>11.8565</c:v>
                </c:pt>
                <c:pt idx="229">
                  <c:v>11.9122</c:v>
                </c:pt>
                <c:pt idx="230">
                  <c:v>11.9152</c:v>
                </c:pt>
                <c:pt idx="231">
                  <c:v>11.929</c:v>
                </c:pt>
                <c:pt idx="232">
                  <c:v>11.9503</c:v>
                </c:pt>
                <c:pt idx="233">
                  <c:v>11.9732</c:v>
                </c:pt>
                <c:pt idx="234">
                  <c:v>11.9938</c:v>
                </c:pt>
                <c:pt idx="235">
                  <c:v>12.0213</c:v>
                </c:pt>
                <c:pt idx="236">
                  <c:v>12.0251</c:v>
                </c:pt>
                <c:pt idx="237">
                  <c:v>12.0526</c:v>
                </c:pt>
                <c:pt idx="238">
                  <c:v>12.2059</c:v>
                </c:pt>
                <c:pt idx="239">
                  <c:v>12.2212</c:v>
                </c:pt>
                <c:pt idx="240">
                  <c:v>12.373799999999999</c:v>
                </c:pt>
                <c:pt idx="241">
                  <c:v>12.424099999999999</c:v>
                </c:pt>
                <c:pt idx="242">
                  <c:v>12.510400000000001</c:v>
                </c:pt>
                <c:pt idx="243">
                  <c:v>12.563800000000001</c:v>
                </c:pt>
                <c:pt idx="244">
                  <c:v>12.572900000000001</c:v>
                </c:pt>
                <c:pt idx="245">
                  <c:v>12.6805</c:v>
                </c:pt>
                <c:pt idx="246">
                  <c:v>12.7324</c:v>
                </c:pt>
                <c:pt idx="247">
                  <c:v>12.7507</c:v>
                </c:pt>
                <c:pt idx="248">
                  <c:v>12.7675</c:v>
                </c:pt>
                <c:pt idx="249">
                  <c:v>12.8552</c:v>
                </c:pt>
                <c:pt idx="250">
                  <c:v>12.875</c:v>
                </c:pt>
                <c:pt idx="251">
                  <c:v>12.9361</c:v>
                </c:pt>
                <c:pt idx="252">
                  <c:v>12.9613</c:v>
                </c:pt>
                <c:pt idx="253">
                  <c:v>12.9864</c:v>
                </c:pt>
                <c:pt idx="254">
                  <c:v>13.065799999999999</c:v>
                </c:pt>
                <c:pt idx="255">
                  <c:v>13.098599999999999</c:v>
                </c:pt>
                <c:pt idx="256">
                  <c:v>13.171799999999999</c:v>
                </c:pt>
                <c:pt idx="257">
                  <c:v>13.193199999999999</c:v>
                </c:pt>
                <c:pt idx="258">
                  <c:v>13.3992</c:v>
                </c:pt>
                <c:pt idx="259">
                  <c:v>13.4168</c:v>
                </c:pt>
                <c:pt idx="260">
                  <c:v>13.6281</c:v>
                </c:pt>
                <c:pt idx="261">
                  <c:v>13.6372</c:v>
                </c:pt>
                <c:pt idx="262">
                  <c:v>13.6395</c:v>
                </c:pt>
                <c:pt idx="263">
                  <c:v>13.6609</c:v>
                </c:pt>
                <c:pt idx="264">
                  <c:v>13.6655</c:v>
                </c:pt>
                <c:pt idx="265">
                  <c:v>13.6731</c:v>
                </c:pt>
                <c:pt idx="266">
                  <c:v>13.6846</c:v>
                </c:pt>
                <c:pt idx="267">
                  <c:v>13.797499999999999</c:v>
                </c:pt>
                <c:pt idx="268">
                  <c:v>13.879099999999999</c:v>
                </c:pt>
                <c:pt idx="269">
                  <c:v>13.970700000000001</c:v>
                </c:pt>
                <c:pt idx="270">
                  <c:v>13.979799999999999</c:v>
                </c:pt>
                <c:pt idx="271">
                  <c:v>14.044700000000001</c:v>
                </c:pt>
                <c:pt idx="272">
                  <c:v>14.078200000000001</c:v>
                </c:pt>
                <c:pt idx="273">
                  <c:v>14.2163</c:v>
                </c:pt>
                <c:pt idx="274">
                  <c:v>14.2285</c:v>
                </c:pt>
                <c:pt idx="275">
                  <c:v>14.2545</c:v>
                </c:pt>
                <c:pt idx="276">
                  <c:v>14.2713</c:v>
                </c:pt>
                <c:pt idx="277">
                  <c:v>14.2812</c:v>
                </c:pt>
                <c:pt idx="278">
                  <c:v>14.3216</c:v>
                </c:pt>
                <c:pt idx="279">
                  <c:v>14.3399</c:v>
                </c:pt>
                <c:pt idx="280">
                  <c:v>14.459</c:v>
                </c:pt>
                <c:pt idx="281">
                  <c:v>14.4727</c:v>
                </c:pt>
                <c:pt idx="282">
                  <c:v>14.5223</c:v>
                </c:pt>
                <c:pt idx="283">
                  <c:v>14.567299999999999</c:v>
                </c:pt>
                <c:pt idx="284">
                  <c:v>14.5848</c:v>
                </c:pt>
                <c:pt idx="285">
                  <c:v>14.634399999999999</c:v>
                </c:pt>
                <c:pt idx="286">
                  <c:v>14.9518</c:v>
                </c:pt>
                <c:pt idx="287">
                  <c:v>14.9923</c:v>
                </c:pt>
                <c:pt idx="288">
                  <c:v>15.1296</c:v>
                </c:pt>
                <c:pt idx="289">
                  <c:v>15.1365</c:v>
                </c:pt>
                <c:pt idx="290">
                  <c:v>15.154</c:v>
                </c:pt>
                <c:pt idx="291">
                  <c:v>15.1678</c:v>
                </c:pt>
                <c:pt idx="292">
                  <c:v>15.183</c:v>
                </c:pt>
                <c:pt idx="293">
                  <c:v>15.2448</c:v>
                </c:pt>
                <c:pt idx="294">
                  <c:v>15.2997</c:v>
                </c:pt>
                <c:pt idx="295">
                  <c:v>15.3142</c:v>
                </c:pt>
                <c:pt idx="296">
                  <c:v>15.356199999999999</c:v>
                </c:pt>
                <c:pt idx="297">
                  <c:v>15.398199999999999</c:v>
                </c:pt>
                <c:pt idx="298">
                  <c:v>15.416499999999999</c:v>
                </c:pt>
                <c:pt idx="299">
                  <c:v>15.466100000000001</c:v>
                </c:pt>
                <c:pt idx="300">
                  <c:v>15.518000000000001</c:v>
                </c:pt>
                <c:pt idx="301">
                  <c:v>15.577500000000001</c:v>
                </c:pt>
                <c:pt idx="302">
                  <c:v>15.6271</c:v>
                </c:pt>
                <c:pt idx="303">
                  <c:v>15.632400000000001</c:v>
                </c:pt>
                <c:pt idx="304">
                  <c:v>15.666700000000001</c:v>
                </c:pt>
                <c:pt idx="305">
                  <c:v>15.7095</c:v>
                </c:pt>
                <c:pt idx="306">
                  <c:v>15.7354</c:v>
                </c:pt>
                <c:pt idx="307">
                  <c:v>15.7438</c:v>
                </c:pt>
                <c:pt idx="308">
                  <c:v>15.7606</c:v>
                </c:pt>
                <c:pt idx="309">
                  <c:v>15.814</c:v>
                </c:pt>
                <c:pt idx="310">
                  <c:v>15.8918</c:v>
                </c:pt>
                <c:pt idx="311">
                  <c:v>15.9429</c:v>
                </c:pt>
                <c:pt idx="312">
                  <c:v>15.9757</c:v>
                </c:pt>
                <c:pt idx="313">
                  <c:v>16.078700000000001</c:v>
                </c:pt>
                <c:pt idx="314">
                  <c:v>16.086400000000001</c:v>
                </c:pt>
                <c:pt idx="315">
                  <c:v>16.167999999999999</c:v>
                </c:pt>
                <c:pt idx="316">
                  <c:v>16.319099999999999</c:v>
                </c:pt>
                <c:pt idx="317">
                  <c:v>16.325900000000001</c:v>
                </c:pt>
                <c:pt idx="318">
                  <c:v>16.331299999999999</c:v>
                </c:pt>
                <c:pt idx="319">
                  <c:v>16.4984</c:v>
                </c:pt>
                <c:pt idx="320">
                  <c:v>16.506799999999998</c:v>
                </c:pt>
                <c:pt idx="321">
                  <c:v>16.509</c:v>
                </c:pt>
                <c:pt idx="322">
                  <c:v>16.5274</c:v>
                </c:pt>
                <c:pt idx="323">
                  <c:v>16.552499999999998</c:v>
                </c:pt>
                <c:pt idx="324">
                  <c:v>16.564699999999998</c:v>
                </c:pt>
                <c:pt idx="325">
                  <c:v>16.6143</c:v>
                </c:pt>
                <c:pt idx="326">
                  <c:v>16.6937</c:v>
                </c:pt>
                <c:pt idx="327">
                  <c:v>16.718900000000001</c:v>
                </c:pt>
                <c:pt idx="328">
                  <c:v>16.7532</c:v>
                </c:pt>
                <c:pt idx="329">
                  <c:v>16.857700000000001</c:v>
                </c:pt>
                <c:pt idx="330">
                  <c:v>16.866099999999999</c:v>
                </c:pt>
                <c:pt idx="331">
                  <c:v>16.905000000000001</c:v>
                </c:pt>
                <c:pt idx="332">
                  <c:v>16.975999999999999</c:v>
                </c:pt>
                <c:pt idx="333">
                  <c:v>17.007999999999999</c:v>
                </c:pt>
                <c:pt idx="334">
                  <c:v>17.022500000000001</c:v>
                </c:pt>
                <c:pt idx="335">
                  <c:v>17.149899999999999</c:v>
                </c:pt>
                <c:pt idx="336">
                  <c:v>17.1568</c:v>
                </c:pt>
                <c:pt idx="337">
                  <c:v>17.166699999999999</c:v>
                </c:pt>
                <c:pt idx="338">
                  <c:v>17.218599999999999</c:v>
                </c:pt>
                <c:pt idx="339">
                  <c:v>17.2773</c:v>
                </c:pt>
                <c:pt idx="340">
                  <c:v>17.305599999999998</c:v>
                </c:pt>
                <c:pt idx="341">
                  <c:v>17.363600000000002</c:v>
                </c:pt>
                <c:pt idx="342">
                  <c:v>17.5001</c:v>
                </c:pt>
                <c:pt idx="343">
                  <c:v>17.574100000000001</c:v>
                </c:pt>
                <c:pt idx="344">
                  <c:v>17.616900000000001</c:v>
                </c:pt>
                <c:pt idx="345">
                  <c:v>17.795400000000001</c:v>
                </c:pt>
                <c:pt idx="346">
                  <c:v>17.808399999999999</c:v>
                </c:pt>
                <c:pt idx="347">
                  <c:v>17.837399999999999</c:v>
                </c:pt>
                <c:pt idx="348">
                  <c:v>17.936499999999999</c:v>
                </c:pt>
                <c:pt idx="349">
                  <c:v>18.1143</c:v>
                </c:pt>
                <c:pt idx="350">
                  <c:v>18.1158</c:v>
                </c:pt>
                <c:pt idx="351">
                  <c:v>18.298200000000001</c:v>
                </c:pt>
                <c:pt idx="352">
                  <c:v>18.3127</c:v>
                </c:pt>
                <c:pt idx="353">
                  <c:v>18.325700000000001</c:v>
                </c:pt>
                <c:pt idx="354">
                  <c:v>18.363800000000001</c:v>
                </c:pt>
                <c:pt idx="355">
                  <c:v>18.397400000000001</c:v>
                </c:pt>
                <c:pt idx="356">
                  <c:v>18.480499999999999</c:v>
                </c:pt>
                <c:pt idx="357">
                  <c:v>18.495799999999999</c:v>
                </c:pt>
                <c:pt idx="358">
                  <c:v>18.501899999999999</c:v>
                </c:pt>
                <c:pt idx="359">
                  <c:v>18.506499999999999</c:v>
                </c:pt>
                <c:pt idx="360">
                  <c:v>18.517900000000001</c:v>
                </c:pt>
                <c:pt idx="361">
                  <c:v>18.536999999999999</c:v>
                </c:pt>
                <c:pt idx="362">
                  <c:v>18.543900000000001</c:v>
                </c:pt>
                <c:pt idx="363">
                  <c:v>18.6568</c:v>
                </c:pt>
                <c:pt idx="364">
                  <c:v>18.672799999999999</c:v>
                </c:pt>
                <c:pt idx="365">
                  <c:v>18.764399999999998</c:v>
                </c:pt>
                <c:pt idx="366">
                  <c:v>18.8277</c:v>
                </c:pt>
                <c:pt idx="367">
                  <c:v>18.836099999999998</c:v>
                </c:pt>
                <c:pt idx="368">
                  <c:v>18.8506</c:v>
                </c:pt>
                <c:pt idx="369">
                  <c:v>18.8857</c:v>
                </c:pt>
                <c:pt idx="370">
                  <c:v>19.0352</c:v>
                </c:pt>
                <c:pt idx="371">
                  <c:v>19.0871</c:v>
                </c:pt>
                <c:pt idx="372">
                  <c:v>19.123699999999999</c:v>
                </c:pt>
                <c:pt idx="373">
                  <c:v>19.145099999999999</c:v>
                </c:pt>
                <c:pt idx="374">
                  <c:v>19.158000000000001</c:v>
                </c:pt>
                <c:pt idx="375">
                  <c:v>19.228200000000001</c:v>
                </c:pt>
                <c:pt idx="376">
                  <c:v>19.331199999999999</c:v>
                </c:pt>
                <c:pt idx="377">
                  <c:v>19.4709</c:v>
                </c:pt>
                <c:pt idx="378">
                  <c:v>19.521999999999998</c:v>
                </c:pt>
                <c:pt idx="379">
                  <c:v>19.5227</c:v>
                </c:pt>
                <c:pt idx="380">
                  <c:v>19.584499999999998</c:v>
                </c:pt>
                <c:pt idx="381">
                  <c:v>19.6235</c:v>
                </c:pt>
                <c:pt idx="382">
                  <c:v>19.6387</c:v>
                </c:pt>
                <c:pt idx="383">
                  <c:v>19.686800000000002</c:v>
                </c:pt>
                <c:pt idx="384">
                  <c:v>19.723400000000002</c:v>
                </c:pt>
                <c:pt idx="385">
                  <c:v>19.7593</c:v>
                </c:pt>
                <c:pt idx="386">
                  <c:v>19.767700000000001</c:v>
                </c:pt>
                <c:pt idx="387">
                  <c:v>19.772200000000002</c:v>
                </c:pt>
                <c:pt idx="388">
                  <c:v>19.790500000000002</c:v>
                </c:pt>
                <c:pt idx="389">
                  <c:v>19.836300000000001</c:v>
                </c:pt>
                <c:pt idx="390">
                  <c:v>19.863800000000001</c:v>
                </c:pt>
                <c:pt idx="391">
                  <c:v>19.970600000000001</c:v>
                </c:pt>
                <c:pt idx="392">
                  <c:v>20.078199999999999</c:v>
                </c:pt>
                <c:pt idx="393">
                  <c:v>20.087299999999999</c:v>
                </c:pt>
                <c:pt idx="394">
                  <c:v>20.093399999999999</c:v>
                </c:pt>
                <c:pt idx="395">
                  <c:v>20.135400000000001</c:v>
                </c:pt>
                <c:pt idx="396">
                  <c:v>20.147600000000001</c:v>
                </c:pt>
                <c:pt idx="397">
                  <c:v>20.182700000000001</c:v>
                </c:pt>
                <c:pt idx="398">
                  <c:v>20.203299999999999</c:v>
                </c:pt>
                <c:pt idx="399">
                  <c:v>20.2544</c:v>
                </c:pt>
                <c:pt idx="400">
                  <c:v>20.316199999999998</c:v>
                </c:pt>
                <c:pt idx="401">
                  <c:v>20.340599999999998</c:v>
                </c:pt>
                <c:pt idx="402">
                  <c:v>20.390999999999998</c:v>
                </c:pt>
                <c:pt idx="403">
                  <c:v>20.4238</c:v>
                </c:pt>
                <c:pt idx="404">
                  <c:v>20.4864</c:v>
                </c:pt>
                <c:pt idx="405">
                  <c:v>20.490200000000002</c:v>
                </c:pt>
                <c:pt idx="406">
                  <c:v>20.543600000000001</c:v>
                </c:pt>
                <c:pt idx="407">
                  <c:v>20.6023</c:v>
                </c:pt>
                <c:pt idx="408">
                  <c:v>20.665700000000001</c:v>
                </c:pt>
                <c:pt idx="409">
                  <c:v>20.697700000000001</c:v>
                </c:pt>
                <c:pt idx="410">
                  <c:v>20.771699999999999</c:v>
                </c:pt>
                <c:pt idx="411">
                  <c:v>20.775500000000001</c:v>
                </c:pt>
                <c:pt idx="412">
                  <c:v>20.814399999999999</c:v>
                </c:pt>
                <c:pt idx="413">
                  <c:v>20.821300000000001</c:v>
                </c:pt>
                <c:pt idx="414">
                  <c:v>20.847999999999999</c:v>
                </c:pt>
                <c:pt idx="415">
                  <c:v>20.983799999999999</c:v>
                </c:pt>
                <c:pt idx="416">
                  <c:v>20.9876</c:v>
                </c:pt>
                <c:pt idx="417">
                  <c:v>21.0899</c:v>
                </c:pt>
                <c:pt idx="418">
                  <c:v>21.1005</c:v>
                </c:pt>
                <c:pt idx="419">
                  <c:v>21.160799999999998</c:v>
                </c:pt>
                <c:pt idx="420">
                  <c:v>21.2882</c:v>
                </c:pt>
                <c:pt idx="421">
                  <c:v>21.289000000000001</c:v>
                </c:pt>
                <c:pt idx="422">
                  <c:v>21.406500000000001</c:v>
                </c:pt>
                <c:pt idx="423">
                  <c:v>21.509499999999999</c:v>
                </c:pt>
                <c:pt idx="424">
                  <c:v>21.556000000000001</c:v>
                </c:pt>
                <c:pt idx="425">
                  <c:v>21.571300000000001</c:v>
                </c:pt>
                <c:pt idx="426">
                  <c:v>21.7453</c:v>
                </c:pt>
                <c:pt idx="427">
                  <c:v>21.7559</c:v>
                </c:pt>
                <c:pt idx="428">
                  <c:v>21.7773</c:v>
                </c:pt>
                <c:pt idx="429">
                  <c:v>21.810099999999998</c:v>
                </c:pt>
                <c:pt idx="430">
                  <c:v>21.8551</c:v>
                </c:pt>
                <c:pt idx="431">
                  <c:v>21.8917</c:v>
                </c:pt>
                <c:pt idx="432">
                  <c:v>21.9894</c:v>
                </c:pt>
                <c:pt idx="433">
                  <c:v>22.060400000000001</c:v>
                </c:pt>
                <c:pt idx="434">
                  <c:v>22.174800000000001</c:v>
                </c:pt>
                <c:pt idx="435">
                  <c:v>22.303000000000001</c:v>
                </c:pt>
                <c:pt idx="436">
                  <c:v>22.358699999999999</c:v>
                </c:pt>
                <c:pt idx="437">
                  <c:v>22.4678</c:v>
                </c:pt>
                <c:pt idx="438">
                  <c:v>22.628</c:v>
                </c:pt>
                <c:pt idx="439">
                  <c:v>22.6951</c:v>
                </c:pt>
                <c:pt idx="440">
                  <c:v>22.7073</c:v>
                </c:pt>
                <c:pt idx="441">
                  <c:v>22.753900000000002</c:v>
                </c:pt>
                <c:pt idx="442">
                  <c:v>22.775300000000001</c:v>
                </c:pt>
                <c:pt idx="443">
                  <c:v>22.776</c:v>
                </c:pt>
                <c:pt idx="444">
                  <c:v>22.805</c:v>
                </c:pt>
                <c:pt idx="445">
                  <c:v>22.816500000000001</c:v>
                </c:pt>
                <c:pt idx="446">
                  <c:v>22.909500000000001</c:v>
                </c:pt>
                <c:pt idx="447">
                  <c:v>22.959900000000001</c:v>
                </c:pt>
                <c:pt idx="448">
                  <c:v>22.977399999999999</c:v>
                </c:pt>
                <c:pt idx="449">
                  <c:v>22.993500000000001</c:v>
                </c:pt>
                <c:pt idx="450">
                  <c:v>22.996500000000001</c:v>
                </c:pt>
                <c:pt idx="451">
                  <c:v>23.053699999999999</c:v>
                </c:pt>
                <c:pt idx="452">
                  <c:v>23.060600000000001</c:v>
                </c:pt>
                <c:pt idx="453">
                  <c:v>23.091100000000001</c:v>
                </c:pt>
                <c:pt idx="454">
                  <c:v>23.133099999999999</c:v>
                </c:pt>
                <c:pt idx="455">
                  <c:v>23.143000000000001</c:v>
                </c:pt>
                <c:pt idx="456">
                  <c:v>23.152200000000001</c:v>
                </c:pt>
                <c:pt idx="457">
                  <c:v>23.161300000000001</c:v>
                </c:pt>
                <c:pt idx="458">
                  <c:v>23.163599999999999</c:v>
                </c:pt>
                <c:pt idx="459">
                  <c:v>23.180399999999999</c:v>
                </c:pt>
                <c:pt idx="460">
                  <c:v>23.197199999999999</c:v>
                </c:pt>
                <c:pt idx="461">
                  <c:v>23.242899999999999</c:v>
                </c:pt>
                <c:pt idx="462">
                  <c:v>23.2651</c:v>
                </c:pt>
                <c:pt idx="463">
                  <c:v>23.291799999999999</c:v>
                </c:pt>
                <c:pt idx="464">
                  <c:v>23.300899999999999</c:v>
                </c:pt>
                <c:pt idx="465">
                  <c:v>23.328399999999998</c:v>
                </c:pt>
                <c:pt idx="466">
                  <c:v>23.3902</c:v>
                </c:pt>
                <c:pt idx="467">
                  <c:v>23.569500000000001</c:v>
                </c:pt>
                <c:pt idx="468">
                  <c:v>23.644300000000001</c:v>
                </c:pt>
                <c:pt idx="469">
                  <c:v>23.6496</c:v>
                </c:pt>
                <c:pt idx="470">
                  <c:v>23.702999999999999</c:v>
                </c:pt>
                <c:pt idx="471">
                  <c:v>23.787700000000001</c:v>
                </c:pt>
                <c:pt idx="472">
                  <c:v>23.924299999999999</c:v>
                </c:pt>
                <c:pt idx="473">
                  <c:v>23.951699999999999</c:v>
                </c:pt>
                <c:pt idx="474">
                  <c:v>23.9678</c:v>
                </c:pt>
                <c:pt idx="475">
                  <c:v>23.9998</c:v>
                </c:pt>
                <c:pt idx="476">
                  <c:v>24.082999999999998</c:v>
                </c:pt>
                <c:pt idx="477">
                  <c:v>24.096699999999998</c:v>
                </c:pt>
                <c:pt idx="478">
                  <c:v>24.099799999999998</c:v>
                </c:pt>
                <c:pt idx="479">
                  <c:v>24.145499999999998</c:v>
                </c:pt>
                <c:pt idx="480">
                  <c:v>24.1753</c:v>
                </c:pt>
                <c:pt idx="481">
                  <c:v>24.266100000000002</c:v>
                </c:pt>
                <c:pt idx="482">
                  <c:v>24.267600000000002</c:v>
                </c:pt>
                <c:pt idx="483">
                  <c:v>24.2775</c:v>
                </c:pt>
                <c:pt idx="484">
                  <c:v>24.2791</c:v>
                </c:pt>
                <c:pt idx="485">
                  <c:v>24.2989</c:v>
                </c:pt>
                <c:pt idx="486">
                  <c:v>24.510999999999999</c:v>
                </c:pt>
                <c:pt idx="487">
                  <c:v>24.530100000000001</c:v>
                </c:pt>
                <c:pt idx="488">
                  <c:v>24.575099999999999</c:v>
                </c:pt>
                <c:pt idx="489">
                  <c:v>24.605599999999999</c:v>
                </c:pt>
                <c:pt idx="490">
                  <c:v>24.716999999999999</c:v>
                </c:pt>
                <c:pt idx="491">
                  <c:v>24.806999999999999</c:v>
                </c:pt>
                <c:pt idx="492">
                  <c:v>24.8124</c:v>
                </c:pt>
                <c:pt idx="493">
                  <c:v>24.820799999999998</c:v>
                </c:pt>
                <c:pt idx="494">
                  <c:v>24.8414</c:v>
                </c:pt>
                <c:pt idx="495">
                  <c:v>24.845199999999998</c:v>
                </c:pt>
                <c:pt idx="496">
                  <c:v>24.848199999999999</c:v>
                </c:pt>
                <c:pt idx="497">
                  <c:v>25.0046</c:v>
                </c:pt>
                <c:pt idx="498">
                  <c:v>25.0092</c:v>
                </c:pt>
                <c:pt idx="499">
                  <c:v>25.020700000000001</c:v>
                </c:pt>
              </c:numCache>
            </c:numRef>
          </c:xVal>
          <c:yVal>
            <c:numRef>
              <c:f>Data!$B$1:$B$500</c:f>
              <c:numCache>
                <c:formatCode>General</c:formatCode>
                <c:ptCount val="500"/>
                <c:pt idx="0">
                  <c:v>-2.10284</c:v>
                </c:pt>
                <c:pt idx="1">
                  <c:v>-2.0302600000000002</c:v>
                </c:pt>
                <c:pt idx="2">
                  <c:v>-1.26223</c:v>
                </c:pt>
                <c:pt idx="3">
                  <c:v>-1.04247</c:v>
                </c:pt>
                <c:pt idx="4">
                  <c:v>-0.84216500000000005</c:v>
                </c:pt>
                <c:pt idx="5">
                  <c:v>-0.38304100000000002</c:v>
                </c:pt>
                <c:pt idx="6">
                  <c:v>1.1259699999999999E-2</c:v>
                </c:pt>
                <c:pt idx="7">
                  <c:v>-4.4904699999999999E-2</c:v>
                </c:pt>
                <c:pt idx="8">
                  <c:v>-0.29413600000000001</c:v>
                </c:pt>
                <c:pt idx="9">
                  <c:v>-0.17608199999999999</c:v>
                </c:pt>
                <c:pt idx="10">
                  <c:v>0.11809</c:v>
                </c:pt>
                <c:pt idx="11">
                  <c:v>-6.9123100000000007E-2</c:v>
                </c:pt>
                <c:pt idx="12">
                  <c:v>-0.25100600000000001</c:v>
                </c:pt>
                <c:pt idx="13">
                  <c:v>0.229299</c:v>
                </c:pt>
                <c:pt idx="14">
                  <c:v>1.83976E-2</c:v>
                </c:pt>
                <c:pt idx="15">
                  <c:v>0.19788</c:v>
                </c:pt>
                <c:pt idx="16">
                  <c:v>0.19425600000000001</c:v>
                </c:pt>
                <c:pt idx="17">
                  <c:v>0.237569</c:v>
                </c:pt>
                <c:pt idx="18">
                  <c:v>9.58455E-2</c:v>
                </c:pt>
                <c:pt idx="19">
                  <c:v>0.58549300000000004</c:v>
                </c:pt>
                <c:pt idx="20">
                  <c:v>0.19946900000000001</c:v>
                </c:pt>
                <c:pt idx="21">
                  <c:v>0.44446400000000003</c:v>
                </c:pt>
                <c:pt idx="22">
                  <c:v>0.28638200000000003</c:v>
                </c:pt>
                <c:pt idx="23">
                  <c:v>0.19086900000000001</c:v>
                </c:pt>
                <c:pt idx="24">
                  <c:v>0.29805500000000001</c:v>
                </c:pt>
                <c:pt idx="25">
                  <c:v>-0.141599</c:v>
                </c:pt>
                <c:pt idx="26">
                  <c:v>0.42938100000000001</c:v>
                </c:pt>
                <c:pt idx="27">
                  <c:v>0.25897599999999998</c:v>
                </c:pt>
                <c:pt idx="28">
                  <c:v>0.17130500000000001</c:v>
                </c:pt>
                <c:pt idx="29">
                  <c:v>0.52870200000000001</c:v>
                </c:pt>
                <c:pt idx="30">
                  <c:v>0.15890899999999999</c:v>
                </c:pt>
                <c:pt idx="31">
                  <c:v>0.33368300000000001</c:v>
                </c:pt>
                <c:pt idx="32">
                  <c:v>0.62237100000000001</c:v>
                </c:pt>
                <c:pt idx="33">
                  <c:v>0.51598100000000002</c:v>
                </c:pt>
                <c:pt idx="34">
                  <c:v>0.29778300000000002</c:v>
                </c:pt>
                <c:pt idx="35">
                  <c:v>0.382548</c:v>
                </c:pt>
                <c:pt idx="36">
                  <c:v>0.66732100000000005</c:v>
                </c:pt>
                <c:pt idx="37">
                  <c:v>0.88837500000000003</c:v>
                </c:pt>
                <c:pt idx="38">
                  <c:v>0.58219600000000005</c:v>
                </c:pt>
                <c:pt idx="39">
                  <c:v>0.74784600000000001</c:v>
                </c:pt>
                <c:pt idx="40">
                  <c:v>0.45223200000000002</c:v>
                </c:pt>
                <c:pt idx="41">
                  <c:v>0.288188</c:v>
                </c:pt>
                <c:pt idx="42">
                  <c:v>0.88066100000000003</c:v>
                </c:pt>
                <c:pt idx="43">
                  <c:v>0.60583799999999999</c:v>
                </c:pt>
                <c:pt idx="44">
                  <c:v>0.47750300000000001</c:v>
                </c:pt>
                <c:pt idx="45">
                  <c:v>0.70753999999999995</c:v>
                </c:pt>
                <c:pt idx="46">
                  <c:v>1.22559</c:v>
                </c:pt>
                <c:pt idx="47">
                  <c:v>0.79319700000000004</c:v>
                </c:pt>
                <c:pt idx="48">
                  <c:v>0.77575300000000003</c:v>
                </c:pt>
                <c:pt idx="49">
                  <c:v>1.05318</c:v>
                </c:pt>
                <c:pt idx="50">
                  <c:v>1.21882</c:v>
                </c:pt>
                <c:pt idx="51">
                  <c:v>0.87056999999999995</c:v>
                </c:pt>
                <c:pt idx="52">
                  <c:v>1.2516</c:v>
                </c:pt>
                <c:pt idx="53">
                  <c:v>0.67628100000000002</c:v>
                </c:pt>
                <c:pt idx="54">
                  <c:v>0.58515799999999996</c:v>
                </c:pt>
                <c:pt idx="55">
                  <c:v>0.95874000000000004</c:v>
                </c:pt>
                <c:pt idx="56">
                  <c:v>0.69375500000000001</c:v>
                </c:pt>
                <c:pt idx="57">
                  <c:v>1.4447099999999999</c:v>
                </c:pt>
                <c:pt idx="58">
                  <c:v>0.99664399999999997</c:v>
                </c:pt>
                <c:pt idx="59">
                  <c:v>0.84225099999999997</c:v>
                </c:pt>
                <c:pt idx="60">
                  <c:v>1.1970000000000001</c:v>
                </c:pt>
                <c:pt idx="61">
                  <c:v>1.3294600000000001</c:v>
                </c:pt>
                <c:pt idx="62">
                  <c:v>1.2001900000000001</c:v>
                </c:pt>
                <c:pt idx="63">
                  <c:v>1.1504700000000001</c:v>
                </c:pt>
                <c:pt idx="64">
                  <c:v>1.14489</c:v>
                </c:pt>
                <c:pt idx="65">
                  <c:v>0.95310399999999995</c:v>
                </c:pt>
                <c:pt idx="66">
                  <c:v>0.98744399999999999</c:v>
                </c:pt>
                <c:pt idx="67">
                  <c:v>1.0704499999999999</c:v>
                </c:pt>
                <c:pt idx="68">
                  <c:v>1.3310500000000001</c:v>
                </c:pt>
                <c:pt idx="69">
                  <c:v>1.5586500000000001</c:v>
                </c:pt>
                <c:pt idx="70">
                  <c:v>1.48071</c:v>
                </c:pt>
                <c:pt idx="71">
                  <c:v>1.37296</c:v>
                </c:pt>
                <c:pt idx="72">
                  <c:v>1.37985</c:v>
                </c:pt>
                <c:pt idx="73">
                  <c:v>1.26414</c:v>
                </c:pt>
                <c:pt idx="74">
                  <c:v>1.5401499999999999</c:v>
                </c:pt>
                <c:pt idx="75">
                  <c:v>1.0899799999999999</c:v>
                </c:pt>
                <c:pt idx="76">
                  <c:v>1.2454099999999999</c:v>
                </c:pt>
                <c:pt idx="77">
                  <c:v>1.3876299999999999</c:v>
                </c:pt>
                <c:pt idx="78">
                  <c:v>1.2479800000000001</c:v>
                </c:pt>
                <c:pt idx="79">
                  <c:v>1.29322</c:v>
                </c:pt>
                <c:pt idx="80">
                  <c:v>1.74163</c:v>
                </c:pt>
                <c:pt idx="81">
                  <c:v>1.39055</c:v>
                </c:pt>
                <c:pt idx="82">
                  <c:v>1.54251</c:v>
                </c:pt>
                <c:pt idx="83">
                  <c:v>1.7365600000000001</c:v>
                </c:pt>
                <c:pt idx="84">
                  <c:v>1.51424</c:v>
                </c:pt>
                <c:pt idx="85">
                  <c:v>1.53026</c:v>
                </c:pt>
                <c:pt idx="86">
                  <c:v>1.9479500000000001</c:v>
                </c:pt>
                <c:pt idx="87">
                  <c:v>1.2618100000000001</c:v>
                </c:pt>
                <c:pt idx="88">
                  <c:v>1.3084</c:v>
                </c:pt>
                <c:pt idx="89">
                  <c:v>1.4531099999999999</c:v>
                </c:pt>
                <c:pt idx="90">
                  <c:v>1.5680400000000001</c:v>
                </c:pt>
                <c:pt idx="91">
                  <c:v>1.50631</c:v>
                </c:pt>
                <c:pt idx="92">
                  <c:v>1.1387100000000001</c:v>
                </c:pt>
                <c:pt idx="93">
                  <c:v>1.3653900000000001</c:v>
                </c:pt>
                <c:pt idx="94">
                  <c:v>1.6901600000000001</c:v>
                </c:pt>
                <c:pt idx="95">
                  <c:v>1.2771699999999999</c:v>
                </c:pt>
                <c:pt idx="96">
                  <c:v>1.5438700000000001</c:v>
                </c:pt>
                <c:pt idx="97">
                  <c:v>1.4758800000000001</c:v>
                </c:pt>
                <c:pt idx="98">
                  <c:v>1.49932</c:v>
                </c:pt>
                <c:pt idx="99">
                  <c:v>1.74336</c:v>
                </c:pt>
                <c:pt idx="100">
                  <c:v>1.76946</c:v>
                </c:pt>
                <c:pt idx="101">
                  <c:v>1.6501999999999999</c:v>
                </c:pt>
                <c:pt idx="102">
                  <c:v>2.0023499999999999</c:v>
                </c:pt>
                <c:pt idx="103">
                  <c:v>1.67639</c:v>
                </c:pt>
                <c:pt idx="104">
                  <c:v>1.7688600000000001</c:v>
                </c:pt>
                <c:pt idx="105">
                  <c:v>1.4756899999999999</c:v>
                </c:pt>
                <c:pt idx="106">
                  <c:v>1.8916599999999999</c:v>
                </c:pt>
                <c:pt idx="107">
                  <c:v>1.3796900000000001</c:v>
                </c:pt>
                <c:pt idx="108">
                  <c:v>1.50589</c:v>
                </c:pt>
                <c:pt idx="109">
                  <c:v>1.6543699999999999</c:v>
                </c:pt>
                <c:pt idx="110">
                  <c:v>1.82674</c:v>
                </c:pt>
                <c:pt idx="111">
                  <c:v>1.8596999999999999</c:v>
                </c:pt>
                <c:pt idx="112">
                  <c:v>1.8353200000000001</c:v>
                </c:pt>
                <c:pt idx="113">
                  <c:v>1.8242400000000001</c:v>
                </c:pt>
                <c:pt idx="114">
                  <c:v>1.6422600000000001</c:v>
                </c:pt>
                <c:pt idx="115">
                  <c:v>1.86341</c:v>
                </c:pt>
                <c:pt idx="116">
                  <c:v>1.8763000000000001</c:v>
                </c:pt>
                <c:pt idx="117">
                  <c:v>1.9578</c:v>
                </c:pt>
                <c:pt idx="118">
                  <c:v>1.61209</c:v>
                </c:pt>
                <c:pt idx="119">
                  <c:v>1.63869</c:v>
                </c:pt>
                <c:pt idx="120">
                  <c:v>1.8699300000000001</c:v>
                </c:pt>
                <c:pt idx="121">
                  <c:v>1.7554399999999999</c:v>
                </c:pt>
                <c:pt idx="122">
                  <c:v>2.09646</c:v>
                </c:pt>
                <c:pt idx="123">
                  <c:v>1.7103900000000001</c:v>
                </c:pt>
                <c:pt idx="124">
                  <c:v>1.94574</c:v>
                </c:pt>
                <c:pt idx="125">
                  <c:v>1.6417200000000001</c:v>
                </c:pt>
                <c:pt idx="126">
                  <c:v>2.0197099999999999</c:v>
                </c:pt>
                <c:pt idx="127">
                  <c:v>1.8646199999999999</c:v>
                </c:pt>
                <c:pt idx="128">
                  <c:v>1.7303900000000001</c:v>
                </c:pt>
                <c:pt idx="129">
                  <c:v>1.5936399999999999</c:v>
                </c:pt>
                <c:pt idx="130">
                  <c:v>1.9419</c:v>
                </c:pt>
                <c:pt idx="131">
                  <c:v>1.9483299999999999</c:v>
                </c:pt>
                <c:pt idx="132">
                  <c:v>1.85425</c:v>
                </c:pt>
                <c:pt idx="133">
                  <c:v>2.2064400000000002</c:v>
                </c:pt>
                <c:pt idx="134">
                  <c:v>1.7228000000000001</c:v>
                </c:pt>
                <c:pt idx="135">
                  <c:v>2.0041899999999999</c:v>
                </c:pt>
                <c:pt idx="136">
                  <c:v>1.49207</c:v>
                </c:pt>
                <c:pt idx="137">
                  <c:v>2.41405</c:v>
                </c:pt>
                <c:pt idx="138">
                  <c:v>2.1619199999999998</c:v>
                </c:pt>
                <c:pt idx="139">
                  <c:v>2.1349399999999998</c:v>
                </c:pt>
                <c:pt idx="140">
                  <c:v>2.0184799999999998</c:v>
                </c:pt>
                <c:pt idx="141">
                  <c:v>2.24817</c:v>
                </c:pt>
                <c:pt idx="142">
                  <c:v>2.20668</c:v>
                </c:pt>
                <c:pt idx="143">
                  <c:v>1.9330099999999999</c:v>
                </c:pt>
                <c:pt idx="144">
                  <c:v>1.81732</c:v>
                </c:pt>
                <c:pt idx="145">
                  <c:v>1.94028</c:v>
                </c:pt>
                <c:pt idx="146">
                  <c:v>2.1898300000000002</c:v>
                </c:pt>
                <c:pt idx="147">
                  <c:v>2.2551999999999999</c:v>
                </c:pt>
                <c:pt idx="148">
                  <c:v>2.1497700000000002</c:v>
                </c:pt>
                <c:pt idx="149">
                  <c:v>2.4226399999999999</c:v>
                </c:pt>
                <c:pt idx="150">
                  <c:v>2.0767500000000001</c:v>
                </c:pt>
                <c:pt idx="151">
                  <c:v>1.95773</c:v>
                </c:pt>
                <c:pt idx="152">
                  <c:v>1.8723799999999999</c:v>
                </c:pt>
                <c:pt idx="153">
                  <c:v>1.9578500000000001</c:v>
                </c:pt>
                <c:pt idx="154">
                  <c:v>2.4280200000000001</c:v>
                </c:pt>
                <c:pt idx="155">
                  <c:v>2.1440999999999999</c:v>
                </c:pt>
                <c:pt idx="156">
                  <c:v>1.91652</c:v>
                </c:pt>
                <c:pt idx="157">
                  <c:v>2.3376399999999999</c:v>
                </c:pt>
                <c:pt idx="158">
                  <c:v>2.1493500000000001</c:v>
                </c:pt>
                <c:pt idx="159">
                  <c:v>2.6132599999999999</c:v>
                </c:pt>
                <c:pt idx="160">
                  <c:v>1.92848</c:v>
                </c:pt>
                <c:pt idx="161">
                  <c:v>2.4836499999999999</c:v>
                </c:pt>
                <c:pt idx="162">
                  <c:v>2.0003799999999998</c:v>
                </c:pt>
                <c:pt idx="163">
                  <c:v>1.9183600000000001</c:v>
                </c:pt>
                <c:pt idx="164">
                  <c:v>1.8890100000000001</c:v>
                </c:pt>
                <c:pt idx="165">
                  <c:v>1.9395100000000001</c:v>
                </c:pt>
                <c:pt idx="166">
                  <c:v>1.9958899999999999</c:v>
                </c:pt>
                <c:pt idx="167">
                  <c:v>2.0992000000000002</c:v>
                </c:pt>
                <c:pt idx="168">
                  <c:v>2.1040700000000001</c:v>
                </c:pt>
                <c:pt idx="169">
                  <c:v>2.0424199999999999</c:v>
                </c:pt>
                <c:pt idx="170">
                  <c:v>2.21651</c:v>
                </c:pt>
                <c:pt idx="171">
                  <c:v>2.1682999999999999</c:v>
                </c:pt>
                <c:pt idx="172">
                  <c:v>2.0373100000000002</c:v>
                </c:pt>
                <c:pt idx="173">
                  <c:v>1.7828599999999999</c:v>
                </c:pt>
                <c:pt idx="174">
                  <c:v>2.4655</c:v>
                </c:pt>
                <c:pt idx="175">
                  <c:v>2.29664</c:v>
                </c:pt>
                <c:pt idx="176">
                  <c:v>1.7577499999999999</c:v>
                </c:pt>
                <c:pt idx="177">
                  <c:v>2.0114299999999998</c:v>
                </c:pt>
                <c:pt idx="178">
                  <c:v>1.9837199999999999</c:v>
                </c:pt>
                <c:pt idx="179">
                  <c:v>2.04372</c:v>
                </c:pt>
                <c:pt idx="180">
                  <c:v>2.05667</c:v>
                </c:pt>
                <c:pt idx="181">
                  <c:v>2.1196100000000002</c:v>
                </c:pt>
                <c:pt idx="182">
                  <c:v>2.4771800000000002</c:v>
                </c:pt>
                <c:pt idx="183">
                  <c:v>1.9593</c:v>
                </c:pt>
                <c:pt idx="184">
                  <c:v>2.2811900000000001</c:v>
                </c:pt>
                <c:pt idx="185">
                  <c:v>2.4289000000000001</c:v>
                </c:pt>
                <c:pt idx="186">
                  <c:v>2.0087100000000002</c:v>
                </c:pt>
                <c:pt idx="187">
                  <c:v>2.2592500000000002</c:v>
                </c:pt>
                <c:pt idx="188">
                  <c:v>2.2436099999999999</c:v>
                </c:pt>
                <c:pt idx="189">
                  <c:v>2.1064699999999998</c:v>
                </c:pt>
                <c:pt idx="190">
                  <c:v>2.29528</c:v>
                </c:pt>
                <c:pt idx="191">
                  <c:v>2.3940800000000002</c:v>
                </c:pt>
                <c:pt idx="192">
                  <c:v>2.0447899999999999</c:v>
                </c:pt>
                <c:pt idx="193">
                  <c:v>1.8766799999999999</c:v>
                </c:pt>
                <c:pt idx="194">
                  <c:v>2.41316</c:v>
                </c:pt>
                <c:pt idx="195">
                  <c:v>2.55436</c:v>
                </c:pt>
                <c:pt idx="196">
                  <c:v>2.1792099999999999</c:v>
                </c:pt>
                <c:pt idx="197">
                  <c:v>2.6103399999999999</c:v>
                </c:pt>
                <c:pt idx="198">
                  <c:v>2.5286499999999998</c:v>
                </c:pt>
                <c:pt idx="199">
                  <c:v>2.0015700000000001</c:v>
                </c:pt>
                <c:pt idx="200">
                  <c:v>2.2610000000000001</c:v>
                </c:pt>
                <c:pt idx="201">
                  <c:v>2.4150399999999999</c:v>
                </c:pt>
                <c:pt idx="202">
                  <c:v>2.2017799999999998</c:v>
                </c:pt>
                <c:pt idx="203">
                  <c:v>2.53396</c:v>
                </c:pt>
                <c:pt idx="204">
                  <c:v>2.1593100000000001</c:v>
                </c:pt>
                <c:pt idx="205">
                  <c:v>2.2696100000000001</c:v>
                </c:pt>
                <c:pt idx="206">
                  <c:v>2.4321799999999998</c:v>
                </c:pt>
                <c:pt idx="207">
                  <c:v>2.4177399999999998</c:v>
                </c:pt>
                <c:pt idx="208">
                  <c:v>2.39507</c:v>
                </c:pt>
                <c:pt idx="209">
                  <c:v>2.6295700000000002</c:v>
                </c:pt>
                <c:pt idx="210">
                  <c:v>2.3141500000000002</c:v>
                </c:pt>
                <c:pt idx="211">
                  <c:v>2.3983500000000002</c:v>
                </c:pt>
                <c:pt idx="212">
                  <c:v>2.1671200000000002</c:v>
                </c:pt>
                <c:pt idx="213">
                  <c:v>2.0600299999999998</c:v>
                </c:pt>
                <c:pt idx="214">
                  <c:v>2.1919499999999998</c:v>
                </c:pt>
                <c:pt idx="215">
                  <c:v>2.5131899999999998</c:v>
                </c:pt>
                <c:pt idx="216">
                  <c:v>2.6889799999999999</c:v>
                </c:pt>
                <c:pt idx="217">
                  <c:v>2.3031600000000001</c:v>
                </c:pt>
                <c:pt idx="218">
                  <c:v>2.6705999999999999</c:v>
                </c:pt>
                <c:pt idx="219">
                  <c:v>2.5037500000000001</c:v>
                </c:pt>
                <c:pt idx="220">
                  <c:v>2.65191</c:v>
                </c:pt>
                <c:pt idx="221">
                  <c:v>2.00692</c:v>
                </c:pt>
                <c:pt idx="222">
                  <c:v>2.2588699999999999</c:v>
                </c:pt>
                <c:pt idx="223">
                  <c:v>2.6063200000000002</c:v>
                </c:pt>
                <c:pt idx="224">
                  <c:v>2.4892300000000001</c:v>
                </c:pt>
                <c:pt idx="225">
                  <c:v>2.79386</c:v>
                </c:pt>
                <c:pt idx="226">
                  <c:v>2.47139</c:v>
                </c:pt>
                <c:pt idx="227">
                  <c:v>2.16919</c:v>
                </c:pt>
                <c:pt idx="228">
                  <c:v>2.10819</c:v>
                </c:pt>
                <c:pt idx="229">
                  <c:v>2.1005600000000002</c:v>
                </c:pt>
                <c:pt idx="230">
                  <c:v>2.2634799999999999</c:v>
                </c:pt>
                <c:pt idx="231">
                  <c:v>2.5402900000000002</c:v>
                </c:pt>
                <c:pt idx="232">
                  <c:v>2.5555099999999999</c:v>
                </c:pt>
                <c:pt idx="233">
                  <c:v>2.2879100000000001</c:v>
                </c:pt>
                <c:pt idx="234">
                  <c:v>2.4084699999999999</c:v>
                </c:pt>
                <c:pt idx="235">
                  <c:v>1.83405</c:v>
                </c:pt>
                <c:pt idx="236">
                  <c:v>2.4653499999999999</c:v>
                </c:pt>
                <c:pt idx="237">
                  <c:v>2.44977</c:v>
                </c:pt>
                <c:pt idx="238">
                  <c:v>2.6643599999999998</c:v>
                </c:pt>
                <c:pt idx="239">
                  <c:v>2.0990600000000001</c:v>
                </c:pt>
                <c:pt idx="240">
                  <c:v>2.6537099999999998</c:v>
                </c:pt>
                <c:pt idx="241">
                  <c:v>2.5552800000000002</c:v>
                </c:pt>
                <c:pt idx="242">
                  <c:v>2.2081300000000001</c:v>
                </c:pt>
                <c:pt idx="243">
                  <c:v>2.3316300000000001</c:v>
                </c:pt>
                <c:pt idx="244">
                  <c:v>2.6070700000000002</c:v>
                </c:pt>
                <c:pt idx="245">
                  <c:v>2.5376099999999999</c:v>
                </c:pt>
                <c:pt idx="246">
                  <c:v>2.8028</c:v>
                </c:pt>
                <c:pt idx="247">
                  <c:v>2.4662500000000001</c:v>
                </c:pt>
                <c:pt idx="248">
                  <c:v>2.9452400000000001</c:v>
                </c:pt>
                <c:pt idx="249">
                  <c:v>2.3941300000000001</c:v>
                </c:pt>
                <c:pt idx="250">
                  <c:v>2.45932</c:v>
                </c:pt>
                <c:pt idx="251">
                  <c:v>2.4428999999999998</c:v>
                </c:pt>
                <c:pt idx="252">
                  <c:v>2.7755800000000002</c:v>
                </c:pt>
                <c:pt idx="253">
                  <c:v>2.50773</c:v>
                </c:pt>
                <c:pt idx="254">
                  <c:v>2.4190399999999999</c:v>
                </c:pt>
                <c:pt idx="255">
                  <c:v>2.7968899999999999</c:v>
                </c:pt>
                <c:pt idx="256">
                  <c:v>2.4866899999999998</c:v>
                </c:pt>
                <c:pt idx="257">
                  <c:v>2.50691</c:v>
                </c:pt>
                <c:pt idx="258">
                  <c:v>2.5523699999999998</c:v>
                </c:pt>
                <c:pt idx="259">
                  <c:v>2.3053499999999998</c:v>
                </c:pt>
                <c:pt idx="260">
                  <c:v>2.8720699999999999</c:v>
                </c:pt>
                <c:pt idx="261">
                  <c:v>2.6972299999999998</c:v>
                </c:pt>
                <c:pt idx="262">
                  <c:v>2.6415299999999999</c:v>
                </c:pt>
                <c:pt idx="263">
                  <c:v>2.6816800000000001</c:v>
                </c:pt>
                <c:pt idx="264">
                  <c:v>2.4940000000000002</c:v>
                </c:pt>
                <c:pt idx="265">
                  <c:v>2.83636</c:v>
                </c:pt>
                <c:pt idx="266">
                  <c:v>2.7777799999999999</c:v>
                </c:pt>
                <c:pt idx="267">
                  <c:v>2.5405600000000002</c:v>
                </c:pt>
                <c:pt idx="268">
                  <c:v>2.7686000000000002</c:v>
                </c:pt>
                <c:pt idx="269">
                  <c:v>2.9093599999999999</c:v>
                </c:pt>
                <c:pt idx="270">
                  <c:v>3.0581</c:v>
                </c:pt>
                <c:pt idx="271">
                  <c:v>2.7875700000000001</c:v>
                </c:pt>
                <c:pt idx="272">
                  <c:v>2.6894800000000001</c:v>
                </c:pt>
                <c:pt idx="273">
                  <c:v>2.7647900000000001</c:v>
                </c:pt>
                <c:pt idx="274">
                  <c:v>2.4182899999999998</c:v>
                </c:pt>
                <c:pt idx="275">
                  <c:v>2.4580099999999998</c:v>
                </c:pt>
                <c:pt idx="276">
                  <c:v>3.0859399999999999</c:v>
                </c:pt>
                <c:pt idx="277">
                  <c:v>2.7578900000000002</c:v>
                </c:pt>
                <c:pt idx="278">
                  <c:v>2.39263</c:v>
                </c:pt>
                <c:pt idx="279">
                  <c:v>2.9527999999999999</c:v>
                </c:pt>
                <c:pt idx="280">
                  <c:v>2.75949</c:v>
                </c:pt>
                <c:pt idx="281">
                  <c:v>2.5701999999999998</c:v>
                </c:pt>
                <c:pt idx="282">
                  <c:v>2.4670700000000001</c:v>
                </c:pt>
                <c:pt idx="283">
                  <c:v>2.38212</c:v>
                </c:pt>
                <c:pt idx="284">
                  <c:v>2.4785499999999998</c:v>
                </c:pt>
                <c:pt idx="285">
                  <c:v>2.5549300000000001</c:v>
                </c:pt>
                <c:pt idx="286">
                  <c:v>2.6564899999999998</c:v>
                </c:pt>
                <c:pt idx="287">
                  <c:v>3.0144899999999999</c:v>
                </c:pt>
                <c:pt idx="288">
                  <c:v>2.7271899999999998</c:v>
                </c:pt>
                <c:pt idx="289">
                  <c:v>2.7357300000000002</c:v>
                </c:pt>
                <c:pt idx="290">
                  <c:v>2.8245399999999998</c:v>
                </c:pt>
                <c:pt idx="291">
                  <c:v>2.77678</c:v>
                </c:pt>
                <c:pt idx="292">
                  <c:v>2.7833000000000001</c:v>
                </c:pt>
                <c:pt idx="293">
                  <c:v>2.6638899999999999</c:v>
                </c:pt>
                <c:pt idx="294">
                  <c:v>3.1733600000000002</c:v>
                </c:pt>
                <c:pt idx="295">
                  <c:v>2.5451700000000002</c:v>
                </c:pt>
                <c:pt idx="296">
                  <c:v>2.7492000000000001</c:v>
                </c:pt>
                <c:pt idx="297">
                  <c:v>3.1879</c:v>
                </c:pt>
                <c:pt idx="298">
                  <c:v>2.9731200000000002</c:v>
                </c:pt>
                <c:pt idx="299">
                  <c:v>2.7734999999999999</c:v>
                </c:pt>
                <c:pt idx="300">
                  <c:v>2.6652999999999998</c:v>
                </c:pt>
                <c:pt idx="301">
                  <c:v>2.8065699999999998</c:v>
                </c:pt>
                <c:pt idx="302">
                  <c:v>2.1709399999999999</c:v>
                </c:pt>
                <c:pt idx="303">
                  <c:v>2.82558</c:v>
                </c:pt>
                <c:pt idx="304">
                  <c:v>2.55762</c:v>
                </c:pt>
                <c:pt idx="305">
                  <c:v>2.8998900000000001</c:v>
                </c:pt>
                <c:pt idx="306">
                  <c:v>2.35534</c:v>
                </c:pt>
                <c:pt idx="307">
                  <c:v>2.5859899999999998</c:v>
                </c:pt>
                <c:pt idx="308">
                  <c:v>2.36409</c:v>
                </c:pt>
                <c:pt idx="309">
                  <c:v>2.9994299999999998</c:v>
                </c:pt>
                <c:pt idx="310">
                  <c:v>2.8432499999999998</c:v>
                </c:pt>
                <c:pt idx="311">
                  <c:v>2.8214199999999998</c:v>
                </c:pt>
                <c:pt idx="312">
                  <c:v>2.7910599999999999</c:v>
                </c:pt>
                <c:pt idx="313">
                  <c:v>2.9014799999999998</c:v>
                </c:pt>
                <c:pt idx="314">
                  <c:v>2.9337800000000001</c:v>
                </c:pt>
                <c:pt idx="315">
                  <c:v>3.07911</c:v>
                </c:pt>
                <c:pt idx="316">
                  <c:v>2.43398</c:v>
                </c:pt>
                <c:pt idx="317">
                  <c:v>2.7737400000000001</c:v>
                </c:pt>
                <c:pt idx="318">
                  <c:v>2.9786600000000001</c:v>
                </c:pt>
                <c:pt idx="319">
                  <c:v>2.9011300000000002</c:v>
                </c:pt>
                <c:pt idx="320">
                  <c:v>2.8070599999999999</c:v>
                </c:pt>
                <c:pt idx="321">
                  <c:v>2.3957199999999998</c:v>
                </c:pt>
                <c:pt idx="322">
                  <c:v>3.2900299999999998</c:v>
                </c:pt>
                <c:pt idx="323">
                  <c:v>3.3275700000000001</c:v>
                </c:pt>
                <c:pt idx="324">
                  <c:v>2.4825300000000001</c:v>
                </c:pt>
                <c:pt idx="325">
                  <c:v>2.7044700000000002</c:v>
                </c:pt>
                <c:pt idx="326">
                  <c:v>2.7035</c:v>
                </c:pt>
                <c:pt idx="327">
                  <c:v>2.8967800000000001</c:v>
                </c:pt>
                <c:pt idx="328">
                  <c:v>3.25095</c:v>
                </c:pt>
                <c:pt idx="329">
                  <c:v>2.8866499999999999</c:v>
                </c:pt>
                <c:pt idx="330">
                  <c:v>2.7302599999999999</c:v>
                </c:pt>
                <c:pt idx="331">
                  <c:v>2.9409000000000001</c:v>
                </c:pt>
                <c:pt idx="332">
                  <c:v>2.93296</c:v>
                </c:pt>
                <c:pt idx="333">
                  <c:v>2.6079300000000001</c:v>
                </c:pt>
                <c:pt idx="334">
                  <c:v>2.9493200000000002</c:v>
                </c:pt>
                <c:pt idx="335">
                  <c:v>2.9967199999999998</c:v>
                </c:pt>
                <c:pt idx="336">
                  <c:v>2.7439900000000002</c:v>
                </c:pt>
                <c:pt idx="337">
                  <c:v>2.5621200000000002</c:v>
                </c:pt>
                <c:pt idx="338">
                  <c:v>3.0558000000000001</c:v>
                </c:pt>
                <c:pt idx="339">
                  <c:v>2.6577199999999999</c:v>
                </c:pt>
                <c:pt idx="340">
                  <c:v>2.7179000000000002</c:v>
                </c:pt>
                <c:pt idx="341">
                  <c:v>2.8640599999999998</c:v>
                </c:pt>
                <c:pt idx="342">
                  <c:v>3.3388599999999999</c:v>
                </c:pt>
                <c:pt idx="343">
                  <c:v>2.94171</c:v>
                </c:pt>
                <c:pt idx="344">
                  <c:v>3.1007600000000002</c:v>
                </c:pt>
                <c:pt idx="345">
                  <c:v>2.7500200000000001</c:v>
                </c:pt>
                <c:pt idx="346">
                  <c:v>2.5680200000000002</c:v>
                </c:pt>
                <c:pt idx="347">
                  <c:v>2.5917599999999998</c:v>
                </c:pt>
                <c:pt idx="348">
                  <c:v>2.93838</c:v>
                </c:pt>
                <c:pt idx="349">
                  <c:v>2.6511300000000002</c:v>
                </c:pt>
                <c:pt idx="350">
                  <c:v>3.1930000000000001</c:v>
                </c:pt>
                <c:pt idx="351">
                  <c:v>3.0014500000000002</c:v>
                </c:pt>
                <c:pt idx="352">
                  <c:v>3.1135999999999999</c:v>
                </c:pt>
                <c:pt idx="353">
                  <c:v>2.93445</c:v>
                </c:pt>
                <c:pt idx="354">
                  <c:v>2.9501599999999999</c:v>
                </c:pt>
                <c:pt idx="355">
                  <c:v>2.5568200000000001</c:v>
                </c:pt>
                <c:pt idx="356">
                  <c:v>2.6566299999999998</c:v>
                </c:pt>
                <c:pt idx="357">
                  <c:v>3.2260200000000001</c:v>
                </c:pt>
                <c:pt idx="358">
                  <c:v>3.0498799999999999</c:v>
                </c:pt>
                <c:pt idx="359">
                  <c:v>2.9994999999999998</c:v>
                </c:pt>
                <c:pt idx="360">
                  <c:v>3.2577500000000001</c:v>
                </c:pt>
                <c:pt idx="361">
                  <c:v>2.80972</c:v>
                </c:pt>
                <c:pt idx="362">
                  <c:v>3.34613</c:v>
                </c:pt>
                <c:pt idx="363">
                  <c:v>2.9200900000000001</c:v>
                </c:pt>
                <c:pt idx="364">
                  <c:v>2.8454000000000002</c:v>
                </c:pt>
                <c:pt idx="365">
                  <c:v>2.7430300000000001</c:v>
                </c:pt>
                <c:pt idx="366">
                  <c:v>2.7980900000000002</c:v>
                </c:pt>
                <c:pt idx="367">
                  <c:v>3.1577299999999999</c:v>
                </c:pt>
                <c:pt idx="368">
                  <c:v>3.1718600000000001</c:v>
                </c:pt>
                <c:pt idx="369">
                  <c:v>2.8473299999999999</c:v>
                </c:pt>
                <c:pt idx="370">
                  <c:v>2.5731799999999998</c:v>
                </c:pt>
                <c:pt idx="371">
                  <c:v>3.1418400000000002</c:v>
                </c:pt>
                <c:pt idx="372">
                  <c:v>3.0291999999999999</c:v>
                </c:pt>
                <c:pt idx="373">
                  <c:v>2.6225200000000002</c:v>
                </c:pt>
                <c:pt idx="374">
                  <c:v>3.2106300000000001</c:v>
                </c:pt>
                <c:pt idx="375">
                  <c:v>2.8896700000000002</c:v>
                </c:pt>
                <c:pt idx="376">
                  <c:v>3.2012</c:v>
                </c:pt>
                <c:pt idx="377">
                  <c:v>2.8707600000000002</c:v>
                </c:pt>
                <c:pt idx="378">
                  <c:v>3.27935</c:v>
                </c:pt>
                <c:pt idx="379">
                  <c:v>3.27569</c:v>
                </c:pt>
                <c:pt idx="380">
                  <c:v>2.8148</c:v>
                </c:pt>
                <c:pt idx="381">
                  <c:v>2.9464199999999998</c:v>
                </c:pt>
                <c:pt idx="382">
                  <c:v>3.0338599999999998</c:v>
                </c:pt>
                <c:pt idx="383">
                  <c:v>2.9112499999999999</c:v>
                </c:pt>
                <c:pt idx="384">
                  <c:v>3.0986199999999999</c:v>
                </c:pt>
                <c:pt idx="385">
                  <c:v>2.9780500000000001</c:v>
                </c:pt>
                <c:pt idx="386">
                  <c:v>2.75</c:v>
                </c:pt>
                <c:pt idx="387">
                  <c:v>3.1993900000000002</c:v>
                </c:pt>
                <c:pt idx="388">
                  <c:v>2.6344699999999999</c:v>
                </c:pt>
                <c:pt idx="389">
                  <c:v>3.05844</c:v>
                </c:pt>
                <c:pt idx="390">
                  <c:v>2.6926999999999999</c:v>
                </c:pt>
                <c:pt idx="391">
                  <c:v>3.4942899999999999</c:v>
                </c:pt>
                <c:pt idx="392">
                  <c:v>2.8362099999999999</c:v>
                </c:pt>
                <c:pt idx="393">
                  <c:v>3.20207</c:v>
                </c:pt>
                <c:pt idx="394">
                  <c:v>2.9659599999999999</c:v>
                </c:pt>
                <c:pt idx="395">
                  <c:v>3.2719999999999998</c:v>
                </c:pt>
                <c:pt idx="396">
                  <c:v>3.1948699999999999</c:v>
                </c:pt>
                <c:pt idx="397">
                  <c:v>3.1650299999999998</c:v>
                </c:pt>
                <c:pt idx="398">
                  <c:v>3.1315300000000001</c:v>
                </c:pt>
                <c:pt idx="399">
                  <c:v>3.1333299999999999</c:v>
                </c:pt>
                <c:pt idx="400">
                  <c:v>3.3932199999999999</c:v>
                </c:pt>
                <c:pt idx="401">
                  <c:v>3.1394700000000002</c:v>
                </c:pt>
                <c:pt idx="402">
                  <c:v>3.3091300000000001</c:v>
                </c:pt>
                <c:pt idx="403">
                  <c:v>3.0264899999999999</c:v>
                </c:pt>
                <c:pt idx="404">
                  <c:v>3.0528300000000002</c:v>
                </c:pt>
                <c:pt idx="405">
                  <c:v>3.1648399999999999</c:v>
                </c:pt>
                <c:pt idx="406">
                  <c:v>3.1728100000000001</c:v>
                </c:pt>
                <c:pt idx="407">
                  <c:v>3.0862500000000002</c:v>
                </c:pt>
                <c:pt idx="408">
                  <c:v>3.2206999999999999</c:v>
                </c:pt>
                <c:pt idx="409">
                  <c:v>3.1909999999999998</c:v>
                </c:pt>
                <c:pt idx="410">
                  <c:v>3.0025200000000001</c:v>
                </c:pt>
                <c:pt idx="411">
                  <c:v>3.1823899999999998</c:v>
                </c:pt>
                <c:pt idx="412">
                  <c:v>3.1031300000000002</c:v>
                </c:pt>
                <c:pt idx="413">
                  <c:v>3.2307000000000001</c:v>
                </c:pt>
                <c:pt idx="414">
                  <c:v>2.74438</c:v>
                </c:pt>
                <c:pt idx="415">
                  <c:v>3.5633900000000001</c:v>
                </c:pt>
                <c:pt idx="416">
                  <c:v>2.5179800000000001</c:v>
                </c:pt>
                <c:pt idx="417">
                  <c:v>3.0772599999999999</c:v>
                </c:pt>
                <c:pt idx="418">
                  <c:v>2.9206699999999999</c:v>
                </c:pt>
                <c:pt idx="419">
                  <c:v>3.081</c:v>
                </c:pt>
                <c:pt idx="420">
                  <c:v>3.1488800000000001</c:v>
                </c:pt>
                <c:pt idx="421">
                  <c:v>3.3273999999999999</c:v>
                </c:pt>
                <c:pt idx="422">
                  <c:v>3.0223</c:v>
                </c:pt>
                <c:pt idx="423">
                  <c:v>3.0549900000000001</c:v>
                </c:pt>
                <c:pt idx="424">
                  <c:v>3.0321500000000001</c:v>
                </c:pt>
                <c:pt idx="425">
                  <c:v>3.1533199999999999</c:v>
                </c:pt>
                <c:pt idx="426">
                  <c:v>3.14012</c:v>
                </c:pt>
                <c:pt idx="427">
                  <c:v>3.2629899999999998</c:v>
                </c:pt>
                <c:pt idx="428">
                  <c:v>2.9195899999999999</c:v>
                </c:pt>
                <c:pt idx="429">
                  <c:v>3.4394999999999998</c:v>
                </c:pt>
                <c:pt idx="430">
                  <c:v>2.7821199999999999</c:v>
                </c:pt>
                <c:pt idx="431">
                  <c:v>3.13524</c:v>
                </c:pt>
                <c:pt idx="432">
                  <c:v>2.90787</c:v>
                </c:pt>
                <c:pt idx="433">
                  <c:v>3.0525000000000002</c:v>
                </c:pt>
                <c:pt idx="434">
                  <c:v>2.7865899999999999</c:v>
                </c:pt>
                <c:pt idx="435">
                  <c:v>3.27399</c:v>
                </c:pt>
                <c:pt idx="436">
                  <c:v>3.2529300000000001</c:v>
                </c:pt>
                <c:pt idx="437">
                  <c:v>3.32118</c:v>
                </c:pt>
                <c:pt idx="438">
                  <c:v>2.97187</c:v>
                </c:pt>
                <c:pt idx="439">
                  <c:v>3.3170000000000002</c:v>
                </c:pt>
                <c:pt idx="440">
                  <c:v>3.2046999999999999</c:v>
                </c:pt>
                <c:pt idx="441">
                  <c:v>2.6430199999999999</c:v>
                </c:pt>
                <c:pt idx="442">
                  <c:v>3.0851000000000002</c:v>
                </c:pt>
                <c:pt idx="443">
                  <c:v>3.1279499999999998</c:v>
                </c:pt>
                <c:pt idx="444">
                  <c:v>3.2364899999999999</c:v>
                </c:pt>
                <c:pt idx="445">
                  <c:v>3.4605100000000002</c:v>
                </c:pt>
                <c:pt idx="446">
                  <c:v>3.0828899999999999</c:v>
                </c:pt>
                <c:pt idx="447">
                  <c:v>2.8250700000000002</c:v>
                </c:pt>
                <c:pt idx="448">
                  <c:v>2.9728500000000002</c:v>
                </c:pt>
                <c:pt idx="449">
                  <c:v>3.2004899999999998</c:v>
                </c:pt>
                <c:pt idx="450">
                  <c:v>3.0411700000000002</c:v>
                </c:pt>
                <c:pt idx="451">
                  <c:v>3.0657399999999999</c:v>
                </c:pt>
                <c:pt idx="452">
                  <c:v>3.2027800000000002</c:v>
                </c:pt>
                <c:pt idx="453">
                  <c:v>2.96651</c:v>
                </c:pt>
                <c:pt idx="454">
                  <c:v>3.41473</c:v>
                </c:pt>
                <c:pt idx="455">
                  <c:v>2.9622999999999999</c:v>
                </c:pt>
                <c:pt idx="456">
                  <c:v>3.49526</c:v>
                </c:pt>
                <c:pt idx="457">
                  <c:v>3.6074600000000001</c:v>
                </c:pt>
                <c:pt idx="458">
                  <c:v>3.0678899999999998</c:v>
                </c:pt>
                <c:pt idx="459">
                  <c:v>2.88103</c:v>
                </c:pt>
                <c:pt idx="460">
                  <c:v>3.2097799999999999</c:v>
                </c:pt>
                <c:pt idx="461">
                  <c:v>2.8144300000000002</c:v>
                </c:pt>
                <c:pt idx="462">
                  <c:v>3.1393800000000001</c:v>
                </c:pt>
                <c:pt idx="463">
                  <c:v>3.31399</c:v>
                </c:pt>
                <c:pt idx="464">
                  <c:v>3.0562800000000001</c:v>
                </c:pt>
                <c:pt idx="465">
                  <c:v>3.48333</c:v>
                </c:pt>
                <c:pt idx="466">
                  <c:v>3.3552200000000001</c:v>
                </c:pt>
                <c:pt idx="467">
                  <c:v>2.86063</c:v>
                </c:pt>
                <c:pt idx="468">
                  <c:v>3.3934000000000002</c:v>
                </c:pt>
                <c:pt idx="469">
                  <c:v>3.09307</c:v>
                </c:pt>
                <c:pt idx="470">
                  <c:v>3.1871900000000002</c:v>
                </c:pt>
                <c:pt idx="471">
                  <c:v>3.1701800000000002</c:v>
                </c:pt>
                <c:pt idx="472">
                  <c:v>3.3155600000000001</c:v>
                </c:pt>
                <c:pt idx="473">
                  <c:v>3.2051799999999999</c:v>
                </c:pt>
                <c:pt idx="474">
                  <c:v>3.2415400000000001</c:v>
                </c:pt>
                <c:pt idx="475">
                  <c:v>2.9892500000000002</c:v>
                </c:pt>
                <c:pt idx="476">
                  <c:v>3.1156600000000001</c:v>
                </c:pt>
                <c:pt idx="477">
                  <c:v>3.3235000000000001</c:v>
                </c:pt>
                <c:pt idx="478">
                  <c:v>3.0764300000000002</c:v>
                </c:pt>
                <c:pt idx="479">
                  <c:v>2.9422700000000002</c:v>
                </c:pt>
                <c:pt idx="480">
                  <c:v>3.4544199999999998</c:v>
                </c:pt>
                <c:pt idx="481">
                  <c:v>2.8535499999999998</c:v>
                </c:pt>
                <c:pt idx="482">
                  <c:v>2.8593000000000002</c:v>
                </c:pt>
                <c:pt idx="483">
                  <c:v>2.9663400000000002</c:v>
                </c:pt>
                <c:pt idx="484">
                  <c:v>3.1063000000000001</c:v>
                </c:pt>
                <c:pt idx="485">
                  <c:v>3.3765299999999998</c:v>
                </c:pt>
                <c:pt idx="486">
                  <c:v>3.06629</c:v>
                </c:pt>
                <c:pt idx="487">
                  <c:v>3.0603099999999999</c:v>
                </c:pt>
                <c:pt idx="488">
                  <c:v>3.4092199999999999</c:v>
                </c:pt>
                <c:pt idx="489">
                  <c:v>2.7338200000000001</c:v>
                </c:pt>
                <c:pt idx="490">
                  <c:v>3.1234899999999999</c:v>
                </c:pt>
                <c:pt idx="491">
                  <c:v>3.77115</c:v>
                </c:pt>
                <c:pt idx="492">
                  <c:v>2.9974500000000002</c:v>
                </c:pt>
                <c:pt idx="493">
                  <c:v>3.0769099999999998</c:v>
                </c:pt>
                <c:pt idx="494">
                  <c:v>3.3772899999999999</c:v>
                </c:pt>
                <c:pt idx="495">
                  <c:v>3.3386999999999998</c:v>
                </c:pt>
                <c:pt idx="496">
                  <c:v>3.1603699999999999</c:v>
                </c:pt>
                <c:pt idx="497">
                  <c:v>3.15272</c:v>
                </c:pt>
                <c:pt idx="498">
                  <c:v>3.2543600000000001</c:v>
                </c:pt>
                <c:pt idx="499">
                  <c:v>3.2679200000000002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AB-491D-B2A7-AC76F3BD97FB}"/>
            </c:ext>
          </c:extLst>
        </c:ser>
        <c:ser>
          <c:idx val="1"/>
          <c:order val="1"/>
          <c:tx>
            <c:v>Least Squares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Data!$A$1:$A$500</c:f>
              <c:numCache>
                <c:formatCode>General</c:formatCode>
                <c:ptCount val="500"/>
                <c:pt idx="0">
                  <c:v>0.1206</c:v>
                </c:pt>
                <c:pt idx="1">
                  <c:v>0.17858499999999999</c:v>
                </c:pt>
                <c:pt idx="2">
                  <c:v>0.26098500000000002</c:v>
                </c:pt>
                <c:pt idx="3">
                  <c:v>0.26632600000000001</c:v>
                </c:pt>
                <c:pt idx="4">
                  <c:v>0.42044399999999998</c:v>
                </c:pt>
                <c:pt idx="5">
                  <c:v>0.59363699999999997</c:v>
                </c:pt>
                <c:pt idx="6">
                  <c:v>0.67374800000000001</c:v>
                </c:pt>
                <c:pt idx="7">
                  <c:v>0.74622900000000003</c:v>
                </c:pt>
                <c:pt idx="8">
                  <c:v>0.75767399999999996</c:v>
                </c:pt>
                <c:pt idx="9">
                  <c:v>0.88508900000000001</c:v>
                </c:pt>
                <c:pt idx="10">
                  <c:v>0.89653300000000002</c:v>
                </c:pt>
                <c:pt idx="11">
                  <c:v>0.92628900000000003</c:v>
                </c:pt>
                <c:pt idx="12">
                  <c:v>0.96443699999999999</c:v>
                </c:pt>
                <c:pt idx="13">
                  <c:v>1.0132699999999999</c:v>
                </c:pt>
                <c:pt idx="14">
                  <c:v>1.0430200000000001</c:v>
                </c:pt>
                <c:pt idx="15">
                  <c:v>1.0437799999999999</c:v>
                </c:pt>
                <c:pt idx="16">
                  <c:v>1.0682</c:v>
                </c:pt>
                <c:pt idx="17">
                  <c:v>1.1048199999999999</c:v>
                </c:pt>
                <c:pt idx="18">
                  <c:v>1.1689099999999999</c:v>
                </c:pt>
                <c:pt idx="19">
                  <c:v>1.16967</c:v>
                </c:pt>
                <c:pt idx="20">
                  <c:v>1.1895100000000001</c:v>
                </c:pt>
                <c:pt idx="21">
                  <c:v>1.22461</c:v>
                </c:pt>
                <c:pt idx="22">
                  <c:v>1.2314700000000001</c:v>
                </c:pt>
                <c:pt idx="23">
                  <c:v>1.2841199999999999</c:v>
                </c:pt>
                <c:pt idx="24">
                  <c:v>1.30396</c:v>
                </c:pt>
                <c:pt idx="25">
                  <c:v>1.3077700000000001</c:v>
                </c:pt>
                <c:pt idx="26">
                  <c:v>1.4618899999999999</c:v>
                </c:pt>
                <c:pt idx="27">
                  <c:v>1.4802</c:v>
                </c:pt>
                <c:pt idx="28">
                  <c:v>1.49088</c:v>
                </c:pt>
                <c:pt idx="29">
                  <c:v>1.4946999999999999</c:v>
                </c:pt>
                <c:pt idx="30">
                  <c:v>1.5397099999999999</c:v>
                </c:pt>
                <c:pt idx="31">
                  <c:v>1.5679399999999999</c:v>
                </c:pt>
                <c:pt idx="32">
                  <c:v>1.65873</c:v>
                </c:pt>
                <c:pt idx="33">
                  <c:v>1.66178</c:v>
                </c:pt>
                <c:pt idx="34">
                  <c:v>1.71672</c:v>
                </c:pt>
                <c:pt idx="35">
                  <c:v>1.7548699999999999</c:v>
                </c:pt>
                <c:pt idx="36">
                  <c:v>1.8159000000000001</c:v>
                </c:pt>
                <c:pt idx="37">
                  <c:v>1.92424</c:v>
                </c:pt>
                <c:pt idx="38">
                  <c:v>1.9265300000000001</c:v>
                </c:pt>
                <c:pt idx="39">
                  <c:v>1.9532400000000001</c:v>
                </c:pt>
                <c:pt idx="40">
                  <c:v>2.00664</c:v>
                </c:pt>
                <c:pt idx="41">
                  <c:v>2.0501299999999998</c:v>
                </c:pt>
                <c:pt idx="42">
                  <c:v>2.08752</c:v>
                </c:pt>
                <c:pt idx="43">
                  <c:v>2.1180400000000001</c:v>
                </c:pt>
                <c:pt idx="44">
                  <c:v>2.1310099999999998</c:v>
                </c:pt>
                <c:pt idx="45">
                  <c:v>2.1928100000000001</c:v>
                </c:pt>
                <c:pt idx="46">
                  <c:v>2.2301899999999999</c:v>
                </c:pt>
                <c:pt idx="47">
                  <c:v>2.4712900000000002</c:v>
                </c:pt>
                <c:pt idx="48">
                  <c:v>2.5887799999999999</c:v>
                </c:pt>
                <c:pt idx="49">
                  <c:v>2.6040399999999999</c:v>
                </c:pt>
                <c:pt idx="50">
                  <c:v>2.6360899999999998</c:v>
                </c:pt>
                <c:pt idx="51">
                  <c:v>2.66737</c:v>
                </c:pt>
                <c:pt idx="52">
                  <c:v>2.7398500000000001</c:v>
                </c:pt>
                <c:pt idx="53">
                  <c:v>2.7581600000000002</c:v>
                </c:pt>
                <c:pt idx="54">
                  <c:v>2.76579</c:v>
                </c:pt>
                <c:pt idx="55">
                  <c:v>2.7711299999999999</c:v>
                </c:pt>
                <c:pt idx="56">
                  <c:v>2.7970700000000002</c:v>
                </c:pt>
                <c:pt idx="57">
                  <c:v>2.9740799999999998</c:v>
                </c:pt>
                <c:pt idx="58">
                  <c:v>2.9756100000000001</c:v>
                </c:pt>
                <c:pt idx="59">
                  <c:v>3.0610599999999999</c:v>
                </c:pt>
                <c:pt idx="60">
                  <c:v>3.0870000000000002</c:v>
                </c:pt>
                <c:pt idx="61">
                  <c:v>3.1015000000000001</c:v>
                </c:pt>
                <c:pt idx="62">
                  <c:v>3.13964</c:v>
                </c:pt>
                <c:pt idx="63">
                  <c:v>3.1549</c:v>
                </c:pt>
                <c:pt idx="64">
                  <c:v>3.26553</c:v>
                </c:pt>
                <c:pt idx="65">
                  <c:v>3.2716400000000001</c:v>
                </c:pt>
                <c:pt idx="66">
                  <c:v>3.28918</c:v>
                </c:pt>
                <c:pt idx="67">
                  <c:v>3.3830300000000002</c:v>
                </c:pt>
                <c:pt idx="68">
                  <c:v>3.5768200000000001</c:v>
                </c:pt>
                <c:pt idx="69">
                  <c:v>3.6256499999999998</c:v>
                </c:pt>
                <c:pt idx="70">
                  <c:v>3.6439599999999999</c:v>
                </c:pt>
                <c:pt idx="71">
                  <c:v>3.7240700000000002</c:v>
                </c:pt>
                <c:pt idx="72">
                  <c:v>3.7240700000000002</c:v>
                </c:pt>
                <c:pt idx="73">
                  <c:v>3.7278899999999999</c:v>
                </c:pt>
                <c:pt idx="74">
                  <c:v>3.72865</c:v>
                </c:pt>
                <c:pt idx="75">
                  <c:v>3.7362799999999998</c:v>
                </c:pt>
                <c:pt idx="76">
                  <c:v>3.7416200000000002</c:v>
                </c:pt>
                <c:pt idx="77">
                  <c:v>3.83928</c:v>
                </c:pt>
                <c:pt idx="78">
                  <c:v>3.86293</c:v>
                </c:pt>
                <c:pt idx="79">
                  <c:v>3.94381</c:v>
                </c:pt>
                <c:pt idx="80">
                  <c:v>3.9903499999999998</c:v>
                </c:pt>
                <c:pt idx="81">
                  <c:v>3.9933999999999998</c:v>
                </c:pt>
                <c:pt idx="82">
                  <c:v>4.117</c:v>
                </c:pt>
                <c:pt idx="83">
                  <c:v>4.12005</c:v>
                </c:pt>
                <c:pt idx="84">
                  <c:v>4.2985800000000003</c:v>
                </c:pt>
                <c:pt idx="85">
                  <c:v>4.3115500000000004</c:v>
                </c:pt>
                <c:pt idx="86">
                  <c:v>4.3313899999999999</c:v>
                </c:pt>
                <c:pt idx="87">
                  <c:v>4.3367300000000002</c:v>
                </c:pt>
                <c:pt idx="88">
                  <c:v>4.4137899999999997</c:v>
                </c:pt>
                <c:pt idx="89">
                  <c:v>4.4435500000000001</c:v>
                </c:pt>
                <c:pt idx="90">
                  <c:v>4.4565200000000003</c:v>
                </c:pt>
                <c:pt idx="91">
                  <c:v>4.4862700000000002</c:v>
                </c:pt>
                <c:pt idx="92">
                  <c:v>4.5007700000000002</c:v>
                </c:pt>
                <c:pt idx="93">
                  <c:v>4.5785900000000002</c:v>
                </c:pt>
                <c:pt idx="94">
                  <c:v>4.5793499999999998</c:v>
                </c:pt>
                <c:pt idx="95">
                  <c:v>4.5953799999999996</c:v>
                </c:pt>
                <c:pt idx="96">
                  <c:v>4.6648100000000001</c:v>
                </c:pt>
                <c:pt idx="97">
                  <c:v>4.8021399999999996</c:v>
                </c:pt>
                <c:pt idx="98">
                  <c:v>4.8494400000000004</c:v>
                </c:pt>
                <c:pt idx="99">
                  <c:v>5.10656</c:v>
                </c:pt>
                <c:pt idx="100">
                  <c:v>5.2232900000000004</c:v>
                </c:pt>
                <c:pt idx="101">
                  <c:v>5.2370299999999999</c:v>
                </c:pt>
                <c:pt idx="102">
                  <c:v>5.2843299999999997</c:v>
                </c:pt>
                <c:pt idx="103">
                  <c:v>5.2911999999999999</c:v>
                </c:pt>
                <c:pt idx="104">
                  <c:v>5.3156100000000004</c:v>
                </c:pt>
                <c:pt idx="105">
                  <c:v>5.38809</c:v>
                </c:pt>
                <c:pt idx="106">
                  <c:v>5.4254800000000003</c:v>
                </c:pt>
                <c:pt idx="107">
                  <c:v>5.5590000000000002</c:v>
                </c:pt>
                <c:pt idx="108">
                  <c:v>5.6406400000000003</c:v>
                </c:pt>
                <c:pt idx="109">
                  <c:v>5.70167</c:v>
                </c:pt>
                <c:pt idx="110">
                  <c:v>5.7695800000000004</c:v>
                </c:pt>
                <c:pt idx="111">
                  <c:v>5.8008600000000001</c:v>
                </c:pt>
                <c:pt idx="112">
                  <c:v>5.8870699999999996</c:v>
                </c:pt>
                <c:pt idx="113">
                  <c:v>5.9084399999999997</c:v>
                </c:pt>
                <c:pt idx="114">
                  <c:v>5.9160599999999999</c:v>
                </c:pt>
                <c:pt idx="115">
                  <c:v>5.9305599999999998</c:v>
                </c:pt>
                <c:pt idx="116">
                  <c:v>5.9534500000000001</c:v>
                </c:pt>
                <c:pt idx="117">
                  <c:v>5.9580299999999999</c:v>
                </c:pt>
                <c:pt idx="118">
                  <c:v>6.0053299999999998</c:v>
                </c:pt>
                <c:pt idx="119">
                  <c:v>6.0434799999999997</c:v>
                </c:pt>
                <c:pt idx="120">
                  <c:v>6.0579799999999997</c:v>
                </c:pt>
                <c:pt idx="121">
                  <c:v>6.1495300000000004</c:v>
                </c:pt>
                <c:pt idx="122">
                  <c:v>6.2502399999999998</c:v>
                </c:pt>
                <c:pt idx="123">
                  <c:v>6.2899200000000004</c:v>
                </c:pt>
                <c:pt idx="124">
                  <c:v>6.3372200000000003</c:v>
                </c:pt>
                <c:pt idx="125">
                  <c:v>6.3837599999999997</c:v>
                </c:pt>
                <c:pt idx="126">
                  <c:v>6.5638199999999998</c:v>
                </c:pt>
                <c:pt idx="127">
                  <c:v>6.5691600000000001</c:v>
                </c:pt>
                <c:pt idx="128">
                  <c:v>6.6408800000000001</c:v>
                </c:pt>
                <c:pt idx="129">
                  <c:v>6.6515599999999999</c:v>
                </c:pt>
                <c:pt idx="130">
                  <c:v>6.6706399999999997</c:v>
                </c:pt>
                <c:pt idx="131">
                  <c:v>6.82552</c:v>
                </c:pt>
                <c:pt idx="132">
                  <c:v>6.8407799999999996</c:v>
                </c:pt>
                <c:pt idx="133">
                  <c:v>6.8934199999999999</c:v>
                </c:pt>
                <c:pt idx="134">
                  <c:v>6.9514100000000001</c:v>
                </c:pt>
                <c:pt idx="135">
                  <c:v>6.9994699999999996</c:v>
                </c:pt>
                <c:pt idx="136">
                  <c:v>7.0254099999999999</c:v>
                </c:pt>
                <c:pt idx="137">
                  <c:v>7.0422000000000002</c:v>
                </c:pt>
                <c:pt idx="138">
                  <c:v>7.07348</c:v>
                </c:pt>
                <c:pt idx="139">
                  <c:v>7.1177299999999999</c:v>
                </c:pt>
                <c:pt idx="140">
                  <c:v>7.1429099999999996</c:v>
                </c:pt>
                <c:pt idx="141">
                  <c:v>7.1718999999999999</c:v>
                </c:pt>
                <c:pt idx="142">
                  <c:v>7.1780099999999996</c:v>
                </c:pt>
                <c:pt idx="143">
                  <c:v>7.2100499999999998</c:v>
                </c:pt>
                <c:pt idx="144">
                  <c:v>7.2306499999999998</c:v>
                </c:pt>
                <c:pt idx="145">
                  <c:v>7.3016100000000002</c:v>
                </c:pt>
                <c:pt idx="146">
                  <c:v>7.3588300000000002</c:v>
                </c:pt>
                <c:pt idx="147">
                  <c:v>7.37561</c:v>
                </c:pt>
                <c:pt idx="148">
                  <c:v>7.39011</c:v>
                </c:pt>
                <c:pt idx="149">
                  <c:v>7.5297299999999998</c:v>
                </c:pt>
                <c:pt idx="150">
                  <c:v>7.6250999999999998</c:v>
                </c:pt>
                <c:pt idx="151">
                  <c:v>7.6777499999999996</c:v>
                </c:pt>
                <c:pt idx="152">
                  <c:v>7.74641</c:v>
                </c:pt>
                <c:pt idx="153">
                  <c:v>7.7487000000000004</c:v>
                </c:pt>
                <c:pt idx="154">
                  <c:v>7.7799800000000001</c:v>
                </c:pt>
                <c:pt idx="155">
                  <c:v>7.8272899999999996</c:v>
                </c:pt>
                <c:pt idx="156">
                  <c:v>7.9608100000000004</c:v>
                </c:pt>
                <c:pt idx="157">
                  <c:v>8.0607500000000005</c:v>
                </c:pt>
                <c:pt idx="158">
                  <c:v>8.2041900000000005</c:v>
                </c:pt>
                <c:pt idx="159">
                  <c:v>8.2423400000000004</c:v>
                </c:pt>
                <c:pt idx="160">
                  <c:v>8.2782</c:v>
                </c:pt>
                <c:pt idx="161">
                  <c:v>8.3102400000000003</c:v>
                </c:pt>
                <c:pt idx="162">
                  <c:v>8.3491499999999998</c:v>
                </c:pt>
                <c:pt idx="163">
                  <c:v>8.3666999999999998</c:v>
                </c:pt>
                <c:pt idx="164">
                  <c:v>8.4254499999999997</c:v>
                </c:pt>
                <c:pt idx="165">
                  <c:v>8.4536800000000003</c:v>
                </c:pt>
                <c:pt idx="166">
                  <c:v>8.6291600000000006</c:v>
                </c:pt>
                <c:pt idx="167">
                  <c:v>8.6467100000000006</c:v>
                </c:pt>
                <c:pt idx="168">
                  <c:v>8.7024000000000008</c:v>
                </c:pt>
                <c:pt idx="169">
                  <c:v>8.7748899999999992</c:v>
                </c:pt>
                <c:pt idx="170">
                  <c:v>8.7954899999999991</c:v>
                </c:pt>
                <c:pt idx="171">
                  <c:v>8.8450799999999994</c:v>
                </c:pt>
                <c:pt idx="172">
                  <c:v>8.8580500000000004</c:v>
                </c:pt>
                <c:pt idx="173">
                  <c:v>8.8595799999999993</c:v>
                </c:pt>
                <c:pt idx="174">
                  <c:v>8.8694900000000008</c:v>
                </c:pt>
                <c:pt idx="175">
                  <c:v>8.89086</c:v>
                </c:pt>
                <c:pt idx="176">
                  <c:v>8.9160299999999992</c:v>
                </c:pt>
                <c:pt idx="177">
                  <c:v>8.9244299999999992</c:v>
                </c:pt>
                <c:pt idx="178">
                  <c:v>8.9923300000000008</c:v>
                </c:pt>
                <c:pt idx="179">
                  <c:v>9.0022500000000001</c:v>
                </c:pt>
                <c:pt idx="180">
                  <c:v>9.032</c:v>
                </c:pt>
                <c:pt idx="181">
                  <c:v>9.0548900000000003</c:v>
                </c:pt>
                <c:pt idx="182">
                  <c:v>9.0831199999999992</c:v>
                </c:pt>
                <c:pt idx="183">
                  <c:v>9.0907499999999999</c:v>
                </c:pt>
                <c:pt idx="184">
                  <c:v>9.0915199999999992</c:v>
                </c:pt>
                <c:pt idx="185">
                  <c:v>9.0937999999999999</c:v>
                </c:pt>
                <c:pt idx="186">
                  <c:v>9.1143999999999998</c:v>
                </c:pt>
                <c:pt idx="187">
                  <c:v>9.1143999999999998</c:v>
                </c:pt>
                <c:pt idx="188">
                  <c:v>9.1815499999999997</c:v>
                </c:pt>
                <c:pt idx="189">
                  <c:v>9.1861200000000007</c:v>
                </c:pt>
                <c:pt idx="190">
                  <c:v>9.3074300000000001</c:v>
                </c:pt>
                <c:pt idx="191">
                  <c:v>9.33948</c:v>
                </c:pt>
                <c:pt idx="192">
                  <c:v>9.3646600000000007</c:v>
                </c:pt>
                <c:pt idx="193">
                  <c:v>9.3768600000000006</c:v>
                </c:pt>
                <c:pt idx="194">
                  <c:v>9.4073799999999999</c:v>
                </c:pt>
                <c:pt idx="195">
                  <c:v>9.4371399999999994</c:v>
                </c:pt>
                <c:pt idx="196">
                  <c:v>9.4661299999999997</c:v>
                </c:pt>
                <c:pt idx="197">
                  <c:v>9.6004100000000001</c:v>
                </c:pt>
                <c:pt idx="198">
                  <c:v>9.6614500000000003</c:v>
                </c:pt>
                <c:pt idx="199">
                  <c:v>9.9910499999999995</c:v>
                </c:pt>
                <c:pt idx="200">
                  <c:v>10.037599999999999</c:v>
                </c:pt>
                <c:pt idx="201">
                  <c:v>10.047499999999999</c:v>
                </c:pt>
                <c:pt idx="202">
                  <c:v>10.111599999999999</c:v>
                </c:pt>
                <c:pt idx="203">
                  <c:v>10.274100000000001</c:v>
                </c:pt>
                <c:pt idx="204">
                  <c:v>10.3611</c:v>
                </c:pt>
                <c:pt idx="205">
                  <c:v>10.4381</c:v>
                </c:pt>
                <c:pt idx="206">
                  <c:v>10.4435</c:v>
                </c:pt>
                <c:pt idx="207">
                  <c:v>10.4847</c:v>
                </c:pt>
                <c:pt idx="208">
                  <c:v>10.4877</c:v>
                </c:pt>
                <c:pt idx="209">
                  <c:v>10.5465</c:v>
                </c:pt>
                <c:pt idx="210">
                  <c:v>10.831099999999999</c:v>
                </c:pt>
                <c:pt idx="211">
                  <c:v>10.873799999999999</c:v>
                </c:pt>
                <c:pt idx="212">
                  <c:v>10.911899999999999</c:v>
                </c:pt>
                <c:pt idx="213">
                  <c:v>10.935600000000001</c:v>
                </c:pt>
                <c:pt idx="214">
                  <c:v>11.2255</c:v>
                </c:pt>
                <c:pt idx="215">
                  <c:v>11.2377</c:v>
                </c:pt>
                <c:pt idx="216">
                  <c:v>11.2431</c:v>
                </c:pt>
                <c:pt idx="217">
                  <c:v>11.3217</c:v>
                </c:pt>
                <c:pt idx="218">
                  <c:v>11.3659</c:v>
                </c:pt>
                <c:pt idx="219">
                  <c:v>11.3705</c:v>
                </c:pt>
                <c:pt idx="220">
                  <c:v>11.3705</c:v>
                </c:pt>
                <c:pt idx="221">
                  <c:v>11.4186</c:v>
                </c:pt>
                <c:pt idx="222">
                  <c:v>11.462</c:v>
                </c:pt>
                <c:pt idx="223">
                  <c:v>11.702400000000001</c:v>
                </c:pt>
                <c:pt idx="224">
                  <c:v>11.741300000000001</c:v>
                </c:pt>
                <c:pt idx="225">
                  <c:v>11.753500000000001</c:v>
                </c:pt>
                <c:pt idx="226">
                  <c:v>11.767200000000001</c:v>
                </c:pt>
                <c:pt idx="227">
                  <c:v>11.796200000000001</c:v>
                </c:pt>
                <c:pt idx="228">
                  <c:v>11.8565</c:v>
                </c:pt>
                <c:pt idx="229">
                  <c:v>11.9122</c:v>
                </c:pt>
                <c:pt idx="230">
                  <c:v>11.9152</c:v>
                </c:pt>
                <c:pt idx="231">
                  <c:v>11.929</c:v>
                </c:pt>
                <c:pt idx="232">
                  <c:v>11.9503</c:v>
                </c:pt>
                <c:pt idx="233">
                  <c:v>11.9732</c:v>
                </c:pt>
                <c:pt idx="234">
                  <c:v>11.9938</c:v>
                </c:pt>
                <c:pt idx="235">
                  <c:v>12.0213</c:v>
                </c:pt>
                <c:pt idx="236">
                  <c:v>12.0251</c:v>
                </c:pt>
                <c:pt idx="237">
                  <c:v>12.0526</c:v>
                </c:pt>
                <c:pt idx="238">
                  <c:v>12.2059</c:v>
                </c:pt>
                <c:pt idx="239">
                  <c:v>12.2212</c:v>
                </c:pt>
                <c:pt idx="240">
                  <c:v>12.373799999999999</c:v>
                </c:pt>
                <c:pt idx="241">
                  <c:v>12.424099999999999</c:v>
                </c:pt>
                <c:pt idx="242">
                  <c:v>12.510400000000001</c:v>
                </c:pt>
                <c:pt idx="243">
                  <c:v>12.563800000000001</c:v>
                </c:pt>
                <c:pt idx="244">
                  <c:v>12.572900000000001</c:v>
                </c:pt>
                <c:pt idx="245">
                  <c:v>12.6805</c:v>
                </c:pt>
                <c:pt idx="246">
                  <c:v>12.7324</c:v>
                </c:pt>
                <c:pt idx="247">
                  <c:v>12.7507</c:v>
                </c:pt>
                <c:pt idx="248">
                  <c:v>12.7675</c:v>
                </c:pt>
                <c:pt idx="249">
                  <c:v>12.8552</c:v>
                </c:pt>
                <c:pt idx="250">
                  <c:v>12.875</c:v>
                </c:pt>
                <c:pt idx="251">
                  <c:v>12.9361</c:v>
                </c:pt>
                <c:pt idx="252">
                  <c:v>12.9613</c:v>
                </c:pt>
                <c:pt idx="253">
                  <c:v>12.9864</c:v>
                </c:pt>
                <c:pt idx="254">
                  <c:v>13.065799999999999</c:v>
                </c:pt>
                <c:pt idx="255">
                  <c:v>13.098599999999999</c:v>
                </c:pt>
                <c:pt idx="256">
                  <c:v>13.171799999999999</c:v>
                </c:pt>
                <c:pt idx="257">
                  <c:v>13.193199999999999</c:v>
                </c:pt>
                <c:pt idx="258">
                  <c:v>13.3992</c:v>
                </c:pt>
                <c:pt idx="259">
                  <c:v>13.4168</c:v>
                </c:pt>
                <c:pt idx="260">
                  <c:v>13.6281</c:v>
                </c:pt>
                <c:pt idx="261">
                  <c:v>13.6372</c:v>
                </c:pt>
                <c:pt idx="262">
                  <c:v>13.6395</c:v>
                </c:pt>
                <c:pt idx="263">
                  <c:v>13.6609</c:v>
                </c:pt>
                <c:pt idx="264">
                  <c:v>13.6655</c:v>
                </c:pt>
                <c:pt idx="265">
                  <c:v>13.6731</c:v>
                </c:pt>
                <c:pt idx="266">
                  <c:v>13.6846</c:v>
                </c:pt>
                <c:pt idx="267">
                  <c:v>13.797499999999999</c:v>
                </c:pt>
                <c:pt idx="268">
                  <c:v>13.879099999999999</c:v>
                </c:pt>
                <c:pt idx="269">
                  <c:v>13.970700000000001</c:v>
                </c:pt>
                <c:pt idx="270">
                  <c:v>13.979799999999999</c:v>
                </c:pt>
                <c:pt idx="271">
                  <c:v>14.044700000000001</c:v>
                </c:pt>
                <c:pt idx="272">
                  <c:v>14.078200000000001</c:v>
                </c:pt>
                <c:pt idx="273">
                  <c:v>14.2163</c:v>
                </c:pt>
                <c:pt idx="274">
                  <c:v>14.2285</c:v>
                </c:pt>
                <c:pt idx="275">
                  <c:v>14.2545</c:v>
                </c:pt>
                <c:pt idx="276">
                  <c:v>14.2713</c:v>
                </c:pt>
                <c:pt idx="277">
                  <c:v>14.2812</c:v>
                </c:pt>
                <c:pt idx="278">
                  <c:v>14.3216</c:v>
                </c:pt>
                <c:pt idx="279">
                  <c:v>14.3399</c:v>
                </c:pt>
                <c:pt idx="280">
                  <c:v>14.459</c:v>
                </c:pt>
                <c:pt idx="281">
                  <c:v>14.4727</c:v>
                </c:pt>
                <c:pt idx="282">
                  <c:v>14.5223</c:v>
                </c:pt>
                <c:pt idx="283">
                  <c:v>14.567299999999999</c:v>
                </c:pt>
                <c:pt idx="284">
                  <c:v>14.5848</c:v>
                </c:pt>
                <c:pt idx="285">
                  <c:v>14.634399999999999</c:v>
                </c:pt>
                <c:pt idx="286">
                  <c:v>14.9518</c:v>
                </c:pt>
                <c:pt idx="287">
                  <c:v>14.9923</c:v>
                </c:pt>
                <c:pt idx="288">
                  <c:v>15.1296</c:v>
                </c:pt>
                <c:pt idx="289">
                  <c:v>15.1365</c:v>
                </c:pt>
                <c:pt idx="290">
                  <c:v>15.154</c:v>
                </c:pt>
                <c:pt idx="291">
                  <c:v>15.1678</c:v>
                </c:pt>
                <c:pt idx="292">
                  <c:v>15.183</c:v>
                </c:pt>
                <c:pt idx="293">
                  <c:v>15.2448</c:v>
                </c:pt>
                <c:pt idx="294">
                  <c:v>15.2997</c:v>
                </c:pt>
                <c:pt idx="295">
                  <c:v>15.3142</c:v>
                </c:pt>
                <c:pt idx="296">
                  <c:v>15.356199999999999</c:v>
                </c:pt>
                <c:pt idx="297">
                  <c:v>15.398199999999999</c:v>
                </c:pt>
                <c:pt idx="298">
                  <c:v>15.416499999999999</c:v>
                </c:pt>
                <c:pt idx="299">
                  <c:v>15.466100000000001</c:v>
                </c:pt>
                <c:pt idx="300">
                  <c:v>15.518000000000001</c:v>
                </c:pt>
                <c:pt idx="301">
                  <c:v>15.577500000000001</c:v>
                </c:pt>
                <c:pt idx="302">
                  <c:v>15.6271</c:v>
                </c:pt>
                <c:pt idx="303">
                  <c:v>15.632400000000001</c:v>
                </c:pt>
                <c:pt idx="304">
                  <c:v>15.666700000000001</c:v>
                </c:pt>
                <c:pt idx="305">
                  <c:v>15.7095</c:v>
                </c:pt>
                <c:pt idx="306">
                  <c:v>15.7354</c:v>
                </c:pt>
                <c:pt idx="307">
                  <c:v>15.7438</c:v>
                </c:pt>
                <c:pt idx="308">
                  <c:v>15.7606</c:v>
                </c:pt>
                <c:pt idx="309">
                  <c:v>15.814</c:v>
                </c:pt>
                <c:pt idx="310">
                  <c:v>15.8918</c:v>
                </c:pt>
                <c:pt idx="311">
                  <c:v>15.9429</c:v>
                </c:pt>
                <c:pt idx="312">
                  <c:v>15.9757</c:v>
                </c:pt>
                <c:pt idx="313">
                  <c:v>16.078700000000001</c:v>
                </c:pt>
                <c:pt idx="314">
                  <c:v>16.086400000000001</c:v>
                </c:pt>
                <c:pt idx="315">
                  <c:v>16.167999999999999</c:v>
                </c:pt>
                <c:pt idx="316">
                  <c:v>16.319099999999999</c:v>
                </c:pt>
                <c:pt idx="317">
                  <c:v>16.325900000000001</c:v>
                </c:pt>
                <c:pt idx="318">
                  <c:v>16.331299999999999</c:v>
                </c:pt>
                <c:pt idx="319">
                  <c:v>16.4984</c:v>
                </c:pt>
                <c:pt idx="320">
                  <c:v>16.506799999999998</c:v>
                </c:pt>
                <c:pt idx="321">
                  <c:v>16.509</c:v>
                </c:pt>
                <c:pt idx="322">
                  <c:v>16.5274</c:v>
                </c:pt>
                <c:pt idx="323">
                  <c:v>16.552499999999998</c:v>
                </c:pt>
                <c:pt idx="324">
                  <c:v>16.564699999999998</c:v>
                </c:pt>
                <c:pt idx="325">
                  <c:v>16.6143</c:v>
                </c:pt>
                <c:pt idx="326">
                  <c:v>16.6937</c:v>
                </c:pt>
                <c:pt idx="327">
                  <c:v>16.718900000000001</c:v>
                </c:pt>
                <c:pt idx="328">
                  <c:v>16.7532</c:v>
                </c:pt>
                <c:pt idx="329">
                  <c:v>16.857700000000001</c:v>
                </c:pt>
                <c:pt idx="330">
                  <c:v>16.866099999999999</c:v>
                </c:pt>
                <c:pt idx="331">
                  <c:v>16.905000000000001</c:v>
                </c:pt>
                <c:pt idx="332">
                  <c:v>16.975999999999999</c:v>
                </c:pt>
                <c:pt idx="333">
                  <c:v>17.007999999999999</c:v>
                </c:pt>
                <c:pt idx="334">
                  <c:v>17.022500000000001</c:v>
                </c:pt>
                <c:pt idx="335">
                  <c:v>17.149899999999999</c:v>
                </c:pt>
                <c:pt idx="336">
                  <c:v>17.1568</c:v>
                </c:pt>
                <c:pt idx="337">
                  <c:v>17.166699999999999</c:v>
                </c:pt>
                <c:pt idx="338">
                  <c:v>17.218599999999999</c:v>
                </c:pt>
                <c:pt idx="339">
                  <c:v>17.2773</c:v>
                </c:pt>
                <c:pt idx="340">
                  <c:v>17.305599999999998</c:v>
                </c:pt>
                <c:pt idx="341">
                  <c:v>17.363600000000002</c:v>
                </c:pt>
                <c:pt idx="342">
                  <c:v>17.5001</c:v>
                </c:pt>
                <c:pt idx="343">
                  <c:v>17.574100000000001</c:v>
                </c:pt>
                <c:pt idx="344">
                  <c:v>17.616900000000001</c:v>
                </c:pt>
                <c:pt idx="345">
                  <c:v>17.795400000000001</c:v>
                </c:pt>
                <c:pt idx="346">
                  <c:v>17.808399999999999</c:v>
                </c:pt>
                <c:pt idx="347">
                  <c:v>17.837399999999999</c:v>
                </c:pt>
                <c:pt idx="348">
                  <c:v>17.936499999999999</c:v>
                </c:pt>
                <c:pt idx="349">
                  <c:v>18.1143</c:v>
                </c:pt>
                <c:pt idx="350">
                  <c:v>18.1158</c:v>
                </c:pt>
                <c:pt idx="351">
                  <c:v>18.298200000000001</c:v>
                </c:pt>
                <c:pt idx="352">
                  <c:v>18.3127</c:v>
                </c:pt>
                <c:pt idx="353">
                  <c:v>18.325700000000001</c:v>
                </c:pt>
                <c:pt idx="354">
                  <c:v>18.363800000000001</c:v>
                </c:pt>
                <c:pt idx="355">
                  <c:v>18.397400000000001</c:v>
                </c:pt>
                <c:pt idx="356">
                  <c:v>18.480499999999999</c:v>
                </c:pt>
                <c:pt idx="357">
                  <c:v>18.495799999999999</c:v>
                </c:pt>
                <c:pt idx="358">
                  <c:v>18.501899999999999</c:v>
                </c:pt>
                <c:pt idx="359">
                  <c:v>18.506499999999999</c:v>
                </c:pt>
                <c:pt idx="360">
                  <c:v>18.517900000000001</c:v>
                </c:pt>
                <c:pt idx="361">
                  <c:v>18.536999999999999</c:v>
                </c:pt>
                <c:pt idx="362">
                  <c:v>18.543900000000001</c:v>
                </c:pt>
                <c:pt idx="363">
                  <c:v>18.6568</c:v>
                </c:pt>
                <c:pt idx="364">
                  <c:v>18.672799999999999</c:v>
                </c:pt>
                <c:pt idx="365">
                  <c:v>18.764399999999998</c:v>
                </c:pt>
                <c:pt idx="366">
                  <c:v>18.8277</c:v>
                </c:pt>
                <c:pt idx="367">
                  <c:v>18.836099999999998</c:v>
                </c:pt>
                <c:pt idx="368">
                  <c:v>18.8506</c:v>
                </c:pt>
                <c:pt idx="369">
                  <c:v>18.8857</c:v>
                </c:pt>
                <c:pt idx="370">
                  <c:v>19.0352</c:v>
                </c:pt>
                <c:pt idx="371">
                  <c:v>19.0871</c:v>
                </c:pt>
                <c:pt idx="372">
                  <c:v>19.123699999999999</c:v>
                </c:pt>
                <c:pt idx="373">
                  <c:v>19.145099999999999</c:v>
                </c:pt>
                <c:pt idx="374">
                  <c:v>19.158000000000001</c:v>
                </c:pt>
                <c:pt idx="375">
                  <c:v>19.228200000000001</c:v>
                </c:pt>
                <c:pt idx="376">
                  <c:v>19.331199999999999</c:v>
                </c:pt>
                <c:pt idx="377">
                  <c:v>19.4709</c:v>
                </c:pt>
                <c:pt idx="378">
                  <c:v>19.521999999999998</c:v>
                </c:pt>
                <c:pt idx="379">
                  <c:v>19.5227</c:v>
                </c:pt>
                <c:pt idx="380">
                  <c:v>19.584499999999998</c:v>
                </c:pt>
                <c:pt idx="381">
                  <c:v>19.6235</c:v>
                </c:pt>
                <c:pt idx="382">
                  <c:v>19.6387</c:v>
                </c:pt>
                <c:pt idx="383">
                  <c:v>19.686800000000002</c:v>
                </c:pt>
                <c:pt idx="384">
                  <c:v>19.723400000000002</c:v>
                </c:pt>
                <c:pt idx="385">
                  <c:v>19.7593</c:v>
                </c:pt>
                <c:pt idx="386">
                  <c:v>19.767700000000001</c:v>
                </c:pt>
                <c:pt idx="387">
                  <c:v>19.772200000000002</c:v>
                </c:pt>
                <c:pt idx="388">
                  <c:v>19.790500000000002</c:v>
                </c:pt>
                <c:pt idx="389">
                  <c:v>19.836300000000001</c:v>
                </c:pt>
                <c:pt idx="390">
                  <c:v>19.863800000000001</c:v>
                </c:pt>
                <c:pt idx="391">
                  <c:v>19.970600000000001</c:v>
                </c:pt>
                <c:pt idx="392">
                  <c:v>20.078199999999999</c:v>
                </c:pt>
                <c:pt idx="393">
                  <c:v>20.087299999999999</c:v>
                </c:pt>
                <c:pt idx="394">
                  <c:v>20.093399999999999</c:v>
                </c:pt>
                <c:pt idx="395">
                  <c:v>20.135400000000001</c:v>
                </c:pt>
                <c:pt idx="396">
                  <c:v>20.147600000000001</c:v>
                </c:pt>
                <c:pt idx="397">
                  <c:v>20.182700000000001</c:v>
                </c:pt>
                <c:pt idx="398">
                  <c:v>20.203299999999999</c:v>
                </c:pt>
                <c:pt idx="399">
                  <c:v>20.2544</c:v>
                </c:pt>
                <c:pt idx="400">
                  <c:v>20.316199999999998</c:v>
                </c:pt>
                <c:pt idx="401">
                  <c:v>20.340599999999998</c:v>
                </c:pt>
                <c:pt idx="402">
                  <c:v>20.390999999999998</c:v>
                </c:pt>
                <c:pt idx="403">
                  <c:v>20.4238</c:v>
                </c:pt>
                <c:pt idx="404">
                  <c:v>20.4864</c:v>
                </c:pt>
                <c:pt idx="405">
                  <c:v>20.490200000000002</c:v>
                </c:pt>
                <c:pt idx="406">
                  <c:v>20.543600000000001</c:v>
                </c:pt>
                <c:pt idx="407">
                  <c:v>20.6023</c:v>
                </c:pt>
                <c:pt idx="408">
                  <c:v>20.665700000000001</c:v>
                </c:pt>
                <c:pt idx="409">
                  <c:v>20.697700000000001</c:v>
                </c:pt>
                <c:pt idx="410">
                  <c:v>20.771699999999999</c:v>
                </c:pt>
                <c:pt idx="411">
                  <c:v>20.775500000000001</c:v>
                </c:pt>
                <c:pt idx="412">
                  <c:v>20.814399999999999</c:v>
                </c:pt>
                <c:pt idx="413">
                  <c:v>20.821300000000001</c:v>
                </c:pt>
                <c:pt idx="414">
                  <c:v>20.847999999999999</c:v>
                </c:pt>
                <c:pt idx="415">
                  <c:v>20.983799999999999</c:v>
                </c:pt>
                <c:pt idx="416">
                  <c:v>20.9876</c:v>
                </c:pt>
                <c:pt idx="417">
                  <c:v>21.0899</c:v>
                </c:pt>
                <c:pt idx="418">
                  <c:v>21.1005</c:v>
                </c:pt>
                <c:pt idx="419">
                  <c:v>21.160799999999998</c:v>
                </c:pt>
                <c:pt idx="420">
                  <c:v>21.2882</c:v>
                </c:pt>
                <c:pt idx="421">
                  <c:v>21.289000000000001</c:v>
                </c:pt>
                <c:pt idx="422">
                  <c:v>21.406500000000001</c:v>
                </c:pt>
                <c:pt idx="423">
                  <c:v>21.509499999999999</c:v>
                </c:pt>
                <c:pt idx="424">
                  <c:v>21.556000000000001</c:v>
                </c:pt>
                <c:pt idx="425">
                  <c:v>21.571300000000001</c:v>
                </c:pt>
                <c:pt idx="426">
                  <c:v>21.7453</c:v>
                </c:pt>
                <c:pt idx="427">
                  <c:v>21.7559</c:v>
                </c:pt>
                <c:pt idx="428">
                  <c:v>21.7773</c:v>
                </c:pt>
                <c:pt idx="429">
                  <c:v>21.810099999999998</c:v>
                </c:pt>
                <c:pt idx="430">
                  <c:v>21.8551</c:v>
                </c:pt>
                <c:pt idx="431">
                  <c:v>21.8917</c:v>
                </c:pt>
                <c:pt idx="432">
                  <c:v>21.9894</c:v>
                </c:pt>
                <c:pt idx="433">
                  <c:v>22.060400000000001</c:v>
                </c:pt>
                <c:pt idx="434">
                  <c:v>22.174800000000001</c:v>
                </c:pt>
                <c:pt idx="435">
                  <c:v>22.303000000000001</c:v>
                </c:pt>
                <c:pt idx="436">
                  <c:v>22.358699999999999</c:v>
                </c:pt>
                <c:pt idx="437">
                  <c:v>22.4678</c:v>
                </c:pt>
                <c:pt idx="438">
                  <c:v>22.628</c:v>
                </c:pt>
                <c:pt idx="439">
                  <c:v>22.6951</c:v>
                </c:pt>
                <c:pt idx="440">
                  <c:v>22.7073</c:v>
                </c:pt>
                <c:pt idx="441">
                  <c:v>22.753900000000002</c:v>
                </c:pt>
                <c:pt idx="442">
                  <c:v>22.775300000000001</c:v>
                </c:pt>
                <c:pt idx="443">
                  <c:v>22.776</c:v>
                </c:pt>
                <c:pt idx="444">
                  <c:v>22.805</c:v>
                </c:pt>
                <c:pt idx="445">
                  <c:v>22.816500000000001</c:v>
                </c:pt>
                <c:pt idx="446">
                  <c:v>22.909500000000001</c:v>
                </c:pt>
                <c:pt idx="447">
                  <c:v>22.959900000000001</c:v>
                </c:pt>
                <c:pt idx="448">
                  <c:v>22.977399999999999</c:v>
                </c:pt>
                <c:pt idx="449">
                  <c:v>22.993500000000001</c:v>
                </c:pt>
                <c:pt idx="450">
                  <c:v>22.996500000000001</c:v>
                </c:pt>
                <c:pt idx="451">
                  <c:v>23.053699999999999</c:v>
                </c:pt>
                <c:pt idx="452">
                  <c:v>23.060600000000001</c:v>
                </c:pt>
                <c:pt idx="453">
                  <c:v>23.091100000000001</c:v>
                </c:pt>
                <c:pt idx="454">
                  <c:v>23.133099999999999</c:v>
                </c:pt>
                <c:pt idx="455">
                  <c:v>23.143000000000001</c:v>
                </c:pt>
                <c:pt idx="456">
                  <c:v>23.152200000000001</c:v>
                </c:pt>
                <c:pt idx="457">
                  <c:v>23.161300000000001</c:v>
                </c:pt>
                <c:pt idx="458">
                  <c:v>23.163599999999999</c:v>
                </c:pt>
                <c:pt idx="459">
                  <c:v>23.180399999999999</c:v>
                </c:pt>
                <c:pt idx="460">
                  <c:v>23.197199999999999</c:v>
                </c:pt>
                <c:pt idx="461">
                  <c:v>23.242899999999999</c:v>
                </c:pt>
                <c:pt idx="462">
                  <c:v>23.2651</c:v>
                </c:pt>
                <c:pt idx="463">
                  <c:v>23.291799999999999</c:v>
                </c:pt>
                <c:pt idx="464">
                  <c:v>23.300899999999999</c:v>
                </c:pt>
                <c:pt idx="465">
                  <c:v>23.328399999999998</c:v>
                </c:pt>
                <c:pt idx="466">
                  <c:v>23.3902</c:v>
                </c:pt>
                <c:pt idx="467">
                  <c:v>23.569500000000001</c:v>
                </c:pt>
                <c:pt idx="468">
                  <c:v>23.644300000000001</c:v>
                </c:pt>
                <c:pt idx="469">
                  <c:v>23.6496</c:v>
                </c:pt>
                <c:pt idx="470">
                  <c:v>23.702999999999999</c:v>
                </c:pt>
                <c:pt idx="471">
                  <c:v>23.787700000000001</c:v>
                </c:pt>
                <c:pt idx="472">
                  <c:v>23.924299999999999</c:v>
                </c:pt>
                <c:pt idx="473">
                  <c:v>23.951699999999999</c:v>
                </c:pt>
                <c:pt idx="474">
                  <c:v>23.9678</c:v>
                </c:pt>
                <c:pt idx="475">
                  <c:v>23.9998</c:v>
                </c:pt>
                <c:pt idx="476">
                  <c:v>24.082999999999998</c:v>
                </c:pt>
                <c:pt idx="477">
                  <c:v>24.096699999999998</c:v>
                </c:pt>
                <c:pt idx="478">
                  <c:v>24.099799999999998</c:v>
                </c:pt>
                <c:pt idx="479">
                  <c:v>24.145499999999998</c:v>
                </c:pt>
                <c:pt idx="480">
                  <c:v>24.1753</c:v>
                </c:pt>
                <c:pt idx="481">
                  <c:v>24.266100000000002</c:v>
                </c:pt>
                <c:pt idx="482">
                  <c:v>24.267600000000002</c:v>
                </c:pt>
                <c:pt idx="483">
                  <c:v>24.2775</c:v>
                </c:pt>
                <c:pt idx="484">
                  <c:v>24.2791</c:v>
                </c:pt>
                <c:pt idx="485">
                  <c:v>24.2989</c:v>
                </c:pt>
                <c:pt idx="486">
                  <c:v>24.510999999999999</c:v>
                </c:pt>
                <c:pt idx="487">
                  <c:v>24.530100000000001</c:v>
                </c:pt>
                <c:pt idx="488">
                  <c:v>24.575099999999999</c:v>
                </c:pt>
                <c:pt idx="489">
                  <c:v>24.605599999999999</c:v>
                </c:pt>
                <c:pt idx="490">
                  <c:v>24.716999999999999</c:v>
                </c:pt>
                <c:pt idx="491">
                  <c:v>24.806999999999999</c:v>
                </c:pt>
                <c:pt idx="492">
                  <c:v>24.8124</c:v>
                </c:pt>
                <c:pt idx="493">
                  <c:v>24.820799999999998</c:v>
                </c:pt>
                <c:pt idx="494">
                  <c:v>24.8414</c:v>
                </c:pt>
                <c:pt idx="495">
                  <c:v>24.845199999999998</c:v>
                </c:pt>
                <c:pt idx="496">
                  <c:v>24.848199999999999</c:v>
                </c:pt>
                <c:pt idx="497">
                  <c:v>25.0046</c:v>
                </c:pt>
                <c:pt idx="498">
                  <c:v>25.0092</c:v>
                </c:pt>
                <c:pt idx="499">
                  <c:v>25.020700000000001</c:v>
                </c:pt>
              </c:numCache>
            </c:numRef>
          </c:xVal>
          <c:yVal>
            <c:numRef>
              <c:f>'Least Squares Regression'!$B$6:$B$505</c:f>
              <c:numCache>
                <c:formatCode>General</c:formatCode>
                <c:ptCount val="500"/>
                <c:pt idx="0">
                  <c:v>0.88110834980653385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AB-491D-B2A7-AC76F3BD9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777248"/>
        <c:axId val="863774728"/>
      </c:scatterChart>
      <c:valAx>
        <c:axId val="86377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774728"/>
        <c:crosses val="autoZero"/>
        <c:crossBetween val="midCat"/>
      </c:valAx>
      <c:valAx>
        <c:axId val="86377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77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Newton Polynomial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Original</c:v>
          </c:tx>
          <c:spPr>
            <a:ln w="952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95000"/>
                  <a:lumOff val="5000"/>
                  <a:alpha val="31000"/>
                </a:schemeClr>
              </a:solidFill>
              <a:ln w="3175">
                <a:solidFill>
                  <a:schemeClr val="tx1">
                    <a:lumMod val="95000"/>
                    <a:lumOff val="5000"/>
                    <a:alpha val="95000"/>
                  </a:schemeClr>
                </a:solidFill>
                <a:round/>
              </a:ln>
              <a:effectLst/>
            </c:spPr>
          </c:marker>
          <c:xVal>
            <c:numRef>
              <c:f>Data!$A$1:$A$500</c:f>
              <c:numCache>
                <c:formatCode>General</c:formatCode>
                <c:ptCount val="500"/>
                <c:pt idx="0">
                  <c:v>0.1206</c:v>
                </c:pt>
                <c:pt idx="1">
                  <c:v>0.17858499999999999</c:v>
                </c:pt>
                <c:pt idx="2">
                  <c:v>0.26098500000000002</c:v>
                </c:pt>
                <c:pt idx="3">
                  <c:v>0.26632600000000001</c:v>
                </c:pt>
                <c:pt idx="4">
                  <c:v>0.42044399999999998</c:v>
                </c:pt>
                <c:pt idx="5">
                  <c:v>0.59363699999999997</c:v>
                </c:pt>
                <c:pt idx="6">
                  <c:v>0.67374800000000001</c:v>
                </c:pt>
                <c:pt idx="7">
                  <c:v>0.74622900000000003</c:v>
                </c:pt>
                <c:pt idx="8">
                  <c:v>0.75767399999999996</c:v>
                </c:pt>
                <c:pt idx="9">
                  <c:v>0.88508900000000001</c:v>
                </c:pt>
                <c:pt idx="10">
                  <c:v>0.89653300000000002</c:v>
                </c:pt>
                <c:pt idx="11">
                  <c:v>0.92628900000000003</c:v>
                </c:pt>
                <c:pt idx="12">
                  <c:v>0.96443699999999999</c:v>
                </c:pt>
                <c:pt idx="13">
                  <c:v>1.0132699999999999</c:v>
                </c:pt>
                <c:pt idx="14">
                  <c:v>1.0430200000000001</c:v>
                </c:pt>
                <c:pt idx="15">
                  <c:v>1.0437799999999999</c:v>
                </c:pt>
                <c:pt idx="16">
                  <c:v>1.0682</c:v>
                </c:pt>
                <c:pt idx="17">
                  <c:v>1.1048199999999999</c:v>
                </c:pt>
                <c:pt idx="18">
                  <c:v>1.1689099999999999</c:v>
                </c:pt>
                <c:pt idx="19">
                  <c:v>1.16967</c:v>
                </c:pt>
                <c:pt idx="20">
                  <c:v>1.1895100000000001</c:v>
                </c:pt>
                <c:pt idx="21">
                  <c:v>1.22461</c:v>
                </c:pt>
                <c:pt idx="22">
                  <c:v>1.2314700000000001</c:v>
                </c:pt>
                <c:pt idx="23">
                  <c:v>1.2841199999999999</c:v>
                </c:pt>
                <c:pt idx="24">
                  <c:v>1.30396</c:v>
                </c:pt>
                <c:pt idx="25">
                  <c:v>1.3077700000000001</c:v>
                </c:pt>
                <c:pt idx="26">
                  <c:v>1.4618899999999999</c:v>
                </c:pt>
                <c:pt idx="27">
                  <c:v>1.4802</c:v>
                </c:pt>
                <c:pt idx="28">
                  <c:v>1.49088</c:v>
                </c:pt>
                <c:pt idx="29">
                  <c:v>1.4946999999999999</c:v>
                </c:pt>
                <c:pt idx="30">
                  <c:v>1.5397099999999999</c:v>
                </c:pt>
                <c:pt idx="31">
                  <c:v>1.5679399999999999</c:v>
                </c:pt>
                <c:pt idx="32">
                  <c:v>1.65873</c:v>
                </c:pt>
                <c:pt idx="33">
                  <c:v>1.66178</c:v>
                </c:pt>
                <c:pt idx="34">
                  <c:v>1.71672</c:v>
                </c:pt>
                <c:pt idx="35">
                  <c:v>1.7548699999999999</c:v>
                </c:pt>
                <c:pt idx="36">
                  <c:v>1.8159000000000001</c:v>
                </c:pt>
                <c:pt idx="37">
                  <c:v>1.92424</c:v>
                </c:pt>
                <c:pt idx="38">
                  <c:v>1.9265300000000001</c:v>
                </c:pt>
                <c:pt idx="39">
                  <c:v>1.9532400000000001</c:v>
                </c:pt>
                <c:pt idx="40">
                  <c:v>2.00664</c:v>
                </c:pt>
                <c:pt idx="41">
                  <c:v>2.0501299999999998</c:v>
                </c:pt>
                <c:pt idx="42">
                  <c:v>2.08752</c:v>
                </c:pt>
                <c:pt idx="43">
                  <c:v>2.1180400000000001</c:v>
                </c:pt>
                <c:pt idx="44">
                  <c:v>2.1310099999999998</c:v>
                </c:pt>
                <c:pt idx="45">
                  <c:v>2.1928100000000001</c:v>
                </c:pt>
                <c:pt idx="46">
                  <c:v>2.2301899999999999</c:v>
                </c:pt>
                <c:pt idx="47">
                  <c:v>2.4712900000000002</c:v>
                </c:pt>
                <c:pt idx="48">
                  <c:v>2.5887799999999999</c:v>
                </c:pt>
                <c:pt idx="49">
                  <c:v>2.6040399999999999</c:v>
                </c:pt>
                <c:pt idx="50">
                  <c:v>2.6360899999999998</c:v>
                </c:pt>
                <c:pt idx="51">
                  <c:v>2.66737</c:v>
                </c:pt>
                <c:pt idx="52">
                  <c:v>2.7398500000000001</c:v>
                </c:pt>
                <c:pt idx="53">
                  <c:v>2.7581600000000002</c:v>
                </c:pt>
                <c:pt idx="54">
                  <c:v>2.76579</c:v>
                </c:pt>
                <c:pt idx="55">
                  <c:v>2.7711299999999999</c:v>
                </c:pt>
                <c:pt idx="56">
                  <c:v>2.7970700000000002</c:v>
                </c:pt>
                <c:pt idx="57">
                  <c:v>2.9740799999999998</c:v>
                </c:pt>
                <c:pt idx="58">
                  <c:v>2.9756100000000001</c:v>
                </c:pt>
                <c:pt idx="59">
                  <c:v>3.0610599999999999</c:v>
                </c:pt>
                <c:pt idx="60">
                  <c:v>3.0870000000000002</c:v>
                </c:pt>
                <c:pt idx="61">
                  <c:v>3.1015000000000001</c:v>
                </c:pt>
                <c:pt idx="62">
                  <c:v>3.13964</c:v>
                </c:pt>
                <c:pt idx="63">
                  <c:v>3.1549</c:v>
                </c:pt>
                <c:pt idx="64">
                  <c:v>3.26553</c:v>
                </c:pt>
                <c:pt idx="65">
                  <c:v>3.2716400000000001</c:v>
                </c:pt>
                <c:pt idx="66">
                  <c:v>3.28918</c:v>
                </c:pt>
                <c:pt idx="67">
                  <c:v>3.3830300000000002</c:v>
                </c:pt>
                <c:pt idx="68">
                  <c:v>3.5768200000000001</c:v>
                </c:pt>
                <c:pt idx="69">
                  <c:v>3.6256499999999998</c:v>
                </c:pt>
                <c:pt idx="70">
                  <c:v>3.6439599999999999</c:v>
                </c:pt>
                <c:pt idx="71">
                  <c:v>3.7240700000000002</c:v>
                </c:pt>
                <c:pt idx="72">
                  <c:v>3.7240700000000002</c:v>
                </c:pt>
                <c:pt idx="73">
                  <c:v>3.7278899999999999</c:v>
                </c:pt>
                <c:pt idx="74">
                  <c:v>3.72865</c:v>
                </c:pt>
                <c:pt idx="75">
                  <c:v>3.7362799999999998</c:v>
                </c:pt>
                <c:pt idx="76">
                  <c:v>3.7416200000000002</c:v>
                </c:pt>
                <c:pt idx="77">
                  <c:v>3.83928</c:v>
                </c:pt>
                <c:pt idx="78">
                  <c:v>3.86293</c:v>
                </c:pt>
                <c:pt idx="79">
                  <c:v>3.94381</c:v>
                </c:pt>
                <c:pt idx="80">
                  <c:v>3.9903499999999998</c:v>
                </c:pt>
                <c:pt idx="81">
                  <c:v>3.9933999999999998</c:v>
                </c:pt>
                <c:pt idx="82">
                  <c:v>4.117</c:v>
                </c:pt>
                <c:pt idx="83">
                  <c:v>4.12005</c:v>
                </c:pt>
                <c:pt idx="84">
                  <c:v>4.2985800000000003</c:v>
                </c:pt>
                <c:pt idx="85">
                  <c:v>4.3115500000000004</c:v>
                </c:pt>
                <c:pt idx="86">
                  <c:v>4.3313899999999999</c:v>
                </c:pt>
                <c:pt idx="87">
                  <c:v>4.3367300000000002</c:v>
                </c:pt>
                <c:pt idx="88">
                  <c:v>4.4137899999999997</c:v>
                </c:pt>
                <c:pt idx="89">
                  <c:v>4.4435500000000001</c:v>
                </c:pt>
                <c:pt idx="90">
                  <c:v>4.4565200000000003</c:v>
                </c:pt>
                <c:pt idx="91">
                  <c:v>4.4862700000000002</c:v>
                </c:pt>
                <c:pt idx="92">
                  <c:v>4.5007700000000002</c:v>
                </c:pt>
                <c:pt idx="93">
                  <c:v>4.5785900000000002</c:v>
                </c:pt>
                <c:pt idx="94">
                  <c:v>4.5793499999999998</c:v>
                </c:pt>
                <c:pt idx="95">
                  <c:v>4.5953799999999996</c:v>
                </c:pt>
                <c:pt idx="96">
                  <c:v>4.6648100000000001</c:v>
                </c:pt>
                <c:pt idx="97">
                  <c:v>4.8021399999999996</c:v>
                </c:pt>
                <c:pt idx="98">
                  <c:v>4.8494400000000004</c:v>
                </c:pt>
                <c:pt idx="99">
                  <c:v>5.10656</c:v>
                </c:pt>
                <c:pt idx="100">
                  <c:v>5.2232900000000004</c:v>
                </c:pt>
                <c:pt idx="101">
                  <c:v>5.2370299999999999</c:v>
                </c:pt>
                <c:pt idx="102">
                  <c:v>5.2843299999999997</c:v>
                </c:pt>
                <c:pt idx="103">
                  <c:v>5.2911999999999999</c:v>
                </c:pt>
                <c:pt idx="104">
                  <c:v>5.3156100000000004</c:v>
                </c:pt>
                <c:pt idx="105">
                  <c:v>5.38809</c:v>
                </c:pt>
                <c:pt idx="106">
                  <c:v>5.4254800000000003</c:v>
                </c:pt>
                <c:pt idx="107">
                  <c:v>5.5590000000000002</c:v>
                </c:pt>
                <c:pt idx="108">
                  <c:v>5.6406400000000003</c:v>
                </c:pt>
                <c:pt idx="109">
                  <c:v>5.70167</c:v>
                </c:pt>
                <c:pt idx="110">
                  <c:v>5.7695800000000004</c:v>
                </c:pt>
                <c:pt idx="111">
                  <c:v>5.8008600000000001</c:v>
                </c:pt>
                <c:pt idx="112">
                  <c:v>5.8870699999999996</c:v>
                </c:pt>
                <c:pt idx="113">
                  <c:v>5.9084399999999997</c:v>
                </c:pt>
                <c:pt idx="114">
                  <c:v>5.9160599999999999</c:v>
                </c:pt>
                <c:pt idx="115">
                  <c:v>5.9305599999999998</c:v>
                </c:pt>
                <c:pt idx="116">
                  <c:v>5.9534500000000001</c:v>
                </c:pt>
                <c:pt idx="117">
                  <c:v>5.9580299999999999</c:v>
                </c:pt>
                <c:pt idx="118">
                  <c:v>6.0053299999999998</c:v>
                </c:pt>
                <c:pt idx="119">
                  <c:v>6.0434799999999997</c:v>
                </c:pt>
                <c:pt idx="120">
                  <c:v>6.0579799999999997</c:v>
                </c:pt>
                <c:pt idx="121">
                  <c:v>6.1495300000000004</c:v>
                </c:pt>
                <c:pt idx="122">
                  <c:v>6.2502399999999998</c:v>
                </c:pt>
                <c:pt idx="123">
                  <c:v>6.2899200000000004</c:v>
                </c:pt>
                <c:pt idx="124">
                  <c:v>6.3372200000000003</c:v>
                </c:pt>
                <c:pt idx="125">
                  <c:v>6.3837599999999997</c:v>
                </c:pt>
                <c:pt idx="126">
                  <c:v>6.5638199999999998</c:v>
                </c:pt>
                <c:pt idx="127">
                  <c:v>6.5691600000000001</c:v>
                </c:pt>
                <c:pt idx="128">
                  <c:v>6.6408800000000001</c:v>
                </c:pt>
                <c:pt idx="129">
                  <c:v>6.6515599999999999</c:v>
                </c:pt>
                <c:pt idx="130">
                  <c:v>6.6706399999999997</c:v>
                </c:pt>
                <c:pt idx="131">
                  <c:v>6.82552</c:v>
                </c:pt>
                <c:pt idx="132">
                  <c:v>6.8407799999999996</c:v>
                </c:pt>
                <c:pt idx="133">
                  <c:v>6.8934199999999999</c:v>
                </c:pt>
                <c:pt idx="134">
                  <c:v>6.9514100000000001</c:v>
                </c:pt>
                <c:pt idx="135">
                  <c:v>6.9994699999999996</c:v>
                </c:pt>
                <c:pt idx="136">
                  <c:v>7.0254099999999999</c:v>
                </c:pt>
                <c:pt idx="137">
                  <c:v>7.0422000000000002</c:v>
                </c:pt>
                <c:pt idx="138">
                  <c:v>7.07348</c:v>
                </c:pt>
                <c:pt idx="139">
                  <c:v>7.1177299999999999</c:v>
                </c:pt>
                <c:pt idx="140">
                  <c:v>7.1429099999999996</c:v>
                </c:pt>
                <c:pt idx="141">
                  <c:v>7.1718999999999999</c:v>
                </c:pt>
                <c:pt idx="142">
                  <c:v>7.1780099999999996</c:v>
                </c:pt>
                <c:pt idx="143">
                  <c:v>7.2100499999999998</c:v>
                </c:pt>
                <c:pt idx="144">
                  <c:v>7.2306499999999998</c:v>
                </c:pt>
                <c:pt idx="145">
                  <c:v>7.3016100000000002</c:v>
                </c:pt>
                <c:pt idx="146">
                  <c:v>7.3588300000000002</c:v>
                </c:pt>
                <c:pt idx="147">
                  <c:v>7.37561</c:v>
                </c:pt>
                <c:pt idx="148">
                  <c:v>7.39011</c:v>
                </c:pt>
                <c:pt idx="149">
                  <c:v>7.5297299999999998</c:v>
                </c:pt>
                <c:pt idx="150">
                  <c:v>7.6250999999999998</c:v>
                </c:pt>
                <c:pt idx="151">
                  <c:v>7.6777499999999996</c:v>
                </c:pt>
                <c:pt idx="152">
                  <c:v>7.74641</c:v>
                </c:pt>
                <c:pt idx="153">
                  <c:v>7.7487000000000004</c:v>
                </c:pt>
                <c:pt idx="154">
                  <c:v>7.7799800000000001</c:v>
                </c:pt>
                <c:pt idx="155">
                  <c:v>7.8272899999999996</c:v>
                </c:pt>
                <c:pt idx="156">
                  <c:v>7.9608100000000004</c:v>
                </c:pt>
                <c:pt idx="157">
                  <c:v>8.0607500000000005</c:v>
                </c:pt>
                <c:pt idx="158">
                  <c:v>8.2041900000000005</c:v>
                </c:pt>
                <c:pt idx="159">
                  <c:v>8.2423400000000004</c:v>
                </c:pt>
                <c:pt idx="160">
                  <c:v>8.2782</c:v>
                </c:pt>
                <c:pt idx="161">
                  <c:v>8.3102400000000003</c:v>
                </c:pt>
                <c:pt idx="162">
                  <c:v>8.3491499999999998</c:v>
                </c:pt>
                <c:pt idx="163">
                  <c:v>8.3666999999999998</c:v>
                </c:pt>
                <c:pt idx="164">
                  <c:v>8.4254499999999997</c:v>
                </c:pt>
                <c:pt idx="165">
                  <c:v>8.4536800000000003</c:v>
                </c:pt>
                <c:pt idx="166">
                  <c:v>8.6291600000000006</c:v>
                </c:pt>
                <c:pt idx="167">
                  <c:v>8.6467100000000006</c:v>
                </c:pt>
                <c:pt idx="168">
                  <c:v>8.7024000000000008</c:v>
                </c:pt>
                <c:pt idx="169">
                  <c:v>8.7748899999999992</c:v>
                </c:pt>
                <c:pt idx="170">
                  <c:v>8.7954899999999991</c:v>
                </c:pt>
                <c:pt idx="171">
                  <c:v>8.8450799999999994</c:v>
                </c:pt>
                <c:pt idx="172">
                  <c:v>8.8580500000000004</c:v>
                </c:pt>
                <c:pt idx="173">
                  <c:v>8.8595799999999993</c:v>
                </c:pt>
                <c:pt idx="174">
                  <c:v>8.8694900000000008</c:v>
                </c:pt>
                <c:pt idx="175">
                  <c:v>8.89086</c:v>
                </c:pt>
                <c:pt idx="176">
                  <c:v>8.9160299999999992</c:v>
                </c:pt>
                <c:pt idx="177">
                  <c:v>8.9244299999999992</c:v>
                </c:pt>
                <c:pt idx="178">
                  <c:v>8.9923300000000008</c:v>
                </c:pt>
                <c:pt idx="179">
                  <c:v>9.0022500000000001</c:v>
                </c:pt>
                <c:pt idx="180">
                  <c:v>9.032</c:v>
                </c:pt>
                <c:pt idx="181">
                  <c:v>9.0548900000000003</c:v>
                </c:pt>
                <c:pt idx="182">
                  <c:v>9.0831199999999992</c:v>
                </c:pt>
                <c:pt idx="183">
                  <c:v>9.0907499999999999</c:v>
                </c:pt>
                <c:pt idx="184">
                  <c:v>9.0915199999999992</c:v>
                </c:pt>
                <c:pt idx="185">
                  <c:v>9.0937999999999999</c:v>
                </c:pt>
                <c:pt idx="186">
                  <c:v>9.1143999999999998</c:v>
                </c:pt>
                <c:pt idx="187">
                  <c:v>9.1143999999999998</c:v>
                </c:pt>
                <c:pt idx="188">
                  <c:v>9.1815499999999997</c:v>
                </c:pt>
                <c:pt idx="189">
                  <c:v>9.1861200000000007</c:v>
                </c:pt>
                <c:pt idx="190">
                  <c:v>9.3074300000000001</c:v>
                </c:pt>
                <c:pt idx="191">
                  <c:v>9.33948</c:v>
                </c:pt>
                <c:pt idx="192">
                  <c:v>9.3646600000000007</c:v>
                </c:pt>
                <c:pt idx="193">
                  <c:v>9.3768600000000006</c:v>
                </c:pt>
                <c:pt idx="194">
                  <c:v>9.4073799999999999</c:v>
                </c:pt>
                <c:pt idx="195">
                  <c:v>9.4371399999999994</c:v>
                </c:pt>
                <c:pt idx="196">
                  <c:v>9.4661299999999997</c:v>
                </c:pt>
                <c:pt idx="197">
                  <c:v>9.6004100000000001</c:v>
                </c:pt>
                <c:pt idx="198">
                  <c:v>9.6614500000000003</c:v>
                </c:pt>
                <c:pt idx="199">
                  <c:v>9.9910499999999995</c:v>
                </c:pt>
                <c:pt idx="200">
                  <c:v>10.037599999999999</c:v>
                </c:pt>
                <c:pt idx="201">
                  <c:v>10.047499999999999</c:v>
                </c:pt>
                <c:pt idx="202">
                  <c:v>10.111599999999999</c:v>
                </c:pt>
                <c:pt idx="203">
                  <c:v>10.274100000000001</c:v>
                </c:pt>
                <c:pt idx="204">
                  <c:v>10.3611</c:v>
                </c:pt>
                <c:pt idx="205">
                  <c:v>10.4381</c:v>
                </c:pt>
                <c:pt idx="206">
                  <c:v>10.4435</c:v>
                </c:pt>
                <c:pt idx="207">
                  <c:v>10.4847</c:v>
                </c:pt>
                <c:pt idx="208">
                  <c:v>10.4877</c:v>
                </c:pt>
                <c:pt idx="209">
                  <c:v>10.5465</c:v>
                </c:pt>
                <c:pt idx="210">
                  <c:v>10.831099999999999</c:v>
                </c:pt>
                <c:pt idx="211">
                  <c:v>10.873799999999999</c:v>
                </c:pt>
                <c:pt idx="212">
                  <c:v>10.911899999999999</c:v>
                </c:pt>
                <c:pt idx="213">
                  <c:v>10.935600000000001</c:v>
                </c:pt>
                <c:pt idx="214">
                  <c:v>11.2255</c:v>
                </c:pt>
                <c:pt idx="215">
                  <c:v>11.2377</c:v>
                </c:pt>
                <c:pt idx="216">
                  <c:v>11.2431</c:v>
                </c:pt>
                <c:pt idx="217">
                  <c:v>11.3217</c:v>
                </c:pt>
                <c:pt idx="218">
                  <c:v>11.3659</c:v>
                </c:pt>
                <c:pt idx="219">
                  <c:v>11.3705</c:v>
                </c:pt>
                <c:pt idx="220">
                  <c:v>11.3705</c:v>
                </c:pt>
                <c:pt idx="221">
                  <c:v>11.4186</c:v>
                </c:pt>
                <c:pt idx="222">
                  <c:v>11.462</c:v>
                </c:pt>
                <c:pt idx="223">
                  <c:v>11.702400000000001</c:v>
                </c:pt>
                <c:pt idx="224">
                  <c:v>11.741300000000001</c:v>
                </c:pt>
                <c:pt idx="225">
                  <c:v>11.753500000000001</c:v>
                </c:pt>
                <c:pt idx="226">
                  <c:v>11.767200000000001</c:v>
                </c:pt>
                <c:pt idx="227">
                  <c:v>11.796200000000001</c:v>
                </c:pt>
                <c:pt idx="228">
                  <c:v>11.8565</c:v>
                </c:pt>
                <c:pt idx="229">
                  <c:v>11.9122</c:v>
                </c:pt>
                <c:pt idx="230">
                  <c:v>11.9152</c:v>
                </c:pt>
                <c:pt idx="231">
                  <c:v>11.929</c:v>
                </c:pt>
                <c:pt idx="232">
                  <c:v>11.9503</c:v>
                </c:pt>
                <c:pt idx="233">
                  <c:v>11.9732</c:v>
                </c:pt>
                <c:pt idx="234">
                  <c:v>11.9938</c:v>
                </c:pt>
                <c:pt idx="235">
                  <c:v>12.0213</c:v>
                </c:pt>
                <c:pt idx="236">
                  <c:v>12.0251</c:v>
                </c:pt>
                <c:pt idx="237">
                  <c:v>12.0526</c:v>
                </c:pt>
                <c:pt idx="238">
                  <c:v>12.2059</c:v>
                </c:pt>
                <c:pt idx="239">
                  <c:v>12.2212</c:v>
                </c:pt>
                <c:pt idx="240">
                  <c:v>12.373799999999999</c:v>
                </c:pt>
                <c:pt idx="241">
                  <c:v>12.424099999999999</c:v>
                </c:pt>
                <c:pt idx="242">
                  <c:v>12.510400000000001</c:v>
                </c:pt>
                <c:pt idx="243">
                  <c:v>12.563800000000001</c:v>
                </c:pt>
                <c:pt idx="244">
                  <c:v>12.572900000000001</c:v>
                </c:pt>
                <c:pt idx="245">
                  <c:v>12.6805</c:v>
                </c:pt>
                <c:pt idx="246">
                  <c:v>12.7324</c:v>
                </c:pt>
                <c:pt idx="247">
                  <c:v>12.7507</c:v>
                </c:pt>
                <c:pt idx="248">
                  <c:v>12.7675</c:v>
                </c:pt>
                <c:pt idx="249">
                  <c:v>12.8552</c:v>
                </c:pt>
                <c:pt idx="250">
                  <c:v>12.875</c:v>
                </c:pt>
                <c:pt idx="251">
                  <c:v>12.9361</c:v>
                </c:pt>
                <c:pt idx="252">
                  <c:v>12.9613</c:v>
                </c:pt>
                <c:pt idx="253">
                  <c:v>12.9864</c:v>
                </c:pt>
                <c:pt idx="254">
                  <c:v>13.065799999999999</c:v>
                </c:pt>
                <c:pt idx="255">
                  <c:v>13.098599999999999</c:v>
                </c:pt>
                <c:pt idx="256">
                  <c:v>13.171799999999999</c:v>
                </c:pt>
                <c:pt idx="257">
                  <c:v>13.193199999999999</c:v>
                </c:pt>
                <c:pt idx="258">
                  <c:v>13.3992</c:v>
                </c:pt>
                <c:pt idx="259">
                  <c:v>13.4168</c:v>
                </c:pt>
                <c:pt idx="260">
                  <c:v>13.6281</c:v>
                </c:pt>
                <c:pt idx="261">
                  <c:v>13.6372</c:v>
                </c:pt>
                <c:pt idx="262">
                  <c:v>13.6395</c:v>
                </c:pt>
                <c:pt idx="263">
                  <c:v>13.6609</c:v>
                </c:pt>
                <c:pt idx="264">
                  <c:v>13.6655</c:v>
                </c:pt>
                <c:pt idx="265">
                  <c:v>13.6731</c:v>
                </c:pt>
                <c:pt idx="266">
                  <c:v>13.6846</c:v>
                </c:pt>
                <c:pt idx="267">
                  <c:v>13.797499999999999</c:v>
                </c:pt>
                <c:pt idx="268">
                  <c:v>13.879099999999999</c:v>
                </c:pt>
                <c:pt idx="269">
                  <c:v>13.970700000000001</c:v>
                </c:pt>
                <c:pt idx="270">
                  <c:v>13.979799999999999</c:v>
                </c:pt>
                <c:pt idx="271">
                  <c:v>14.044700000000001</c:v>
                </c:pt>
                <c:pt idx="272">
                  <c:v>14.078200000000001</c:v>
                </c:pt>
                <c:pt idx="273">
                  <c:v>14.2163</c:v>
                </c:pt>
                <c:pt idx="274">
                  <c:v>14.2285</c:v>
                </c:pt>
                <c:pt idx="275">
                  <c:v>14.2545</c:v>
                </c:pt>
                <c:pt idx="276">
                  <c:v>14.2713</c:v>
                </c:pt>
                <c:pt idx="277">
                  <c:v>14.2812</c:v>
                </c:pt>
                <c:pt idx="278">
                  <c:v>14.3216</c:v>
                </c:pt>
                <c:pt idx="279">
                  <c:v>14.3399</c:v>
                </c:pt>
                <c:pt idx="280">
                  <c:v>14.459</c:v>
                </c:pt>
                <c:pt idx="281">
                  <c:v>14.4727</c:v>
                </c:pt>
                <c:pt idx="282">
                  <c:v>14.5223</c:v>
                </c:pt>
                <c:pt idx="283">
                  <c:v>14.567299999999999</c:v>
                </c:pt>
                <c:pt idx="284">
                  <c:v>14.5848</c:v>
                </c:pt>
                <c:pt idx="285">
                  <c:v>14.634399999999999</c:v>
                </c:pt>
                <c:pt idx="286">
                  <c:v>14.9518</c:v>
                </c:pt>
                <c:pt idx="287">
                  <c:v>14.9923</c:v>
                </c:pt>
                <c:pt idx="288">
                  <c:v>15.1296</c:v>
                </c:pt>
                <c:pt idx="289">
                  <c:v>15.1365</c:v>
                </c:pt>
                <c:pt idx="290">
                  <c:v>15.154</c:v>
                </c:pt>
                <c:pt idx="291">
                  <c:v>15.1678</c:v>
                </c:pt>
                <c:pt idx="292">
                  <c:v>15.183</c:v>
                </c:pt>
                <c:pt idx="293">
                  <c:v>15.2448</c:v>
                </c:pt>
                <c:pt idx="294">
                  <c:v>15.2997</c:v>
                </c:pt>
                <c:pt idx="295">
                  <c:v>15.3142</c:v>
                </c:pt>
                <c:pt idx="296">
                  <c:v>15.356199999999999</c:v>
                </c:pt>
                <c:pt idx="297">
                  <c:v>15.398199999999999</c:v>
                </c:pt>
                <c:pt idx="298">
                  <c:v>15.416499999999999</c:v>
                </c:pt>
                <c:pt idx="299">
                  <c:v>15.466100000000001</c:v>
                </c:pt>
                <c:pt idx="300">
                  <c:v>15.518000000000001</c:v>
                </c:pt>
                <c:pt idx="301">
                  <c:v>15.577500000000001</c:v>
                </c:pt>
                <c:pt idx="302">
                  <c:v>15.6271</c:v>
                </c:pt>
                <c:pt idx="303">
                  <c:v>15.632400000000001</c:v>
                </c:pt>
                <c:pt idx="304">
                  <c:v>15.666700000000001</c:v>
                </c:pt>
                <c:pt idx="305">
                  <c:v>15.7095</c:v>
                </c:pt>
                <c:pt idx="306">
                  <c:v>15.7354</c:v>
                </c:pt>
                <c:pt idx="307">
                  <c:v>15.7438</c:v>
                </c:pt>
                <c:pt idx="308">
                  <c:v>15.7606</c:v>
                </c:pt>
                <c:pt idx="309">
                  <c:v>15.814</c:v>
                </c:pt>
                <c:pt idx="310">
                  <c:v>15.8918</c:v>
                </c:pt>
                <c:pt idx="311">
                  <c:v>15.9429</c:v>
                </c:pt>
                <c:pt idx="312">
                  <c:v>15.9757</c:v>
                </c:pt>
                <c:pt idx="313">
                  <c:v>16.078700000000001</c:v>
                </c:pt>
                <c:pt idx="314">
                  <c:v>16.086400000000001</c:v>
                </c:pt>
                <c:pt idx="315">
                  <c:v>16.167999999999999</c:v>
                </c:pt>
                <c:pt idx="316">
                  <c:v>16.319099999999999</c:v>
                </c:pt>
                <c:pt idx="317">
                  <c:v>16.325900000000001</c:v>
                </c:pt>
                <c:pt idx="318">
                  <c:v>16.331299999999999</c:v>
                </c:pt>
                <c:pt idx="319">
                  <c:v>16.4984</c:v>
                </c:pt>
                <c:pt idx="320">
                  <c:v>16.506799999999998</c:v>
                </c:pt>
                <c:pt idx="321">
                  <c:v>16.509</c:v>
                </c:pt>
                <c:pt idx="322">
                  <c:v>16.5274</c:v>
                </c:pt>
                <c:pt idx="323">
                  <c:v>16.552499999999998</c:v>
                </c:pt>
                <c:pt idx="324">
                  <c:v>16.564699999999998</c:v>
                </c:pt>
                <c:pt idx="325">
                  <c:v>16.6143</c:v>
                </c:pt>
                <c:pt idx="326">
                  <c:v>16.6937</c:v>
                </c:pt>
                <c:pt idx="327">
                  <c:v>16.718900000000001</c:v>
                </c:pt>
                <c:pt idx="328">
                  <c:v>16.7532</c:v>
                </c:pt>
                <c:pt idx="329">
                  <c:v>16.857700000000001</c:v>
                </c:pt>
                <c:pt idx="330">
                  <c:v>16.866099999999999</c:v>
                </c:pt>
                <c:pt idx="331">
                  <c:v>16.905000000000001</c:v>
                </c:pt>
                <c:pt idx="332">
                  <c:v>16.975999999999999</c:v>
                </c:pt>
                <c:pt idx="333">
                  <c:v>17.007999999999999</c:v>
                </c:pt>
                <c:pt idx="334">
                  <c:v>17.022500000000001</c:v>
                </c:pt>
                <c:pt idx="335">
                  <c:v>17.149899999999999</c:v>
                </c:pt>
                <c:pt idx="336">
                  <c:v>17.1568</c:v>
                </c:pt>
                <c:pt idx="337">
                  <c:v>17.166699999999999</c:v>
                </c:pt>
                <c:pt idx="338">
                  <c:v>17.218599999999999</c:v>
                </c:pt>
                <c:pt idx="339">
                  <c:v>17.2773</c:v>
                </c:pt>
                <c:pt idx="340">
                  <c:v>17.305599999999998</c:v>
                </c:pt>
                <c:pt idx="341">
                  <c:v>17.363600000000002</c:v>
                </c:pt>
                <c:pt idx="342">
                  <c:v>17.5001</c:v>
                </c:pt>
                <c:pt idx="343">
                  <c:v>17.574100000000001</c:v>
                </c:pt>
                <c:pt idx="344">
                  <c:v>17.616900000000001</c:v>
                </c:pt>
                <c:pt idx="345">
                  <c:v>17.795400000000001</c:v>
                </c:pt>
                <c:pt idx="346">
                  <c:v>17.808399999999999</c:v>
                </c:pt>
                <c:pt idx="347">
                  <c:v>17.837399999999999</c:v>
                </c:pt>
                <c:pt idx="348">
                  <c:v>17.936499999999999</c:v>
                </c:pt>
                <c:pt idx="349">
                  <c:v>18.1143</c:v>
                </c:pt>
                <c:pt idx="350">
                  <c:v>18.1158</c:v>
                </c:pt>
                <c:pt idx="351">
                  <c:v>18.298200000000001</c:v>
                </c:pt>
                <c:pt idx="352">
                  <c:v>18.3127</c:v>
                </c:pt>
                <c:pt idx="353">
                  <c:v>18.325700000000001</c:v>
                </c:pt>
                <c:pt idx="354">
                  <c:v>18.363800000000001</c:v>
                </c:pt>
                <c:pt idx="355">
                  <c:v>18.397400000000001</c:v>
                </c:pt>
                <c:pt idx="356">
                  <c:v>18.480499999999999</c:v>
                </c:pt>
                <c:pt idx="357">
                  <c:v>18.495799999999999</c:v>
                </c:pt>
                <c:pt idx="358">
                  <c:v>18.501899999999999</c:v>
                </c:pt>
                <c:pt idx="359">
                  <c:v>18.506499999999999</c:v>
                </c:pt>
                <c:pt idx="360">
                  <c:v>18.517900000000001</c:v>
                </c:pt>
                <c:pt idx="361">
                  <c:v>18.536999999999999</c:v>
                </c:pt>
                <c:pt idx="362">
                  <c:v>18.543900000000001</c:v>
                </c:pt>
                <c:pt idx="363">
                  <c:v>18.6568</c:v>
                </c:pt>
                <c:pt idx="364">
                  <c:v>18.672799999999999</c:v>
                </c:pt>
                <c:pt idx="365">
                  <c:v>18.764399999999998</c:v>
                </c:pt>
                <c:pt idx="366">
                  <c:v>18.8277</c:v>
                </c:pt>
                <c:pt idx="367">
                  <c:v>18.836099999999998</c:v>
                </c:pt>
                <c:pt idx="368">
                  <c:v>18.8506</c:v>
                </c:pt>
                <c:pt idx="369">
                  <c:v>18.8857</c:v>
                </c:pt>
                <c:pt idx="370">
                  <c:v>19.0352</c:v>
                </c:pt>
                <c:pt idx="371">
                  <c:v>19.0871</c:v>
                </c:pt>
                <c:pt idx="372">
                  <c:v>19.123699999999999</c:v>
                </c:pt>
                <c:pt idx="373">
                  <c:v>19.145099999999999</c:v>
                </c:pt>
                <c:pt idx="374">
                  <c:v>19.158000000000001</c:v>
                </c:pt>
                <c:pt idx="375">
                  <c:v>19.228200000000001</c:v>
                </c:pt>
                <c:pt idx="376">
                  <c:v>19.331199999999999</c:v>
                </c:pt>
                <c:pt idx="377">
                  <c:v>19.4709</c:v>
                </c:pt>
                <c:pt idx="378">
                  <c:v>19.521999999999998</c:v>
                </c:pt>
                <c:pt idx="379">
                  <c:v>19.5227</c:v>
                </c:pt>
                <c:pt idx="380">
                  <c:v>19.584499999999998</c:v>
                </c:pt>
                <c:pt idx="381">
                  <c:v>19.6235</c:v>
                </c:pt>
                <c:pt idx="382">
                  <c:v>19.6387</c:v>
                </c:pt>
                <c:pt idx="383">
                  <c:v>19.686800000000002</c:v>
                </c:pt>
                <c:pt idx="384">
                  <c:v>19.723400000000002</c:v>
                </c:pt>
                <c:pt idx="385">
                  <c:v>19.7593</c:v>
                </c:pt>
                <c:pt idx="386">
                  <c:v>19.767700000000001</c:v>
                </c:pt>
                <c:pt idx="387">
                  <c:v>19.772200000000002</c:v>
                </c:pt>
                <c:pt idx="388">
                  <c:v>19.790500000000002</c:v>
                </c:pt>
                <c:pt idx="389">
                  <c:v>19.836300000000001</c:v>
                </c:pt>
                <c:pt idx="390">
                  <c:v>19.863800000000001</c:v>
                </c:pt>
                <c:pt idx="391">
                  <c:v>19.970600000000001</c:v>
                </c:pt>
                <c:pt idx="392">
                  <c:v>20.078199999999999</c:v>
                </c:pt>
                <c:pt idx="393">
                  <c:v>20.087299999999999</c:v>
                </c:pt>
                <c:pt idx="394">
                  <c:v>20.093399999999999</c:v>
                </c:pt>
                <c:pt idx="395">
                  <c:v>20.135400000000001</c:v>
                </c:pt>
                <c:pt idx="396">
                  <c:v>20.147600000000001</c:v>
                </c:pt>
                <c:pt idx="397">
                  <c:v>20.182700000000001</c:v>
                </c:pt>
                <c:pt idx="398">
                  <c:v>20.203299999999999</c:v>
                </c:pt>
                <c:pt idx="399">
                  <c:v>20.2544</c:v>
                </c:pt>
                <c:pt idx="400">
                  <c:v>20.316199999999998</c:v>
                </c:pt>
                <c:pt idx="401">
                  <c:v>20.340599999999998</c:v>
                </c:pt>
                <c:pt idx="402">
                  <c:v>20.390999999999998</c:v>
                </c:pt>
                <c:pt idx="403">
                  <c:v>20.4238</c:v>
                </c:pt>
                <c:pt idx="404">
                  <c:v>20.4864</c:v>
                </c:pt>
                <c:pt idx="405">
                  <c:v>20.490200000000002</c:v>
                </c:pt>
                <c:pt idx="406">
                  <c:v>20.543600000000001</c:v>
                </c:pt>
                <c:pt idx="407">
                  <c:v>20.6023</c:v>
                </c:pt>
                <c:pt idx="408">
                  <c:v>20.665700000000001</c:v>
                </c:pt>
                <c:pt idx="409">
                  <c:v>20.697700000000001</c:v>
                </c:pt>
                <c:pt idx="410">
                  <c:v>20.771699999999999</c:v>
                </c:pt>
                <c:pt idx="411">
                  <c:v>20.775500000000001</c:v>
                </c:pt>
                <c:pt idx="412">
                  <c:v>20.814399999999999</c:v>
                </c:pt>
                <c:pt idx="413">
                  <c:v>20.821300000000001</c:v>
                </c:pt>
                <c:pt idx="414">
                  <c:v>20.847999999999999</c:v>
                </c:pt>
                <c:pt idx="415">
                  <c:v>20.983799999999999</c:v>
                </c:pt>
                <c:pt idx="416">
                  <c:v>20.9876</c:v>
                </c:pt>
                <c:pt idx="417">
                  <c:v>21.0899</c:v>
                </c:pt>
                <c:pt idx="418">
                  <c:v>21.1005</c:v>
                </c:pt>
                <c:pt idx="419">
                  <c:v>21.160799999999998</c:v>
                </c:pt>
                <c:pt idx="420">
                  <c:v>21.2882</c:v>
                </c:pt>
                <c:pt idx="421">
                  <c:v>21.289000000000001</c:v>
                </c:pt>
                <c:pt idx="422">
                  <c:v>21.406500000000001</c:v>
                </c:pt>
                <c:pt idx="423">
                  <c:v>21.509499999999999</c:v>
                </c:pt>
                <c:pt idx="424">
                  <c:v>21.556000000000001</c:v>
                </c:pt>
                <c:pt idx="425">
                  <c:v>21.571300000000001</c:v>
                </c:pt>
                <c:pt idx="426">
                  <c:v>21.7453</c:v>
                </c:pt>
                <c:pt idx="427">
                  <c:v>21.7559</c:v>
                </c:pt>
                <c:pt idx="428">
                  <c:v>21.7773</c:v>
                </c:pt>
                <c:pt idx="429">
                  <c:v>21.810099999999998</c:v>
                </c:pt>
                <c:pt idx="430">
                  <c:v>21.8551</c:v>
                </c:pt>
                <c:pt idx="431">
                  <c:v>21.8917</c:v>
                </c:pt>
                <c:pt idx="432">
                  <c:v>21.9894</c:v>
                </c:pt>
                <c:pt idx="433">
                  <c:v>22.060400000000001</c:v>
                </c:pt>
                <c:pt idx="434">
                  <c:v>22.174800000000001</c:v>
                </c:pt>
                <c:pt idx="435">
                  <c:v>22.303000000000001</c:v>
                </c:pt>
                <c:pt idx="436">
                  <c:v>22.358699999999999</c:v>
                </c:pt>
                <c:pt idx="437">
                  <c:v>22.4678</c:v>
                </c:pt>
                <c:pt idx="438">
                  <c:v>22.628</c:v>
                </c:pt>
                <c:pt idx="439">
                  <c:v>22.6951</c:v>
                </c:pt>
                <c:pt idx="440">
                  <c:v>22.7073</c:v>
                </c:pt>
                <c:pt idx="441">
                  <c:v>22.753900000000002</c:v>
                </c:pt>
                <c:pt idx="442">
                  <c:v>22.775300000000001</c:v>
                </c:pt>
                <c:pt idx="443">
                  <c:v>22.776</c:v>
                </c:pt>
                <c:pt idx="444">
                  <c:v>22.805</c:v>
                </c:pt>
                <c:pt idx="445">
                  <c:v>22.816500000000001</c:v>
                </c:pt>
                <c:pt idx="446">
                  <c:v>22.909500000000001</c:v>
                </c:pt>
                <c:pt idx="447">
                  <c:v>22.959900000000001</c:v>
                </c:pt>
                <c:pt idx="448">
                  <c:v>22.977399999999999</c:v>
                </c:pt>
                <c:pt idx="449">
                  <c:v>22.993500000000001</c:v>
                </c:pt>
                <c:pt idx="450">
                  <c:v>22.996500000000001</c:v>
                </c:pt>
                <c:pt idx="451">
                  <c:v>23.053699999999999</c:v>
                </c:pt>
                <c:pt idx="452">
                  <c:v>23.060600000000001</c:v>
                </c:pt>
                <c:pt idx="453">
                  <c:v>23.091100000000001</c:v>
                </c:pt>
                <c:pt idx="454">
                  <c:v>23.133099999999999</c:v>
                </c:pt>
                <c:pt idx="455">
                  <c:v>23.143000000000001</c:v>
                </c:pt>
                <c:pt idx="456">
                  <c:v>23.152200000000001</c:v>
                </c:pt>
                <c:pt idx="457">
                  <c:v>23.161300000000001</c:v>
                </c:pt>
                <c:pt idx="458">
                  <c:v>23.163599999999999</c:v>
                </c:pt>
                <c:pt idx="459">
                  <c:v>23.180399999999999</c:v>
                </c:pt>
                <c:pt idx="460">
                  <c:v>23.197199999999999</c:v>
                </c:pt>
                <c:pt idx="461">
                  <c:v>23.242899999999999</c:v>
                </c:pt>
                <c:pt idx="462">
                  <c:v>23.2651</c:v>
                </c:pt>
                <c:pt idx="463">
                  <c:v>23.291799999999999</c:v>
                </c:pt>
                <c:pt idx="464">
                  <c:v>23.300899999999999</c:v>
                </c:pt>
                <c:pt idx="465">
                  <c:v>23.328399999999998</c:v>
                </c:pt>
                <c:pt idx="466">
                  <c:v>23.3902</c:v>
                </c:pt>
                <c:pt idx="467">
                  <c:v>23.569500000000001</c:v>
                </c:pt>
                <c:pt idx="468">
                  <c:v>23.644300000000001</c:v>
                </c:pt>
                <c:pt idx="469">
                  <c:v>23.6496</c:v>
                </c:pt>
                <c:pt idx="470">
                  <c:v>23.702999999999999</c:v>
                </c:pt>
                <c:pt idx="471">
                  <c:v>23.787700000000001</c:v>
                </c:pt>
                <c:pt idx="472">
                  <c:v>23.924299999999999</c:v>
                </c:pt>
                <c:pt idx="473">
                  <c:v>23.951699999999999</c:v>
                </c:pt>
                <c:pt idx="474">
                  <c:v>23.9678</c:v>
                </c:pt>
                <c:pt idx="475">
                  <c:v>23.9998</c:v>
                </c:pt>
                <c:pt idx="476">
                  <c:v>24.082999999999998</c:v>
                </c:pt>
                <c:pt idx="477">
                  <c:v>24.096699999999998</c:v>
                </c:pt>
                <c:pt idx="478">
                  <c:v>24.099799999999998</c:v>
                </c:pt>
                <c:pt idx="479">
                  <c:v>24.145499999999998</c:v>
                </c:pt>
                <c:pt idx="480">
                  <c:v>24.1753</c:v>
                </c:pt>
                <c:pt idx="481">
                  <c:v>24.266100000000002</c:v>
                </c:pt>
                <c:pt idx="482">
                  <c:v>24.267600000000002</c:v>
                </c:pt>
                <c:pt idx="483">
                  <c:v>24.2775</c:v>
                </c:pt>
                <c:pt idx="484">
                  <c:v>24.2791</c:v>
                </c:pt>
                <c:pt idx="485">
                  <c:v>24.2989</c:v>
                </c:pt>
                <c:pt idx="486">
                  <c:v>24.510999999999999</c:v>
                </c:pt>
                <c:pt idx="487">
                  <c:v>24.530100000000001</c:v>
                </c:pt>
                <c:pt idx="488">
                  <c:v>24.575099999999999</c:v>
                </c:pt>
                <c:pt idx="489">
                  <c:v>24.605599999999999</c:v>
                </c:pt>
                <c:pt idx="490">
                  <c:v>24.716999999999999</c:v>
                </c:pt>
                <c:pt idx="491">
                  <c:v>24.806999999999999</c:v>
                </c:pt>
                <c:pt idx="492">
                  <c:v>24.8124</c:v>
                </c:pt>
                <c:pt idx="493">
                  <c:v>24.820799999999998</c:v>
                </c:pt>
                <c:pt idx="494">
                  <c:v>24.8414</c:v>
                </c:pt>
                <c:pt idx="495">
                  <c:v>24.845199999999998</c:v>
                </c:pt>
                <c:pt idx="496">
                  <c:v>24.848199999999999</c:v>
                </c:pt>
                <c:pt idx="497">
                  <c:v>25.0046</c:v>
                </c:pt>
                <c:pt idx="498">
                  <c:v>25.0092</c:v>
                </c:pt>
                <c:pt idx="499">
                  <c:v>25.020700000000001</c:v>
                </c:pt>
              </c:numCache>
            </c:numRef>
          </c:xVal>
          <c:yVal>
            <c:numRef>
              <c:f>Data!$B$1:$B$500</c:f>
              <c:numCache>
                <c:formatCode>General</c:formatCode>
                <c:ptCount val="500"/>
                <c:pt idx="0">
                  <c:v>-2.10284</c:v>
                </c:pt>
                <c:pt idx="1">
                  <c:v>-2.0302600000000002</c:v>
                </c:pt>
                <c:pt idx="2">
                  <c:v>-1.26223</c:v>
                </c:pt>
                <c:pt idx="3">
                  <c:v>-1.04247</c:v>
                </c:pt>
                <c:pt idx="4">
                  <c:v>-0.84216500000000005</c:v>
                </c:pt>
                <c:pt idx="5">
                  <c:v>-0.38304100000000002</c:v>
                </c:pt>
                <c:pt idx="6">
                  <c:v>1.1259699999999999E-2</c:v>
                </c:pt>
                <c:pt idx="7">
                  <c:v>-4.4904699999999999E-2</c:v>
                </c:pt>
                <c:pt idx="8">
                  <c:v>-0.29413600000000001</c:v>
                </c:pt>
                <c:pt idx="9">
                  <c:v>-0.17608199999999999</c:v>
                </c:pt>
                <c:pt idx="10">
                  <c:v>0.11809</c:v>
                </c:pt>
                <c:pt idx="11">
                  <c:v>-6.9123100000000007E-2</c:v>
                </c:pt>
                <c:pt idx="12">
                  <c:v>-0.25100600000000001</c:v>
                </c:pt>
                <c:pt idx="13">
                  <c:v>0.229299</c:v>
                </c:pt>
                <c:pt idx="14">
                  <c:v>1.83976E-2</c:v>
                </c:pt>
                <c:pt idx="15">
                  <c:v>0.19788</c:v>
                </c:pt>
                <c:pt idx="16">
                  <c:v>0.19425600000000001</c:v>
                </c:pt>
                <c:pt idx="17">
                  <c:v>0.237569</c:v>
                </c:pt>
                <c:pt idx="18">
                  <c:v>9.58455E-2</c:v>
                </c:pt>
                <c:pt idx="19">
                  <c:v>0.58549300000000004</c:v>
                </c:pt>
                <c:pt idx="20">
                  <c:v>0.19946900000000001</c:v>
                </c:pt>
                <c:pt idx="21">
                  <c:v>0.44446400000000003</c:v>
                </c:pt>
                <c:pt idx="22">
                  <c:v>0.28638200000000003</c:v>
                </c:pt>
                <c:pt idx="23">
                  <c:v>0.19086900000000001</c:v>
                </c:pt>
                <c:pt idx="24">
                  <c:v>0.29805500000000001</c:v>
                </c:pt>
                <c:pt idx="25">
                  <c:v>-0.141599</c:v>
                </c:pt>
                <c:pt idx="26">
                  <c:v>0.42938100000000001</c:v>
                </c:pt>
                <c:pt idx="27">
                  <c:v>0.25897599999999998</c:v>
                </c:pt>
                <c:pt idx="28">
                  <c:v>0.17130500000000001</c:v>
                </c:pt>
                <c:pt idx="29">
                  <c:v>0.52870200000000001</c:v>
                </c:pt>
                <c:pt idx="30">
                  <c:v>0.15890899999999999</c:v>
                </c:pt>
                <c:pt idx="31">
                  <c:v>0.33368300000000001</c:v>
                </c:pt>
                <c:pt idx="32">
                  <c:v>0.62237100000000001</c:v>
                </c:pt>
                <c:pt idx="33">
                  <c:v>0.51598100000000002</c:v>
                </c:pt>
                <c:pt idx="34">
                  <c:v>0.29778300000000002</c:v>
                </c:pt>
                <c:pt idx="35">
                  <c:v>0.382548</c:v>
                </c:pt>
                <c:pt idx="36">
                  <c:v>0.66732100000000005</c:v>
                </c:pt>
                <c:pt idx="37">
                  <c:v>0.88837500000000003</c:v>
                </c:pt>
                <c:pt idx="38">
                  <c:v>0.58219600000000005</c:v>
                </c:pt>
                <c:pt idx="39">
                  <c:v>0.74784600000000001</c:v>
                </c:pt>
                <c:pt idx="40">
                  <c:v>0.45223200000000002</c:v>
                </c:pt>
                <c:pt idx="41">
                  <c:v>0.288188</c:v>
                </c:pt>
                <c:pt idx="42">
                  <c:v>0.88066100000000003</c:v>
                </c:pt>
                <c:pt idx="43">
                  <c:v>0.60583799999999999</c:v>
                </c:pt>
                <c:pt idx="44">
                  <c:v>0.47750300000000001</c:v>
                </c:pt>
                <c:pt idx="45">
                  <c:v>0.70753999999999995</c:v>
                </c:pt>
                <c:pt idx="46">
                  <c:v>1.22559</c:v>
                </c:pt>
                <c:pt idx="47">
                  <c:v>0.79319700000000004</c:v>
                </c:pt>
                <c:pt idx="48">
                  <c:v>0.77575300000000003</c:v>
                </c:pt>
                <c:pt idx="49">
                  <c:v>1.05318</c:v>
                </c:pt>
                <c:pt idx="50">
                  <c:v>1.21882</c:v>
                </c:pt>
                <c:pt idx="51">
                  <c:v>0.87056999999999995</c:v>
                </c:pt>
                <c:pt idx="52">
                  <c:v>1.2516</c:v>
                </c:pt>
                <c:pt idx="53">
                  <c:v>0.67628100000000002</c:v>
                </c:pt>
                <c:pt idx="54">
                  <c:v>0.58515799999999996</c:v>
                </c:pt>
                <c:pt idx="55">
                  <c:v>0.95874000000000004</c:v>
                </c:pt>
                <c:pt idx="56">
                  <c:v>0.69375500000000001</c:v>
                </c:pt>
                <c:pt idx="57">
                  <c:v>1.4447099999999999</c:v>
                </c:pt>
                <c:pt idx="58">
                  <c:v>0.99664399999999997</c:v>
                </c:pt>
                <c:pt idx="59">
                  <c:v>0.84225099999999997</c:v>
                </c:pt>
                <c:pt idx="60">
                  <c:v>1.1970000000000001</c:v>
                </c:pt>
                <c:pt idx="61">
                  <c:v>1.3294600000000001</c:v>
                </c:pt>
                <c:pt idx="62">
                  <c:v>1.2001900000000001</c:v>
                </c:pt>
                <c:pt idx="63">
                  <c:v>1.1504700000000001</c:v>
                </c:pt>
                <c:pt idx="64">
                  <c:v>1.14489</c:v>
                </c:pt>
                <c:pt idx="65">
                  <c:v>0.95310399999999995</c:v>
                </c:pt>
                <c:pt idx="66">
                  <c:v>0.98744399999999999</c:v>
                </c:pt>
                <c:pt idx="67">
                  <c:v>1.0704499999999999</c:v>
                </c:pt>
                <c:pt idx="68">
                  <c:v>1.3310500000000001</c:v>
                </c:pt>
                <c:pt idx="69">
                  <c:v>1.5586500000000001</c:v>
                </c:pt>
                <c:pt idx="70">
                  <c:v>1.48071</c:v>
                </c:pt>
                <c:pt idx="71">
                  <c:v>1.37296</c:v>
                </c:pt>
                <c:pt idx="72">
                  <c:v>1.37985</c:v>
                </c:pt>
                <c:pt idx="73">
                  <c:v>1.26414</c:v>
                </c:pt>
                <c:pt idx="74">
                  <c:v>1.5401499999999999</c:v>
                </c:pt>
                <c:pt idx="75">
                  <c:v>1.0899799999999999</c:v>
                </c:pt>
                <c:pt idx="76">
                  <c:v>1.2454099999999999</c:v>
                </c:pt>
                <c:pt idx="77">
                  <c:v>1.3876299999999999</c:v>
                </c:pt>
                <c:pt idx="78">
                  <c:v>1.2479800000000001</c:v>
                </c:pt>
                <c:pt idx="79">
                  <c:v>1.29322</c:v>
                </c:pt>
                <c:pt idx="80">
                  <c:v>1.74163</c:v>
                </c:pt>
                <c:pt idx="81">
                  <c:v>1.39055</c:v>
                </c:pt>
                <c:pt idx="82">
                  <c:v>1.54251</c:v>
                </c:pt>
                <c:pt idx="83">
                  <c:v>1.7365600000000001</c:v>
                </c:pt>
                <c:pt idx="84">
                  <c:v>1.51424</c:v>
                </c:pt>
                <c:pt idx="85">
                  <c:v>1.53026</c:v>
                </c:pt>
                <c:pt idx="86">
                  <c:v>1.9479500000000001</c:v>
                </c:pt>
                <c:pt idx="87">
                  <c:v>1.2618100000000001</c:v>
                </c:pt>
                <c:pt idx="88">
                  <c:v>1.3084</c:v>
                </c:pt>
                <c:pt idx="89">
                  <c:v>1.4531099999999999</c:v>
                </c:pt>
                <c:pt idx="90">
                  <c:v>1.5680400000000001</c:v>
                </c:pt>
                <c:pt idx="91">
                  <c:v>1.50631</c:v>
                </c:pt>
                <c:pt idx="92">
                  <c:v>1.1387100000000001</c:v>
                </c:pt>
                <c:pt idx="93">
                  <c:v>1.3653900000000001</c:v>
                </c:pt>
                <c:pt idx="94">
                  <c:v>1.6901600000000001</c:v>
                </c:pt>
                <c:pt idx="95">
                  <c:v>1.2771699999999999</c:v>
                </c:pt>
                <c:pt idx="96">
                  <c:v>1.5438700000000001</c:v>
                </c:pt>
                <c:pt idx="97">
                  <c:v>1.4758800000000001</c:v>
                </c:pt>
                <c:pt idx="98">
                  <c:v>1.49932</c:v>
                </c:pt>
                <c:pt idx="99">
                  <c:v>1.74336</c:v>
                </c:pt>
                <c:pt idx="100">
                  <c:v>1.76946</c:v>
                </c:pt>
                <c:pt idx="101">
                  <c:v>1.6501999999999999</c:v>
                </c:pt>
                <c:pt idx="102">
                  <c:v>2.0023499999999999</c:v>
                </c:pt>
                <c:pt idx="103">
                  <c:v>1.67639</c:v>
                </c:pt>
                <c:pt idx="104">
                  <c:v>1.7688600000000001</c:v>
                </c:pt>
                <c:pt idx="105">
                  <c:v>1.4756899999999999</c:v>
                </c:pt>
                <c:pt idx="106">
                  <c:v>1.8916599999999999</c:v>
                </c:pt>
                <c:pt idx="107">
                  <c:v>1.3796900000000001</c:v>
                </c:pt>
                <c:pt idx="108">
                  <c:v>1.50589</c:v>
                </c:pt>
                <c:pt idx="109">
                  <c:v>1.6543699999999999</c:v>
                </c:pt>
                <c:pt idx="110">
                  <c:v>1.82674</c:v>
                </c:pt>
                <c:pt idx="111">
                  <c:v>1.8596999999999999</c:v>
                </c:pt>
                <c:pt idx="112">
                  <c:v>1.8353200000000001</c:v>
                </c:pt>
                <c:pt idx="113">
                  <c:v>1.8242400000000001</c:v>
                </c:pt>
                <c:pt idx="114">
                  <c:v>1.6422600000000001</c:v>
                </c:pt>
                <c:pt idx="115">
                  <c:v>1.86341</c:v>
                </c:pt>
                <c:pt idx="116">
                  <c:v>1.8763000000000001</c:v>
                </c:pt>
                <c:pt idx="117">
                  <c:v>1.9578</c:v>
                </c:pt>
                <c:pt idx="118">
                  <c:v>1.61209</c:v>
                </c:pt>
                <c:pt idx="119">
                  <c:v>1.63869</c:v>
                </c:pt>
                <c:pt idx="120">
                  <c:v>1.8699300000000001</c:v>
                </c:pt>
                <c:pt idx="121">
                  <c:v>1.7554399999999999</c:v>
                </c:pt>
                <c:pt idx="122">
                  <c:v>2.09646</c:v>
                </c:pt>
                <c:pt idx="123">
                  <c:v>1.7103900000000001</c:v>
                </c:pt>
                <c:pt idx="124">
                  <c:v>1.94574</c:v>
                </c:pt>
                <c:pt idx="125">
                  <c:v>1.6417200000000001</c:v>
                </c:pt>
                <c:pt idx="126">
                  <c:v>2.0197099999999999</c:v>
                </c:pt>
                <c:pt idx="127">
                  <c:v>1.8646199999999999</c:v>
                </c:pt>
                <c:pt idx="128">
                  <c:v>1.7303900000000001</c:v>
                </c:pt>
                <c:pt idx="129">
                  <c:v>1.5936399999999999</c:v>
                </c:pt>
                <c:pt idx="130">
                  <c:v>1.9419</c:v>
                </c:pt>
                <c:pt idx="131">
                  <c:v>1.9483299999999999</c:v>
                </c:pt>
                <c:pt idx="132">
                  <c:v>1.85425</c:v>
                </c:pt>
                <c:pt idx="133">
                  <c:v>2.2064400000000002</c:v>
                </c:pt>
                <c:pt idx="134">
                  <c:v>1.7228000000000001</c:v>
                </c:pt>
                <c:pt idx="135">
                  <c:v>2.0041899999999999</c:v>
                </c:pt>
                <c:pt idx="136">
                  <c:v>1.49207</c:v>
                </c:pt>
                <c:pt idx="137">
                  <c:v>2.41405</c:v>
                </c:pt>
                <c:pt idx="138">
                  <c:v>2.1619199999999998</c:v>
                </c:pt>
                <c:pt idx="139">
                  <c:v>2.1349399999999998</c:v>
                </c:pt>
                <c:pt idx="140">
                  <c:v>2.0184799999999998</c:v>
                </c:pt>
                <c:pt idx="141">
                  <c:v>2.24817</c:v>
                </c:pt>
                <c:pt idx="142">
                  <c:v>2.20668</c:v>
                </c:pt>
                <c:pt idx="143">
                  <c:v>1.9330099999999999</c:v>
                </c:pt>
                <c:pt idx="144">
                  <c:v>1.81732</c:v>
                </c:pt>
                <c:pt idx="145">
                  <c:v>1.94028</c:v>
                </c:pt>
                <c:pt idx="146">
                  <c:v>2.1898300000000002</c:v>
                </c:pt>
                <c:pt idx="147">
                  <c:v>2.2551999999999999</c:v>
                </c:pt>
                <c:pt idx="148">
                  <c:v>2.1497700000000002</c:v>
                </c:pt>
                <c:pt idx="149">
                  <c:v>2.4226399999999999</c:v>
                </c:pt>
                <c:pt idx="150">
                  <c:v>2.0767500000000001</c:v>
                </c:pt>
                <c:pt idx="151">
                  <c:v>1.95773</c:v>
                </c:pt>
                <c:pt idx="152">
                  <c:v>1.8723799999999999</c:v>
                </c:pt>
                <c:pt idx="153">
                  <c:v>1.9578500000000001</c:v>
                </c:pt>
                <c:pt idx="154">
                  <c:v>2.4280200000000001</c:v>
                </c:pt>
                <c:pt idx="155">
                  <c:v>2.1440999999999999</c:v>
                </c:pt>
                <c:pt idx="156">
                  <c:v>1.91652</c:v>
                </c:pt>
                <c:pt idx="157">
                  <c:v>2.3376399999999999</c:v>
                </c:pt>
                <c:pt idx="158">
                  <c:v>2.1493500000000001</c:v>
                </c:pt>
                <c:pt idx="159">
                  <c:v>2.6132599999999999</c:v>
                </c:pt>
                <c:pt idx="160">
                  <c:v>1.92848</c:v>
                </c:pt>
                <c:pt idx="161">
                  <c:v>2.4836499999999999</c:v>
                </c:pt>
                <c:pt idx="162">
                  <c:v>2.0003799999999998</c:v>
                </c:pt>
                <c:pt idx="163">
                  <c:v>1.9183600000000001</c:v>
                </c:pt>
                <c:pt idx="164">
                  <c:v>1.8890100000000001</c:v>
                </c:pt>
                <c:pt idx="165">
                  <c:v>1.9395100000000001</c:v>
                </c:pt>
                <c:pt idx="166">
                  <c:v>1.9958899999999999</c:v>
                </c:pt>
                <c:pt idx="167">
                  <c:v>2.0992000000000002</c:v>
                </c:pt>
                <c:pt idx="168">
                  <c:v>2.1040700000000001</c:v>
                </c:pt>
                <c:pt idx="169">
                  <c:v>2.0424199999999999</c:v>
                </c:pt>
                <c:pt idx="170">
                  <c:v>2.21651</c:v>
                </c:pt>
                <c:pt idx="171">
                  <c:v>2.1682999999999999</c:v>
                </c:pt>
                <c:pt idx="172">
                  <c:v>2.0373100000000002</c:v>
                </c:pt>
                <c:pt idx="173">
                  <c:v>1.7828599999999999</c:v>
                </c:pt>
                <c:pt idx="174">
                  <c:v>2.4655</c:v>
                </c:pt>
                <c:pt idx="175">
                  <c:v>2.29664</c:v>
                </c:pt>
                <c:pt idx="176">
                  <c:v>1.7577499999999999</c:v>
                </c:pt>
                <c:pt idx="177">
                  <c:v>2.0114299999999998</c:v>
                </c:pt>
                <c:pt idx="178">
                  <c:v>1.9837199999999999</c:v>
                </c:pt>
                <c:pt idx="179">
                  <c:v>2.04372</c:v>
                </c:pt>
                <c:pt idx="180">
                  <c:v>2.05667</c:v>
                </c:pt>
                <c:pt idx="181">
                  <c:v>2.1196100000000002</c:v>
                </c:pt>
                <c:pt idx="182">
                  <c:v>2.4771800000000002</c:v>
                </c:pt>
                <c:pt idx="183">
                  <c:v>1.9593</c:v>
                </c:pt>
                <c:pt idx="184">
                  <c:v>2.2811900000000001</c:v>
                </c:pt>
                <c:pt idx="185">
                  <c:v>2.4289000000000001</c:v>
                </c:pt>
                <c:pt idx="186">
                  <c:v>2.0087100000000002</c:v>
                </c:pt>
                <c:pt idx="187">
                  <c:v>2.2592500000000002</c:v>
                </c:pt>
                <c:pt idx="188">
                  <c:v>2.2436099999999999</c:v>
                </c:pt>
                <c:pt idx="189">
                  <c:v>2.1064699999999998</c:v>
                </c:pt>
                <c:pt idx="190">
                  <c:v>2.29528</c:v>
                </c:pt>
                <c:pt idx="191">
                  <c:v>2.3940800000000002</c:v>
                </c:pt>
                <c:pt idx="192">
                  <c:v>2.0447899999999999</c:v>
                </c:pt>
                <c:pt idx="193">
                  <c:v>1.8766799999999999</c:v>
                </c:pt>
                <c:pt idx="194">
                  <c:v>2.41316</c:v>
                </c:pt>
                <c:pt idx="195">
                  <c:v>2.55436</c:v>
                </c:pt>
                <c:pt idx="196">
                  <c:v>2.1792099999999999</c:v>
                </c:pt>
                <c:pt idx="197">
                  <c:v>2.6103399999999999</c:v>
                </c:pt>
                <c:pt idx="198">
                  <c:v>2.5286499999999998</c:v>
                </c:pt>
                <c:pt idx="199">
                  <c:v>2.0015700000000001</c:v>
                </c:pt>
                <c:pt idx="200">
                  <c:v>2.2610000000000001</c:v>
                </c:pt>
                <c:pt idx="201">
                  <c:v>2.4150399999999999</c:v>
                </c:pt>
                <c:pt idx="202">
                  <c:v>2.2017799999999998</c:v>
                </c:pt>
                <c:pt idx="203">
                  <c:v>2.53396</c:v>
                </c:pt>
                <c:pt idx="204">
                  <c:v>2.1593100000000001</c:v>
                </c:pt>
                <c:pt idx="205">
                  <c:v>2.2696100000000001</c:v>
                </c:pt>
                <c:pt idx="206">
                  <c:v>2.4321799999999998</c:v>
                </c:pt>
                <c:pt idx="207">
                  <c:v>2.4177399999999998</c:v>
                </c:pt>
                <c:pt idx="208">
                  <c:v>2.39507</c:v>
                </c:pt>
                <c:pt idx="209">
                  <c:v>2.6295700000000002</c:v>
                </c:pt>
                <c:pt idx="210">
                  <c:v>2.3141500000000002</c:v>
                </c:pt>
                <c:pt idx="211">
                  <c:v>2.3983500000000002</c:v>
                </c:pt>
                <c:pt idx="212">
                  <c:v>2.1671200000000002</c:v>
                </c:pt>
                <c:pt idx="213">
                  <c:v>2.0600299999999998</c:v>
                </c:pt>
                <c:pt idx="214">
                  <c:v>2.1919499999999998</c:v>
                </c:pt>
                <c:pt idx="215">
                  <c:v>2.5131899999999998</c:v>
                </c:pt>
                <c:pt idx="216">
                  <c:v>2.6889799999999999</c:v>
                </c:pt>
                <c:pt idx="217">
                  <c:v>2.3031600000000001</c:v>
                </c:pt>
                <c:pt idx="218">
                  <c:v>2.6705999999999999</c:v>
                </c:pt>
                <c:pt idx="219">
                  <c:v>2.5037500000000001</c:v>
                </c:pt>
                <c:pt idx="220">
                  <c:v>2.65191</c:v>
                </c:pt>
                <c:pt idx="221">
                  <c:v>2.00692</c:v>
                </c:pt>
                <c:pt idx="222">
                  <c:v>2.2588699999999999</c:v>
                </c:pt>
                <c:pt idx="223">
                  <c:v>2.6063200000000002</c:v>
                </c:pt>
                <c:pt idx="224">
                  <c:v>2.4892300000000001</c:v>
                </c:pt>
                <c:pt idx="225">
                  <c:v>2.79386</c:v>
                </c:pt>
                <c:pt idx="226">
                  <c:v>2.47139</c:v>
                </c:pt>
                <c:pt idx="227">
                  <c:v>2.16919</c:v>
                </c:pt>
                <c:pt idx="228">
                  <c:v>2.10819</c:v>
                </c:pt>
                <c:pt idx="229">
                  <c:v>2.1005600000000002</c:v>
                </c:pt>
                <c:pt idx="230">
                  <c:v>2.2634799999999999</c:v>
                </c:pt>
                <c:pt idx="231">
                  <c:v>2.5402900000000002</c:v>
                </c:pt>
                <c:pt idx="232">
                  <c:v>2.5555099999999999</c:v>
                </c:pt>
                <c:pt idx="233">
                  <c:v>2.2879100000000001</c:v>
                </c:pt>
                <c:pt idx="234">
                  <c:v>2.4084699999999999</c:v>
                </c:pt>
                <c:pt idx="235">
                  <c:v>1.83405</c:v>
                </c:pt>
                <c:pt idx="236">
                  <c:v>2.4653499999999999</c:v>
                </c:pt>
                <c:pt idx="237">
                  <c:v>2.44977</c:v>
                </c:pt>
                <c:pt idx="238">
                  <c:v>2.6643599999999998</c:v>
                </c:pt>
                <c:pt idx="239">
                  <c:v>2.0990600000000001</c:v>
                </c:pt>
                <c:pt idx="240">
                  <c:v>2.6537099999999998</c:v>
                </c:pt>
                <c:pt idx="241">
                  <c:v>2.5552800000000002</c:v>
                </c:pt>
                <c:pt idx="242">
                  <c:v>2.2081300000000001</c:v>
                </c:pt>
                <c:pt idx="243">
                  <c:v>2.3316300000000001</c:v>
                </c:pt>
                <c:pt idx="244">
                  <c:v>2.6070700000000002</c:v>
                </c:pt>
                <c:pt idx="245">
                  <c:v>2.5376099999999999</c:v>
                </c:pt>
                <c:pt idx="246">
                  <c:v>2.8028</c:v>
                </c:pt>
                <c:pt idx="247">
                  <c:v>2.4662500000000001</c:v>
                </c:pt>
                <c:pt idx="248">
                  <c:v>2.9452400000000001</c:v>
                </c:pt>
                <c:pt idx="249">
                  <c:v>2.3941300000000001</c:v>
                </c:pt>
                <c:pt idx="250">
                  <c:v>2.45932</c:v>
                </c:pt>
                <c:pt idx="251">
                  <c:v>2.4428999999999998</c:v>
                </c:pt>
                <c:pt idx="252">
                  <c:v>2.7755800000000002</c:v>
                </c:pt>
                <c:pt idx="253">
                  <c:v>2.50773</c:v>
                </c:pt>
                <c:pt idx="254">
                  <c:v>2.4190399999999999</c:v>
                </c:pt>
                <c:pt idx="255">
                  <c:v>2.7968899999999999</c:v>
                </c:pt>
                <c:pt idx="256">
                  <c:v>2.4866899999999998</c:v>
                </c:pt>
                <c:pt idx="257">
                  <c:v>2.50691</c:v>
                </c:pt>
                <c:pt idx="258">
                  <c:v>2.5523699999999998</c:v>
                </c:pt>
                <c:pt idx="259">
                  <c:v>2.3053499999999998</c:v>
                </c:pt>
                <c:pt idx="260">
                  <c:v>2.8720699999999999</c:v>
                </c:pt>
                <c:pt idx="261">
                  <c:v>2.6972299999999998</c:v>
                </c:pt>
                <c:pt idx="262">
                  <c:v>2.6415299999999999</c:v>
                </c:pt>
                <c:pt idx="263">
                  <c:v>2.6816800000000001</c:v>
                </c:pt>
                <c:pt idx="264">
                  <c:v>2.4940000000000002</c:v>
                </c:pt>
                <c:pt idx="265">
                  <c:v>2.83636</c:v>
                </c:pt>
                <c:pt idx="266">
                  <c:v>2.7777799999999999</c:v>
                </c:pt>
                <c:pt idx="267">
                  <c:v>2.5405600000000002</c:v>
                </c:pt>
                <c:pt idx="268">
                  <c:v>2.7686000000000002</c:v>
                </c:pt>
                <c:pt idx="269">
                  <c:v>2.9093599999999999</c:v>
                </c:pt>
                <c:pt idx="270">
                  <c:v>3.0581</c:v>
                </c:pt>
                <c:pt idx="271">
                  <c:v>2.7875700000000001</c:v>
                </c:pt>
                <c:pt idx="272">
                  <c:v>2.6894800000000001</c:v>
                </c:pt>
                <c:pt idx="273">
                  <c:v>2.7647900000000001</c:v>
                </c:pt>
                <c:pt idx="274">
                  <c:v>2.4182899999999998</c:v>
                </c:pt>
                <c:pt idx="275">
                  <c:v>2.4580099999999998</c:v>
                </c:pt>
                <c:pt idx="276">
                  <c:v>3.0859399999999999</c:v>
                </c:pt>
                <c:pt idx="277">
                  <c:v>2.7578900000000002</c:v>
                </c:pt>
                <c:pt idx="278">
                  <c:v>2.39263</c:v>
                </c:pt>
                <c:pt idx="279">
                  <c:v>2.9527999999999999</c:v>
                </c:pt>
                <c:pt idx="280">
                  <c:v>2.75949</c:v>
                </c:pt>
                <c:pt idx="281">
                  <c:v>2.5701999999999998</c:v>
                </c:pt>
                <c:pt idx="282">
                  <c:v>2.4670700000000001</c:v>
                </c:pt>
                <c:pt idx="283">
                  <c:v>2.38212</c:v>
                </c:pt>
                <c:pt idx="284">
                  <c:v>2.4785499999999998</c:v>
                </c:pt>
                <c:pt idx="285">
                  <c:v>2.5549300000000001</c:v>
                </c:pt>
                <c:pt idx="286">
                  <c:v>2.6564899999999998</c:v>
                </c:pt>
                <c:pt idx="287">
                  <c:v>3.0144899999999999</c:v>
                </c:pt>
                <c:pt idx="288">
                  <c:v>2.7271899999999998</c:v>
                </c:pt>
                <c:pt idx="289">
                  <c:v>2.7357300000000002</c:v>
                </c:pt>
                <c:pt idx="290">
                  <c:v>2.8245399999999998</c:v>
                </c:pt>
                <c:pt idx="291">
                  <c:v>2.77678</c:v>
                </c:pt>
                <c:pt idx="292">
                  <c:v>2.7833000000000001</c:v>
                </c:pt>
                <c:pt idx="293">
                  <c:v>2.6638899999999999</c:v>
                </c:pt>
                <c:pt idx="294">
                  <c:v>3.1733600000000002</c:v>
                </c:pt>
                <c:pt idx="295">
                  <c:v>2.5451700000000002</c:v>
                </c:pt>
                <c:pt idx="296">
                  <c:v>2.7492000000000001</c:v>
                </c:pt>
                <c:pt idx="297">
                  <c:v>3.1879</c:v>
                </c:pt>
                <c:pt idx="298">
                  <c:v>2.9731200000000002</c:v>
                </c:pt>
                <c:pt idx="299">
                  <c:v>2.7734999999999999</c:v>
                </c:pt>
                <c:pt idx="300">
                  <c:v>2.6652999999999998</c:v>
                </c:pt>
                <c:pt idx="301">
                  <c:v>2.8065699999999998</c:v>
                </c:pt>
                <c:pt idx="302">
                  <c:v>2.1709399999999999</c:v>
                </c:pt>
                <c:pt idx="303">
                  <c:v>2.82558</c:v>
                </c:pt>
                <c:pt idx="304">
                  <c:v>2.55762</c:v>
                </c:pt>
                <c:pt idx="305">
                  <c:v>2.8998900000000001</c:v>
                </c:pt>
                <c:pt idx="306">
                  <c:v>2.35534</c:v>
                </c:pt>
                <c:pt idx="307">
                  <c:v>2.5859899999999998</c:v>
                </c:pt>
                <c:pt idx="308">
                  <c:v>2.36409</c:v>
                </c:pt>
                <c:pt idx="309">
                  <c:v>2.9994299999999998</c:v>
                </c:pt>
                <c:pt idx="310">
                  <c:v>2.8432499999999998</c:v>
                </c:pt>
                <c:pt idx="311">
                  <c:v>2.8214199999999998</c:v>
                </c:pt>
                <c:pt idx="312">
                  <c:v>2.7910599999999999</c:v>
                </c:pt>
                <c:pt idx="313">
                  <c:v>2.9014799999999998</c:v>
                </c:pt>
                <c:pt idx="314">
                  <c:v>2.9337800000000001</c:v>
                </c:pt>
                <c:pt idx="315">
                  <c:v>3.07911</c:v>
                </c:pt>
                <c:pt idx="316">
                  <c:v>2.43398</c:v>
                </c:pt>
                <c:pt idx="317">
                  <c:v>2.7737400000000001</c:v>
                </c:pt>
                <c:pt idx="318">
                  <c:v>2.9786600000000001</c:v>
                </c:pt>
                <c:pt idx="319">
                  <c:v>2.9011300000000002</c:v>
                </c:pt>
                <c:pt idx="320">
                  <c:v>2.8070599999999999</c:v>
                </c:pt>
                <c:pt idx="321">
                  <c:v>2.3957199999999998</c:v>
                </c:pt>
                <c:pt idx="322">
                  <c:v>3.2900299999999998</c:v>
                </c:pt>
                <c:pt idx="323">
                  <c:v>3.3275700000000001</c:v>
                </c:pt>
                <c:pt idx="324">
                  <c:v>2.4825300000000001</c:v>
                </c:pt>
                <c:pt idx="325">
                  <c:v>2.7044700000000002</c:v>
                </c:pt>
                <c:pt idx="326">
                  <c:v>2.7035</c:v>
                </c:pt>
                <c:pt idx="327">
                  <c:v>2.8967800000000001</c:v>
                </c:pt>
                <c:pt idx="328">
                  <c:v>3.25095</c:v>
                </c:pt>
                <c:pt idx="329">
                  <c:v>2.8866499999999999</c:v>
                </c:pt>
                <c:pt idx="330">
                  <c:v>2.7302599999999999</c:v>
                </c:pt>
                <c:pt idx="331">
                  <c:v>2.9409000000000001</c:v>
                </c:pt>
                <c:pt idx="332">
                  <c:v>2.93296</c:v>
                </c:pt>
                <c:pt idx="333">
                  <c:v>2.6079300000000001</c:v>
                </c:pt>
                <c:pt idx="334">
                  <c:v>2.9493200000000002</c:v>
                </c:pt>
                <c:pt idx="335">
                  <c:v>2.9967199999999998</c:v>
                </c:pt>
                <c:pt idx="336">
                  <c:v>2.7439900000000002</c:v>
                </c:pt>
                <c:pt idx="337">
                  <c:v>2.5621200000000002</c:v>
                </c:pt>
                <c:pt idx="338">
                  <c:v>3.0558000000000001</c:v>
                </c:pt>
                <c:pt idx="339">
                  <c:v>2.6577199999999999</c:v>
                </c:pt>
                <c:pt idx="340">
                  <c:v>2.7179000000000002</c:v>
                </c:pt>
                <c:pt idx="341">
                  <c:v>2.8640599999999998</c:v>
                </c:pt>
                <c:pt idx="342">
                  <c:v>3.3388599999999999</c:v>
                </c:pt>
                <c:pt idx="343">
                  <c:v>2.94171</c:v>
                </c:pt>
                <c:pt idx="344">
                  <c:v>3.1007600000000002</c:v>
                </c:pt>
                <c:pt idx="345">
                  <c:v>2.7500200000000001</c:v>
                </c:pt>
                <c:pt idx="346">
                  <c:v>2.5680200000000002</c:v>
                </c:pt>
                <c:pt idx="347">
                  <c:v>2.5917599999999998</c:v>
                </c:pt>
                <c:pt idx="348">
                  <c:v>2.93838</c:v>
                </c:pt>
                <c:pt idx="349">
                  <c:v>2.6511300000000002</c:v>
                </c:pt>
                <c:pt idx="350">
                  <c:v>3.1930000000000001</c:v>
                </c:pt>
                <c:pt idx="351">
                  <c:v>3.0014500000000002</c:v>
                </c:pt>
                <c:pt idx="352">
                  <c:v>3.1135999999999999</c:v>
                </c:pt>
                <c:pt idx="353">
                  <c:v>2.93445</c:v>
                </c:pt>
                <c:pt idx="354">
                  <c:v>2.9501599999999999</c:v>
                </c:pt>
                <c:pt idx="355">
                  <c:v>2.5568200000000001</c:v>
                </c:pt>
                <c:pt idx="356">
                  <c:v>2.6566299999999998</c:v>
                </c:pt>
                <c:pt idx="357">
                  <c:v>3.2260200000000001</c:v>
                </c:pt>
                <c:pt idx="358">
                  <c:v>3.0498799999999999</c:v>
                </c:pt>
                <c:pt idx="359">
                  <c:v>2.9994999999999998</c:v>
                </c:pt>
                <c:pt idx="360">
                  <c:v>3.2577500000000001</c:v>
                </c:pt>
                <c:pt idx="361">
                  <c:v>2.80972</c:v>
                </c:pt>
                <c:pt idx="362">
                  <c:v>3.34613</c:v>
                </c:pt>
                <c:pt idx="363">
                  <c:v>2.9200900000000001</c:v>
                </c:pt>
                <c:pt idx="364">
                  <c:v>2.8454000000000002</c:v>
                </c:pt>
                <c:pt idx="365">
                  <c:v>2.7430300000000001</c:v>
                </c:pt>
                <c:pt idx="366">
                  <c:v>2.7980900000000002</c:v>
                </c:pt>
                <c:pt idx="367">
                  <c:v>3.1577299999999999</c:v>
                </c:pt>
                <c:pt idx="368">
                  <c:v>3.1718600000000001</c:v>
                </c:pt>
                <c:pt idx="369">
                  <c:v>2.8473299999999999</c:v>
                </c:pt>
                <c:pt idx="370">
                  <c:v>2.5731799999999998</c:v>
                </c:pt>
                <c:pt idx="371">
                  <c:v>3.1418400000000002</c:v>
                </c:pt>
                <c:pt idx="372">
                  <c:v>3.0291999999999999</c:v>
                </c:pt>
                <c:pt idx="373">
                  <c:v>2.6225200000000002</c:v>
                </c:pt>
                <c:pt idx="374">
                  <c:v>3.2106300000000001</c:v>
                </c:pt>
                <c:pt idx="375">
                  <c:v>2.8896700000000002</c:v>
                </c:pt>
                <c:pt idx="376">
                  <c:v>3.2012</c:v>
                </c:pt>
                <c:pt idx="377">
                  <c:v>2.8707600000000002</c:v>
                </c:pt>
                <c:pt idx="378">
                  <c:v>3.27935</c:v>
                </c:pt>
                <c:pt idx="379">
                  <c:v>3.27569</c:v>
                </c:pt>
                <c:pt idx="380">
                  <c:v>2.8148</c:v>
                </c:pt>
                <c:pt idx="381">
                  <c:v>2.9464199999999998</c:v>
                </c:pt>
                <c:pt idx="382">
                  <c:v>3.0338599999999998</c:v>
                </c:pt>
                <c:pt idx="383">
                  <c:v>2.9112499999999999</c:v>
                </c:pt>
                <c:pt idx="384">
                  <c:v>3.0986199999999999</c:v>
                </c:pt>
                <c:pt idx="385">
                  <c:v>2.9780500000000001</c:v>
                </c:pt>
                <c:pt idx="386">
                  <c:v>2.75</c:v>
                </c:pt>
                <c:pt idx="387">
                  <c:v>3.1993900000000002</c:v>
                </c:pt>
                <c:pt idx="388">
                  <c:v>2.6344699999999999</c:v>
                </c:pt>
                <c:pt idx="389">
                  <c:v>3.05844</c:v>
                </c:pt>
                <c:pt idx="390">
                  <c:v>2.6926999999999999</c:v>
                </c:pt>
                <c:pt idx="391">
                  <c:v>3.4942899999999999</c:v>
                </c:pt>
                <c:pt idx="392">
                  <c:v>2.8362099999999999</c:v>
                </c:pt>
                <c:pt idx="393">
                  <c:v>3.20207</c:v>
                </c:pt>
                <c:pt idx="394">
                  <c:v>2.9659599999999999</c:v>
                </c:pt>
                <c:pt idx="395">
                  <c:v>3.2719999999999998</c:v>
                </c:pt>
                <c:pt idx="396">
                  <c:v>3.1948699999999999</c:v>
                </c:pt>
                <c:pt idx="397">
                  <c:v>3.1650299999999998</c:v>
                </c:pt>
                <c:pt idx="398">
                  <c:v>3.1315300000000001</c:v>
                </c:pt>
                <c:pt idx="399">
                  <c:v>3.1333299999999999</c:v>
                </c:pt>
                <c:pt idx="400">
                  <c:v>3.3932199999999999</c:v>
                </c:pt>
                <c:pt idx="401">
                  <c:v>3.1394700000000002</c:v>
                </c:pt>
                <c:pt idx="402">
                  <c:v>3.3091300000000001</c:v>
                </c:pt>
                <c:pt idx="403">
                  <c:v>3.0264899999999999</c:v>
                </c:pt>
                <c:pt idx="404">
                  <c:v>3.0528300000000002</c:v>
                </c:pt>
                <c:pt idx="405">
                  <c:v>3.1648399999999999</c:v>
                </c:pt>
                <c:pt idx="406">
                  <c:v>3.1728100000000001</c:v>
                </c:pt>
                <c:pt idx="407">
                  <c:v>3.0862500000000002</c:v>
                </c:pt>
                <c:pt idx="408">
                  <c:v>3.2206999999999999</c:v>
                </c:pt>
                <c:pt idx="409">
                  <c:v>3.1909999999999998</c:v>
                </c:pt>
                <c:pt idx="410">
                  <c:v>3.0025200000000001</c:v>
                </c:pt>
                <c:pt idx="411">
                  <c:v>3.1823899999999998</c:v>
                </c:pt>
                <c:pt idx="412">
                  <c:v>3.1031300000000002</c:v>
                </c:pt>
                <c:pt idx="413">
                  <c:v>3.2307000000000001</c:v>
                </c:pt>
                <c:pt idx="414">
                  <c:v>2.74438</c:v>
                </c:pt>
                <c:pt idx="415">
                  <c:v>3.5633900000000001</c:v>
                </c:pt>
                <c:pt idx="416">
                  <c:v>2.5179800000000001</c:v>
                </c:pt>
                <c:pt idx="417">
                  <c:v>3.0772599999999999</c:v>
                </c:pt>
                <c:pt idx="418">
                  <c:v>2.9206699999999999</c:v>
                </c:pt>
                <c:pt idx="419">
                  <c:v>3.081</c:v>
                </c:pt>
                <c:pt idx="420">
                  <c:v>3.1488800000000001</c:v>
                </c:pt>
                <c:pt idx="421">
                  <c:v>3.3273999999999999</c:v>
                </c:pt>
                <c:pt idx="422">
                  <c:v>3.0223</c:v>
                </c:pt>
                <c:pt idx="423">
                  <c:v>3.0549900000000001</c:v>
                </c:pt>
                <c:pt idx="424">
                  <c:v>3.0321500000000001</c:v>
                </c:pt>
                <c:pt idx="425">
                  <c:v>3.1533199999999999</c:v>
                </c:pt>
                <c:pt idx="426">
                  <c:v>3.14012</c:v>
                </c:pt>
                <c:pt idx="427">
                  <c:v>3.2629899999999998</c:v>
                </c:pt>
                <c:pt idx="428">
                  <c:v>2.9195899999999999</c:v>
                </c:pt>
                <c:pt idx="429">
                  <c:v>3.4394999999999998</c:v>
                </c:pt>
                <c:pt idx="430">
                  <c:v>2.7821199999999999</c:v>
                </c:pt>
                <c:pt idx="431">
                  <c:v>3.13524</c:v>
                </c:pt>
                <c:pt idx="432">
                  <c:v>2.90787</c:v>
                </c:pt>
                <c:pt idx="433">
                  <c:v>3.0525000000000002</c:v>
                </c:pt>
                <c:pt idx="434">
                  <c:v>2.7865899999999999</c:v>
                </c:pt>
                <c:pt idx="435">
                  <c:v>3.27399</c:v>
                </c:pt>
                <c:pt idx="436">
                  <c:v>3.2529300000000001</c:v>
                </c:pt>
                <c:pt idx="437">
                  <c:v>3.32118</c:v>
                </c:pt>
                <c:pt idx="438">
                  <c:v>2.97187</c:v>
                </c:pt>
                <c:pt idx="439">
                  <c:v>3.3170000000000002</c:v>
                </c:pt>
                <c:pt idx="440">
                  <c:v>3.2046999999999999</c:v>
                </c:pt>
                <c:pt idx="441">
                  <c:v>2.6430199999999999</c:v>
                </c:pt>
                <c:pt idx="442">
                  <c:v>3.0851000000000002</c:v>
                </c:pt>
                <c:pt idx="443">
                  <c:v>3.1279499999999998</c:v>
                </c:pt>
                <c:pt idx="444">
                  <c:v>3.2364899999999999</c:v>
                </c:pt>
                <c:pt idx="445">
                  <c:v>3.4605100000000002</c:v>
                </c:pt>
                <c:pt idx="446">
                  <c:v>3.0828899999999999</c:v>
                </c:pt>
                <c:pt idx="447">
                  <c:v>2.8250700000000002</c:v>
                </c:pt>
                <c:pt idx="448">
                  <c:v>2.9728500000000002</c:v>
                </c:pt>
                <c:pt idx="449">
                  <c:v>3.2004899999999998</c:v>
                </c:pt>
                <c:pt idx="450">
                  <c:v>3.0411700000000002</c:v>
                </c:pt>
                <c:pt idx="451">
                  <c:v>3.0657399999999999</c:v>
                </c:pt>
                <c:pt idx="452">
                  <c:v>3.2027800000000002</c:v>
                </c:pt>
                <c:pt idx="453">
                  <c:v>2.96651</c:v>
                </c:pt>
                <c:pt idx="454">
                  <c:v>3.41473</c:v>
                </c:pt>
                <c:pt idx="455">
                  <c:v>2.9622999999999999</c:v>
                </c:pt>
                <c:pt idx="456">
                  <c:v>3.49526</c:v>
                </c:pt>
                <c:pt idx="457">
                  <c:v>3.6074600000000001</c:v>
                </c:pt>
                <c:pt idx="458">
                  <c:v>3.0678899999999998</c:v>
                </c:pt>
                <c:pt idx="459">
                  <c:v>2.88103</c:v>
                </c:pt>
                <c:pt idx="460">
                  <c:v>3.2097799999999999</c:v>
                </c:pt>
                <c:pt idx="461">
                  <c:v>2.8144300000000002</c:v>
                </c:pt>
                <c:pt idx="462">
                  <c:v>3.1393800000000001</c:v>
                </c:pt>
                <c:pt idx="463">
                  <c:v>3.31399</c:v>
                </c:pt>
                <c:pt idx="464">
                  <c:v>3.0562800000000001</c:v>
                </c:pt>
                <c:pt idx="465">
                  <c:v>3.48333</c:v>
                </c:pt>
                <c:pt idx="466">
                  <c:v>3.3552200000000001</c:v>
                </c:pt>
                <c:pt idx="467">
                  <c:v>2.86063</c:v>
                </c:pt>
                <c:pt idx="468">
                  <c:v>3.3934000000000002</c:v>
                </c:pt>
                <c:pt idx="469">
                  <c:v>3.09307</c:v>
                </c:pt>
                <c:pt idx="470">
                  <c:v>3.1871900000000002</c:v>
                </c:pt>
                <c:pt idx="471">
                  <c:v>3.1701800000000002</c:v>
                </c:pt>
                <c:pt idx="472">
                  <c:v>3.3155600000000001</c:v>
                </c:pt>
                <c:pt idx="473">
                  <c:v>3.2051799999999999</c:v>
                </c:pt>
                <c:pt idx="474">
                  <c:v>3.2415400000000001</c:v>
                </c:pt>
                <c:pt idx="475">
                  <c:v>2.9892500000000002</c:v>
                </c:pt>
                <c:pt idx="476">
                  <c:v>3.1156600000000001</c:v>
                </c:pt>
                <c:pt idx="477">
                  <c:v>3.3235000000000001</c:v>
                </c:pt>
                <c:pt idx="478">
                  <c:v>3.0764300000000002</c:v>
                </c:pt>
                <c:pt idx="479">
                  <c:v>2.9422700000000002</c:v>
                </c:pt>
                <c:pt idx="480">
                  <c:v>3.4544199999999998</c:v>
                </c:pt>
                <c:pt idx="481">
                  <c:v>2.8535499999999998</c:v>
                </c:pt>
                <c:pt idx="482">
                  <c:v>2.8593000000000002</c:v>
                </c:pt>
                <c:pt idx="483">
                  <c:v>2.9663400000000002</c:v>
                </c:pt>
                <c:pt idx="484">
                  <c:v>3.1063000000000001</c:v>
                </c:pt>
                <c:pt idx="485">
                  <c:v>3.3765299999999998</c:v>
                </c:pt>
                <c:pt idx="486">
                  <c:v>3.06629</c:v>
                </c:pt>
                <c:pt idx="487">
                  <c:v>3.0603099999999999</c:v>
                </c:pt>
                <c:pt idx="488">
                  <c:v>3.4092199999999999</c:v>
                </c:pt>
                <c:pt idx="489">
                  <c:v>2.7338200000000001</c:v>
                </c:pt>
                <c:pt idx="490">
                  <c:v>3.1234899999999999</c:v>
                </c:pt>
                <c:pt idx="491">
                  <c:v>3.77115</c:v>
                </c:pt>
                <c:pt idx="492">
                  <c:v>2.9974500000000002</c:v>
                </c:pt>
                <c:pt idx="493">
                  <c:v>3.0769099999999998</c:v>
                </c:pt>
                <c:pt idx="494">
                  <c:v>3.3772899999999999</c:v>
                </c:pt>
                <c:pt idx="495">
                  <c:v>3.3386999999999998</c:v>
                </c:pt>
                <c:pt idx="496">
                  <c:v>3.1603699999999999</c:v>
                </c:pt>
                <c:pt idx="497">
                  <c:v>3.15272</c:v>
                </c:pt>
                <c:pt idx="498">
                  <c:v>3.2543600000000001</c:v>
                </c:pt>
                <c:pt idx="499">
                  <c:v>3.2679200000000002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D2-4319-B352-C85FF2FF6E60}"/>
            </c:ext>
          </c:extLst>
        </c:ser>
        <c:ser>
          <c:idx val="1"/>
          <c:order val="1"/>
          <c:tx>
            <c:v>Newton Polynomial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'Newton Interpolating Polynomial'!$A$1:$A$500</c:f>
              <c:numCache>
                <c:formatCode>General</c:formatCode>
                <c:ptCount val="500"/>
                <c:pt idx="0">
                  <c:v>0.1206</c:v>
                </c:pt>
                <c:pt idx="1">
                  <c:v>0.17858499999999999</c:v>
                </c:pt>
                <c:pt idx="2">
                  <c:v>0.26098500000000002</c:v>
                </c:pt>
                <c:pt idx="3">
                  <c:v>0.26632600000000001</c:v>
                </c:pt>
                <c:pt idx="4">
                  <c:v>0.42044399999999998</c:v>
                </c:pt>
                <c:pt idx="5">
                  <c:v>0.59363699999999997</c:v>
                </c:pt>
                <c:pt idx="6">
                  <c:v>0.67374800000000001</c:v>
                </c:pt>
                <c:pt idx="7">
                  <c:v>0.74622900000000003</c:v>
                </c:pt>
                <c:pt idx="8">
                  <c:v>0.75767399999999996</c:v>
                </c:pt>
                <c:pt idx="9">
                  <c:v>0.88508900000000001</c:v>
                </c:pt>
                <c:pt idx="10">
                  <c:v>0.89653300000000002</c:v>
                </c:pt>
                <c:pt idx="11">
                  <c:v>0.92628900000000003</c:v>
                </c:pt>
                <c:pt idx="12">
                  <c:v>0.96443699999999999</c:v>
                </c:pt>
                <c:pt idx="13">
                  <c:v>1.0132699999999999</c:v>
                </c:pt>
                <c:pt idx="14">
                  <c:v>1.0430200000000001</c:v>
                </c:pt>
                <c:pt idx="15">
                  <c:v>1.0437799999999999</c:v>
                </c:pt>
                <c:pt idx="16">
                  <c:v>1.0682</c:v>
                </c:pt>
                <c:pt idx="17">
                  <c:v>1.1048199999999999</c:v>
                </c:pt>
                <c:pt idx="18">
                  <c:v>1.1689099999999999</c:v>
                </c:pt>
                <c:pt idx="19">
                  <c:v>1.16967</c:v>
                </c:pt>
                <c:pt idx="20">
                  <c:v>1.1895100000000001</c:v>
                </c:pt>
                <c:pt idx="21">
                  <c:v>1.22461</c:v>
                </c:pt>
                <c:pt idx="22">
                  <c:v>1.2314700000000001</c:v>
                </c:pt>
                <c:pt idx="23">
                  <c:v>1.2841199999999999</c:v>
                </c:pt>
                <c:pt idx="24">
                  <c:v>1.30396</c:v>
                </c:pt>
                <c:pt idx="25">
                  <c:v>1.3077700000000001</c:v>
                </c:pt>
                <c:pt idx="26">
                  <c:v>1.4618899999999999</c:v>
                </c:pt>
                <c:pt idx="27">
                  <c:v>1.4802</c:v>
                </c:pt>
                <c:pt idx="28">
                  <c:v>1.49088</c:v>
                </c:pt>
                <c:pt idx="29">
                  <c:v>1.4946999999999999</c:v>
                </c:pt>
                <c:pt idx="30">
                  <c:v>1.5397099999999999</c:v>
                </c:pt>
                <c:pt idx="31">
                  <c:v>1.5679399999999999</c:v>
                </c:pt>
                <c:pt idx="32">
                  <c:v>1.65873</c:v>
                </c:pt>
                <c:pt idx="33">
                  <c:v>1.66178</c:v>
                </c:pt>
                <c:pt idx="34">
                  <c:v>1.71672</c:v>
                </c:pt>
                <c:pt idx="35">
                  <c:v>1.7548699999999999</c:v>
                </c:pt>
                <c:pt idx="36">
                  <c:v>1.8159000000000001</c:v>
                </c:pt>
                <c:pt idx="37">
                  <c:v>1.92424</c:v>
                </c:pt>
                <c:pt idx="38">
                  <c:v>1.9265300000000001</c:v>
                </c:pt>
                <c:pt idx="39">
                  <c:v>1.9532400000000001</c:v>
                </c:pt>
                <c:pt idx="40">
                  <c:v>2.00664</c:v>
                </c:pt>
                <c:pt idx="41">
                  <c:v>2.0501299999999998</c:v>
                </c:pt>
                <c:pt idx="42">
                  <c:v>2.08752</c:v>
                </c:pt>
                <c:pt idx="43">
                  <c:v>2.1180400000000001</c:v>
                </c:pt>
                <c:pt idx="44">
                  <c:v>2.1310099999999998</c:v>
                </c:pt>
                <c:pt idx="45">
                  <c:v>2.1928100000000001</c:v>
                </c:pt>
                <c:pt idx="46">
                  <c:v>2.2301899999999999</c:v>
                </c:pt>
                <c:pt idx="47">
                  <c:v>2.4712900000000002</c:v>
                </c:pt>
                <c:pt idx="48">
                  <c:v>2.5887799999999999</c:v>
                </c:pt>
                <c:pt idx="49">
                  <c:v>2.6040399999999999</c:v>
                </c:pt>
                <c:pt idx="50">
                  <c:v>2.6360899999999998</c:v>
                </c:pt>
                <c:pt idx="51">
                  <c:v>2.66737</c:v>
                </c:pt>
                <c:pt idx="52">
                  <c:v>2.7398500000000001</c:v>
                </c:pt>
                <c:pt idx="53">
                  <c:v>2.7581600000000002</c:v>
                </c:pt>
                <c:pt idx="54">
                  <c:v>2.76579</c:v>
                </c:pt>
                <c:pt idx="55">
                  <c:v>2.7711299999999999</c:v>
                </c:pt>
                <c:pt idx="56">
                  <c:v>2.7970700000000002</c:v>
                </c:pt>
                <c:pt idx="57">
                  <c:v>2.9740799999999998</c:v>
                </c:pt>
                <c:pt idx="58">
                  <c:v>2.9756100000000001</c:v>
                </c:pt>
                <c:pt idx="59">
                  <c:v>3.0610599999999999</c:v>
                </c:pt>
                <c:pt idx="60">
                  <c:v>3.0870000000000002</c:v>
                </c:pt>
                <c:pt idx="61">
                  <c:v>3.1015000000000001</c:v>
                </c:pt>
                <c:pt idx="62">
                  <c:v>3.13964</c:v>
                </c:pt>
                <c:pt idx="63">
                  <c:v>3.1549</c:v>
                </c:pt>
                <c:pt idx="64">
                  <c:v>3.26553</c:v>
                </c:pt>
                <c:pt idx="65">
                  <c:v>3.2716400000000001</c:v>
                </c:pt>
                <c:pt idx="66">
                  <c:v>3.28918</c:v>
                </c:pt>
                <c:pt idx="67">
                  <c:v>3.3830300000000002</c:v>
                </c:pt>
                <c:pt idx="68">
                  <c:v>3.5768200000000001</c:v>
                </c:pt>
                <c:pt idx="69">
                  <c:v>3.6256499999999998</c:v>
                </c:pt>
                <c:pt idx="70">
                  <c:v>3.6439599999999999</c:v>
                </c:pt>
                <c:pt idx="71">
                  <c:v>3.7240700000000002</c:v>
                </c:pt>
                <c:pt idx="72">
                  <c:v>3.7240700000000002</c:v>
                </c:pt>
                <c:pt idx="73">
                  <c:v>3.7278899999999999</c:v>
                </c:pt>
                <c:pt idx="74">
                  <c:v>3.72865</c:v>
                </c:pt>
                <c:pt idx="75">
                  <c:v>3.7362799999999998</c:v>
                </c:pt>
                <c:pt idx="76">
                  <c:v>3.7416200000000002</c:v>
                </c:pt>
                <c:pt idx="77">
                  <c:v>3.83928</c:v>
                </c:pt>
                <c:pt idx="78">
                  <c:v>3.86293</c:v>
                </c:pt>
                <c:pt idx="79">
                  <c:v>3.94381</c:v>
                </c:pt>
                <c:pt idx="80">
                  <c:v>3.9903499999999998</c:v>
                </c:pt>
                <c:pt idx="81">
                  <c:v>3.9933999999999998</c:v>
                </c:pt>
                <c:pt idx="82">
                  <c:v>4.117</c:v>
                </c:pt>
                <c:pt idx="83">
                  <c:v>4.12005</c:v>
                </c:pt>
                <c:pt idx="84">
                  <c:v>4.2985800000000003</c:v>
                </c:pt>
                <c:pt idx="85">
                  <c:v>4.3115500000000004</c:v>
                </c:pt>
                <c:pt idx="86">
                  <c:v>4.3313899999999999</c:v>
                </c:pt>
                <c:pt idx="87">
                  <c:v>4.3367300000000002</c:v>
                </c:pt>
                <c:pt idx="88">
                  <c:v>4.4137899999999997</c:v>
                </c:pt>
                <c:pt idx="89">
                  <c:v>4.4435500000000001</c:v>
                </c:pt>
                <c:pt idx="90">
                  <c:v>4.4565200000000003</c:v>
                </c:pt>
                <c:pt idx="91">
                  <c:v>4.4862700000000002</c:v>
                </c:pt>
                <c:pt idx="92">
                  <c:v>4.5007700000000002</c:v>
                </c:pt>
                <c:pt idx="93">
                  <c:v>4.5785900000000002</c:v>
                </c:pt>
                <c:pt idx="94">
                  <c:v>4.5793499999999998</c:v>
                </c:pt>
                <c:pt idx="95">
                  <c:v>4.5953799999999996</c:v>
                </c:pt>
                <c:pt idx="96">
                  <c:v>4.6648100000000001</c:v>
                </c:pt>
                <c:pt idx="97">
                  <c:v>4.8021399999999996</c:v>
                </c:pt>
                <c:pt idx="98">
                  <c:v>4.8494400000000004</c:v>
                </c:pt>
                <c:pt idx="99">
                  <c:v>5.10656</c:v>
                </c:pt>
                <c:pt idx="100">
                  <c:v>5.2232900000000004</c:v>
                </c:pt>
                <c:pt idx="101">
                  <c:v>5.2370299999999999</c:v>
                </c:pt>
                <c:pt idx="102">
                  <c:v>5.2843299999999997</c:v>
                </c:pt>
                <c:pt idx="103">
                  <c:v>5.2911999999999999</c:v>
                </c:pt>
                <c:pt idx="104">
                  <c:v>5.3156100000000004</c:v>
                </c:pt>
                <c:pt idx="105">
                  <c:v>5.38809</c:v>
                </c:pt>
                <c:pt idx="106">
                  <c:v>5.4254800000000003</c:v>
                </c:pt>
                <c:pt idx="107">
                  <c:v>5.5590000000000002</c:v>
                </c:pt>
                <c:pt idx="108">
                  <c:v>5.6406400000000003</c:v>
                </c:pt>
                <c:pt idx="109">
                  <c:v>5.70167</c:v>
                </c:pt>
                <c:pt idx="110">
                  <c:v>5.7695800000000004</c:v>
                </c:pt>
                <c:pt idx="111">
                  <c:v>5.8008600000000001</c:v>
                </c:pt>
                <c:pt idx="112">
                  <c:v>5.8870699999999996</c:v>
                </c:pt>
                <c:pt idx="113">
                  <c:v>5.9084399999999997</c:v>
                </c:pt>
                <c:pt idx="114">
                  <c:v>5.9160599999999999</c:v>
                </c:pt>
                <c:pt idx="115">
                  <c:v>5.9305599999999998</c:v>
                </c:pt>
                <c:pt idx="116">
                  <c:v>5.9534500000000001</c:v>
                </c:pt>
                <c:pt idx="117">
                  <c:v>5.9580299999999999</c:v>
                </c:pt>
                <c:pt idx="118">
                  <c:v>6.0053299999999998</c:v>
                </c:pt>
                <c:pt idx="119">
                  <c:v>6.0434799999999997</c:v>
                </c:pt>
                <c:pt idx="120">
                  <c:v>6.0579799999999997</c:v>
                </c:pt>
                <c:pt idx="121">
                  <c:v>6.1495300000000004</c:v>
                </c:pt>
                <c:pt idx="122">
                  <c:v>6.2502399999999998</c:v>
                </c:pt>
                <c:pt idx="123">
                  <c:v>6.2899200000000004</c:v>
                </c:pt>
                <c:pt idx="124">
                  <c:v>6.3372200000000003</c:v>
                </c:pt>
                <c:pt idx="125">
                  <c:v>6.3837599999999997</c:v>
                </c:pt>
                <c:pt idx="126">
                  <c:v>6.5638199999999998</c:v>
                </c:pt>
                <c:pt idx="127">
                  <c:v>6.5691600000000001</c:v>
                </c:pt>
                <c:pt idx="128">
                  <c:v>6.6408800000000001</c:v>
                </c:pt>
                <c:pt idx="129">
                  <c:v>6.6515599999999999</c:v>
                </c:pt>
                <c:pt idx="130">
                  <c:v>6.6706399999999997</c:v>
                </c:pt>
                <c:pt idx="131">
                  <c:v>6.82552</c:v>
                </c:pt>
                <c:pt idx="132">
                  <c:v>6.8407799999999996</c:v>
                </c:pt>
                <c:pt idx="133">
                  <c:v>6.8934199999999999</c:v>
                </c:pt>
                <c:pt idx="134">
                  <c:v>6.9514100000000001</c:v>
                </c:pt>
                <c:pt idx="135">
                  <c:v>6.9994699999999996</c:v>
                </c:pt>
                <c:pt idx="136">
                  <c:v>7.0254099999999999</c:v>
                </c:pt>
                <c:pt idx="137">
                  <c:v>7.0422000000000002</c:v>
                </c:pt>
                <c:pt idx="138">
                  <c:v>7.07348</c:v>
                </c:pt>
                <c:pt idx="139">
                  <c:v>7.1177299999999999</c:v>
                </c:pt>
                <c:pt idx="140">
                  <c:v>7.1429099999999996</c:v>
                </c:pt>
                <c:pt idx="141">
                  <c:v>7.1718999999999999</c:v>
                </c:pt>
                <c:pt idx="142">
                  <c:v>7.1780099999999996</c:v>
                </c:pt>
                <c:pt idx="143">
                  <c:v>7.2100499999999998</c:v>
                </c:pt>
                <c:pt idx="144">
                  <c:v>7.2306499999999998</c:v>
                </c:pt>
                <c:pt idx="145">
                  <c:v>7.3016100000000002</c:v>
                </c:pt>
                <c:pt idx="146">
                  <c:v>7.3588300000000002</c:v>
                </c:pt>
                <c:pt idx="147">
                  <c:v>7.37561</c:v>
                </c:pt>
                <c:pt idx="148">
                  <c:v>7.39011</c:v>
                </c:pt>
                <c:pt idx="149">
                  <c:v>7.5297299999999998</c:v>
                </c:pt>
                <c:pt idx="150">
                  <c:v>7.6250999999999998</c:v>
                </c:pt>
                <c:pt idx="151">
                  <c:v>7.6777499999999996</c:v>
                </c:pt>
                <c:pt idx="152">
                  <c:v>7.74641</c:v>
                </c:pt>
                <c:pt idx="153">
                  <c:v>7.7487000000000004</c:v>
                </c:pt>
                <c:pt idx="154">
                  <c:v>7.7799800000000001</c:v>
                </c:pt>
                <c:pt idx="155">
                  <c:v>7.8272899999999996</c:v>
                </c:pt>
                <c:pt idx="156">
                  <c:v>7.9608100000000004</c:v>
                </c:pt>
                <c:pt idx="157">
                  <c:v>8.0607500000000005</c:v>
                </c:pt>
                <c:pt idx="158">
                  <c:v>8.2041900000000005</c:v>
                </c:pt>
                <c:pt idx="159">
                  <c:v>8.2423400000000004</c:v>
                </c:pt>
                <c:pt idx="160">
                  <c:v>8.2782</c:v>
                </c:pt>
                <c:pt idx="161">
                  <c:v>8.3102400000000003</c:v>
                </c:pt>
                <c:pt idx="162">
                  <c:v>8.3491499999999998</c:v>
                </c:pt>
                <c:pt idx="163">
                  <c:v>8.3666999999999998</c:v>
                </c:pt>
                <c:pt idx="164">
                  <c:v>8.4254499999999997</c:v>
                </c:pt>
                <c:pt idx="165">
                  <c:v>8.4536800000000003</c:v>
                </c:pt>
                <c:pt idx="166">
                  <c:v>8.6291600000000006</c:v>
                </c:pt>
                <c:pt idx="167">
                  <c:v>8.6467100000000006</c:v>
                </c:pt>
                <c:pt idx="168">
                  <c:v>8.7024000000000008</c:v>
                </c:pt>
                <c:pt idx="169">
                  <c:v>8.7748899999999992</c:v>
                </c:pt>
                <c:pt idx="170">
                  <c:v>8.7954899999999991</c:v>
                </c:pt>
                <c:pt idx="171">
                  <c:v>8.8450799999999994</c:v>
                </c:pt>
                <c:pt idx="172">
                  <c:v>8.8580500000000004</c:v>
                </c:pt>
                <c:pt idx="173">
                  <c:v>8.8595799999999993</c:v>
                </c:pt>
                <c:pt idx="174">
                  <c:v>8.8694900000000008</c:v>
                </c:pt>
                <c:pt idx="175">
                  <c:v>8.89086</c:v>
                </c:pt>
                <c:pt idx="176">
                  <c:v>8.9160299999999992</c:v>
                </c:pt>
                <c:pt idx="177">
                  <c:v>8.9244299999999992</c:v>
                </c:pt>
                <c:pt idx="178">
                  <c:v>8.9923300000000008</c:v>
                </c:pt>
                <c:pt idx="179">
                  <c:v>9.0022500000000001</c:v>
                </c:pt>
                <c:pt idx="180">
                  <c:v>9.032</c:v>
                </c:pt>
                <c:pt idx="181">
                  <c:v>9.0548900000000003</c:v>
                </c:pt>
                <c:pt idx="182">
                  <c:v>9.0831199999999992</c:v>
                </c:pt>
                <c:pt idx="183">
                  <c:v>9.0907499999999999</c:v>
                </c:pt>
                <c:pt idx="184">
                  <c:v>9.0915199999999992</c:v>
                </c:pt>
                <c:pt idx="185">
                  <c:v>9.0937999999999999</c:v>
                </c:pt>
                <c:pt idx="186">
                  <c:v>9.1143999999999998</c:v>
                </c:pt>
                <c:pt idx="187">
                  <c:v>9.1143999999999998</c:v>
                </c:pt>
                <c:pt idx="188">
                  <c:v>9.1815499999999997</c:v>
                </c:pt>
                <c:pt idx="189">
                  <c:v>9.1861200000000007</c:v>
                </c:pt>
                <c:pt idx="190">
                  <c:v>9.3074300000000001</c:v>
                </c:pt>
                <c:pt idx="191">
                  <c:v>9.33948</c:v>
                </c:pt>
                <c:pt idx="192">
                  <c:v>9.3646600000000007</c:v>
                </c:pt>
                <c:pt idx="193">
                  <c:v>9.3768600000000006</c:v>
                </c:pt>
                <c:pt idx="194">
                  <c:v>9.4073799999999999</c:v>
                </c:pt>
                <c:pt idx="195">
                  <c:v>9.4371399999999994</c:v>
                </c:pt>
                <c:pt idx="196">
                  <c:v>9.4661299999999997</c:v>
                </c:pt>
                <c:pt idx="197">
                  <c:v>9.6004100000000001</c:v>
                </c:pt>
                <c:pt idx="198">
                  <c:v>9.6614500000000003</c:v>
                </c:pt>
                <c:pt idx="199">
                  <c:v>9.9910499999999995</c:v>
                </c:pt>
                <c:pt idx="200">
                  <c:v>10.037599999999999</c:v>
                </c:pt>
                <c:pt idx="201">
                  <c:v>10.047499999999999</c:v>
                </c:pt>
                <c:pt idx="202">
                  <c:v>10.111599999999999</c:v>
                </c:pt>
                <c:pt idx="203">
                  <c:v>10.274100000000001</c:v>
                </c:pt>
                <c:pt idx="204">
                  <c:v>10.3611</c:v>
                </c:pt>
                <c:pt idx="205">
                  <c:v>10.4381</c:v>
                </c:pt>
                <c:pt idx="206">
                  <c:v>10.4435</c:v>
                </c:pt>
                <c:pt idx="207">
                  <c:v>10.4847</c:v>
                </c:pt>
                <c:pt idx="208">
                  <c:v>10.4877</c:v>
                </c:pt>
                <c:pt idx="209">
                  <c:v>10.5465</c:v>
                </c:pt>
                <c:pt idx="210">
                  <c:v>10.831099999999999</c:v>
                </c:pt>
                <c:pt idx="211">
                  <c:v>10.873799999999999</c:v>
                </c:pt>
                <c:pt idx="212">
                  <c:v>10.911899999999999</c:v>
                </c:pt>
                <c:pt idx="213">
                  <c:v>10.935600000000001</c:v>
                </c:pt>
                <c:pt idx="214">
                  <c:v>11.2255</c:v>
                </c:pt>
                <c:pt idx="215">
                  <c:v>11.2377</c:v>
                </c:pt>
                <c:pt idx="216">
                  <c:v>11.2431</c:v>
                </c:pt>
                <c:pt idx="217">
                  <c:v>11.3217</c:v>
                </c:pt>
                <c:pt idx="218">
                  <c:v>11.3659</c:v>
                </c:pt>
                <c:pt idx="219">
                  <c:v>11.3705</c:v>
                </c:pt>
                <c:pt idx="220">
                  <c:v>11.3705</c:v>
                </c:pt>
                <c:pt idx="221">
                  <c:v>11.4186</c:v>
                </c:pt>
                <c:pt idx="222">
                  <c:v>11.462</c:v>
                </c:pt>
                <c:pt idx="223">
                  <c:v>11.702400000000001</c:v>
                </c:pt>
                <c:pt idx="224">
                  <c:v>11.741300000000001</c:v>
                </c:pt>
                <c:pt idx="225">
                  <c:v>11.753500000000001</c:v>
                </c:pt>
                <c:pt idx="226">
                  <c:v>11.767200000000001</c:v>
                </c:pt>
                <c:pt idx="227">
                  <c:v>11.796200000000001</c:v>
                </c:pt>
                <c:pt idx="228">
                  <c:v>11.8565</c:v>
                </c:pt>
                <c:pt idx="229">
                  <c:v>11.9122</c:v>
                </c:pt>
                <c:pt idx="230">
                  <c:v>11.9152</c:v>
                </c:pt>
                <c:pt idx="231">
                  <c:v>11.929</c:v>
                </c:pt>
                <c:pt idx="232">
                  <c:v>11.9503</c:v>
                </c:pt>
                <c:pt idx="233">
                  <c:v>11.9732</c:v>
                </c:pt>
                <c:pt idx="234">
                  <c:v>11.9938</c:v>
                </c:pt>
                <c:pt idx="235">
                  <c:v>12.0213</c:v>
                </c:pt>
                <c:pt idx="236">
                  <c:v>12.0251</c:v>
                </c:pt>
                <c:pt idx="237">
                  <c:v>12.0526</c:v>
                </c:pt>
                <c:pt idx="238">
                  <c:v>12.2059</c:v>
                </c:pt>
                <c:pt idx="239">
                  <c:v>12.2212</c:v>
                </c:pt>
                <c:pt idx="240">
                  <c:v>12.373799999999999</c:v>
                </c:pt>
                <c:pt idx="241">
                  <c:v>12.424099999999999</c:v>
                </c:pt>
                <c:pt idx="242">
                  <c:v>12.510400000000001</c:v>
                </c:pt>
                <c:pt idx="243">
                  <c:v>12.563800000000001</c:v>
                </c:pt>
                <c:pt idx="244">
                  <c:v>12.572900000000001</c:v>
                </c:pt>
                <c:pt idx="245">
                  <c:v>12.6805</c:v>
                </c:pt>
                <c:pt idx="246">
                  <c:v>12.7324</c:v>
                </c:pt>
                <c:pt idx="247">
                  <c:v>12.7507</c:v>
                </c:pt>
                <c:pt idx="248">
                  <c:v>12.7675</c:v>
                </c:pt>
                <c:pt idx="249">
                  <c:v>12.8552</c:v>
                </c:pt>
                <c:pt idx="250">
                  <c:v>12.875</c:v>
                </c:pt>
                <c:pt idx="251">
                  <c:v>12.9361</c:v>
                </c:pt>
                <c:pt idx="252">
                  <c:v>12.9613</c:v>
                </c:pt>
                <c:pt idx="253">
                  <c:v>12.9864</c:v>
                </c:pt>
                <c:pt idx="254">
                  <c:v>13.065799999999999</c:v>
                </c:pt>
                <c:pt idx="255">
                  <c:v>13.098599999999999</c:v>
                </c:pt>
                <c:pt idx="256">
                  <c:v>13.171799999999999</c:v>
                </c:pt>
                <c:pt idx="257">
                  <c:v>13.193199999999999</c:v>
                </c:pt>
                <c:pt idx="258">
                  <c:v>13.3992</c:v>
                </c:pt>
                <c:pt idx="259">
                  <c:v>13.4168</c:v>
                </c:pt>
                <c:pt idx="260">
                  <c:v>13.6281</c:v>
                </c:pt>
                <c:pt idx="261">
                  <c:v>13.6372</c:v>
                </c:pt>
                <c:pt idx="262">
                  <c:v>13.6395</c:v>
                </c:pt>
                <c:pt idx="263">
                  <c:v>13.6609</c:v>
                </c:pt>
                <c:pt idx="264">
                  <c:v>13.6655</c:v>
                </c:pt>
                <c:pt idx="265">
                  <c:v>13.6731</c:v>
                </c:pt>
                <c:pt idx="266">
                  <c:v>13.6846</c:v>
                </c:pt>
                <c:pt idx="267">
                  <c:v>13.797499999999999</c:v>
                </c:pt>
                <c:pt idx="268">
                  <c:v>13.879099999999999</c:v>
                </c:pt>
                <c:pt idx="269">
                  <c:v>13.970700000000001</c:v>
                </c:pt>
                <c:pt idx="270">
                  <c:v>13.979799999999999</c:v>
                </c:pt>
                <c:pt idx="271">
                  <c:v>14.044700000000001</c:v>
                </c:pt>
                <c:pt idx="272">
                  <c:v>14.078200000000001</c:v>
                </c:pt>
                <c:pt idx="273">
                  <c:v>14.2163</c:v>
                </c:pt>
                <c:pt idx="274">
                  <c:v>14.2285</c:v>
                </c:pt>
                <c:pt idx="275">
                  <c:v>14.2545</c:v>
                </c:pt>
                <c:pt idx="276">
                  <c:v>14.2713</c:v>
                </c:pt>
                <c:pt idx="277">
                  <c:v>14.2812</c:v>
                </c:pt>
                <c:pt idx="278">
                  <c:v>14.3216</c:v>
                </c:pt>
                <c:pt idx="279">
                  <c:v>14.3399</c:v>
                </c:pt>
                <c:pt idx="280">
                  <c:v>14.459</c:v>
                </c:pt>
                <c:pt idx="281">
                  <c:v>14.4727</c:v>
                </c:pt>
                <c:pt idx="282">
                  <c:v>14.5223</c:v>
                </c:pt>
                <c:pt idx="283">
                  <c:v>14.567299999999999</c:v>
                </c:pt>
                <c:pt idx="284">
                  <c:v>14.5848</c:v>
                </c:pt>
                <c:pt idx="285">
                  <c:v>14.634399999999999</c:v>
                </c:pt>
                <c:pt idx="286">
                  <c:v>14.9518</c:v>
                </c:pt>
                <c:pt idx="287">
                  <c:v>14.9923</c:v>
                </c:pt>
                <c:pt idx="288">
                  <c:v>15.1296</c:v>
                </c:pt>
                <c:pt idx="289">
                  <c:v>15.1365</c:v>
                </c:pt>
                <c:pt idx="290">
                  <c:v>15.154</c:v>
                </c:pt>
                <c:pt idx="291">
                  <c:v>15.1678</c:v>
                </c:pt>
                <c:pt idx="292">
                  <c:v>15.183</c:v>
                </c:pt>
                <c:pt idx="293">
                  <c:v>15.2448</c:v>
                </c:pt>
                <c:pt idx="294">
                  <c:v>15.2997</c:v>
                </c:pt>
                <c:pt idx="295">
                  <c:v>15.3142</c:v>
                </c:pt>
                <c:pt idx="296">
                  <c:v>15.356199999999999</c:v>
                </c:pt>
                <c:pt idx="297">
                  <c:v>15.398199999999999</c:v>
                </c:pt>
                <c:pt idx="298">
                  <c:v>15.416499999999999</c:v>
                </c:pt>
                <c:pt idx="299">
                  <c:v>15.466100000000001</c:v>
                </c:pt>
                <c:pt idx="300">
                  <c:v>15.518000000000001</c:v>
                </c:pt>
                <c:pt idx="301">
                  <c:v>15.577500000000001</c:v>
                </c:pt>
                <c:pt idx="302">
                  <c:v>15.6271</c:v>
                </c:pt>
                <c:pt idx="303">
                  <c:v>15.632400000000001</c:v>
                </c:pt>
                <c:pt idx="304">
                  <c:v>15.666700000000001</c:v>
                </c:pt>
                <c:pt idx="305">
                  <c:v>15.7095</c:v>
                </c:pt>
                <c:pt idx="306">
                  <c:v>15.7354</c:v>
                </c:pt>
                <c:pt idx="307">
                  <c:v>15.7438</c:v>
                </c:pt>
                <c:pt idx="308">
                  <c:v>15.7606</c:v>
                </c:pt>
                <c:pt idx="309">
                  <c:v>15.814</c:v>
                </c:pt>
                <c:pt idx="310">
                  <c:v>15.8918</c:v>
                </c:pt>
                <c:pt idx="311">
                  <c:v>15.9429</c:v>
                </c:pt>
                <c:pt idx="312">
                  <c:v>15.9757</c:v>
                </c:pt>
                <c:pt idx="313">
                  <c:v>16.078700000000001</c:v>
                </c:pt>
                <c:pt idx="314">
                  <c:v>16.086400000000001</c:v>
                </c:pt>
                <c:pt idx="315">
                  <c:v>16.167999999999999</c:v>
                </c:pt>
                <c:pt idx="316">
                  <c:v>16.319099999999999</c:v>
                </c:pt>
                <c:pt idx="317">
                  <c:v>16.325900000000001</c:v>
                </c:pt>
                <c:pt idx="318">
                  <c:v>16.331299999999999</c:v>
                </c:pt>
                <c:pt idx="319">
                  <c:v>16.4984</c:v>
                </c:pt>
                <c:pt idx="320">
                  <c:v>16.506799999999998</c:v>
                </c:pt>
                <c:pt idx="321">
                  <c:v>16.509</c:v>
                </c:pt>
                <c:pt idx="322">
                  <c:v>16.5274</c:v>
                </c:pt>
                <c:pt idx="323">
                  <c:v>16.552499999999998</c:v>
                </c:pt>
                <c:pt idx="324">
                  <c:v>16.564699999999998</c:v>
                </c:pt>
                <c:pt idx="325">
                  <c:v>16.6143</c:v>
                </c:pt>
                <c:pt idx="326">
                  <c:v>16.6937</c:v>
                </c:pt>
                <c:pt idx="327">
                  <c:v>16.718900000000001</c:v>
                </c:pt>
                <c:pt idx="328">
                  <c:v>16.7532</c:v>
                </c:pt>
                <c:pt idx="329">
                  <c:v>16.857700000000001</c:v>
                </c:pt>
                <c:pt idx="330">
                  <c:v>16.866099999999999</c:v>
                </c:pt>
                <c:pt idx="331">
                  <c:v>16.905000000000001</c:v>
                </c:pt>
                <c:pt idx="332">
                  <c:v>16.975999999999999</c:v>
                </c:pt>
                <c:pt idx="333">
                  <c:v>17.007999999999999</c:v>
                </c:pt>
                <c:pt idx="334">
                  <c:v>17.022500000000001</c:v>
                </c:pt>
                <c:pt idx="335">
                  <c:v>17.149899999999999</c:v>
                </c:pt>
                <c:pt idx="336">
                  <c:v>17.1568</c:v>
                </c:pt>
                <c:pt idx="337">
                  <c:v>17.166699999999999</c:v>
                </c:pt>
                <c:pt idx="338">
                  <c:v>17.218599999999999</c:v>
                </c:pt>
                <c:pt idx="339">
                  <c:v>17.2773</c:v>
                </c:pt>
                <c:pt idx="340">
                  <c:v>17.305599999999998</c:v>
                </c:pt>
                <c:pt idx="341">
                  <c:v>17.363600000000002</c:v>
                </c:pt>
                <c:pt idx="342">
                  <c:v>17.5001</c:v>
                </c:pt>
                <c:pt idx="343">
                  <c:v>17.574100000000001</c:v>
                </c:pt>
                <c:pt idx="344">
                  <c:v>17.616900000000001</c:v>
                </c:pt>
                <c:pt idx="345">
                  <c:v>17.795400000000001</c:v>
                </c:pt>
                <c:pt idx="346">
                  <c:v>17.808399999999999</c:v>
                </c:pt>
                <c:pt idx="347">
                  <c:v>17.837399999999999</c:v>
                </c:pt>
                <c:pt idx="348">
                  <c:v>17.936499999999999</c:v>
                </c:pt>
                <c:pt idx="349">
                  <c:v>18.1143</c:v>
                </c:pt>
                <c:pt idx="350">
                  <c:v>18.1158</c:v>
                </c:pt>
                <c:pt idx="351">
                  <c:v>18.298200000000001</c:v>
                </c:pt>
                <c:pt idx="352">
                  <c:v>18.3127</c:v>
                </c:pt>
                <c:pt idx="353">
                  <c:v>18.325700000000001</c:v>
                </c:pt>
                <c:pt idx="354">
                  <c:v>18.363800000000001</c:v>
                </c:pt>
                <c:pt idx="355">
                  <c:v>18.397400000000001</c:v>
                </c:pt>
                <c:pt idx="356">
                  <c:v>18.480499999999999</c:v>
                </c:pt>
                <c:pt idx="357">
                  <c:v>18.495799999999999</c:v>
                </c:pt>
                <c:pt idx="358">
                  <c:v>18.501899999999999</c:v>
                </c:pt>
                <c:pt idx="359">
                  <c:v>18.506499999999999</c:v>
                </c:pt>
                <c:pt idx="360">
                  <c:v>18.517900000000001</c:v>
                </c:pt>
                <c:pt idx="361">
                  <c:v>18.536999999999999</c:v>
                </c:pt>
                <c:pt idx="362">
                  <c:v>18.543900000000001</c:v>
                </c:pt>
                <c:pt idx="363">
                  <c:v>18.6568</c:v>
                </c:pt>
                <c:pt idx="364">
                  <c:v>18.672799999999999</c:v>
                </c:pt>
                <c:pt idx="365">
                  <c:v>18.764399999999998</c:v>
                </c:pt>
                <c:pt idx="366">
                  <c:v>18.8277</c:v>
                </c:pt>
                <c:pt idx="367">
                  <c:v>18.836099999999998</c:v>
                </c:pt>
                <c:pt idx="368">
                  <c:v>18.8506</c:v>
                </c:pt>
                <c:pt idx="369">
                  <c:v>18.8857</c:v>
                </c:pt>
                <c:pt idx="370">
                  <c:v>19.0352</c:v>
                </c:pt>
                <c:pt idx="371">
                  <c:v>19.0871</c:v>
                </c:pt>
                <c:pt idx="372">
                  <c:v>19.123699999999999</c:v>
                </c:pt>
                <c:pt idx="373">
                  <c:v>19.145099999999999</c:v>
                </c:pt>
                <c:pt idx="374">
                  <c:v>19.158000000000001</c:v>
                </c:pt>
                <c:pt idx="375">
                  <c:v>19.228200000000001</c:v>
                </c:pt>
                <c:pt idx="376">
                  <c:v>19.331199999999999</c:v>
                </c:pt>
                <c:pt idx="377">
                  <c:v>19.4709</c:v>
                </c:pt>
                <c:pt idx="378">
                  <c:v>19.521999999999998</c:v>
                </c:pt>
                <c:pt idx="379">
                  <c:v>19.5227</c:v>
                </c:pt>
                <c:pt idx="380">
                  <c:v>19.584499999999998</c:v>
                </c:pt>
                <c:pt idx="381">
                  <c:v>19.6235</c:v>
                </c:pt>
                <c:pt idx="382">
                  <c:v>19.6387</c:v>
                </c:pt>
                <c:pt idx="383">
                  <c:v>19.686800000000002</c:v>
                </c:pt>
                <c:pt idx="384">
                  <c:v>19.723400000000002</c:v>
                </c:pt>
                <c:pt idx="385">
                  <c:v>19.7593</c:v>
                </c:pt>
                <c:pt idx="386">
                  <c:v>19.767700000000001</c:v>
                </c:pt>
                <c:pt idx="387">
                  <c:v>19.772200000000002</c:v>
                </c:pt>
                <c:pt idx="388">
                  <c:v>19.790500000000002</c:v>
                </c:pt>
                <c:pt idx="389">
                  <c:v>19.836300000000001</c:v>
                </c:pt>
                <c:pt idx="390">
                  <c:v>19.863800000000001</c:v>
                </c:pt>
                <c:pt idx="391">
                  <c:v>19.970600000000001</c:v>
                </c:pt>
                <c:pt idx="392">
                  <c:v>20.078199999999999</c:v>
                </c:pt>
                <c:pt idx="393">
                  <c:v>20.087299999999999</c:v>
                </c:pt>
                <c:pt idx="394">
                  <c:v>20.093399999999999</c:v>
                </c:pt>
                <c:pt idx="395">
                  <c:v>20.135400000000001</c:v>
                </c:pt>
                <c:pt idx="396">
                  <c:v>20.147600000000001</c:v>
                </c:pt>
                <c:pt idx="397">
                  <c:v>20.182700000000001</c:v>
                </c:pt>
                <c:pt idx="398">
                  <c:v>20.203299999999999</c:v>
                </c:pt>
                <c:pt idx="399">
                  <c:v>20.2544</c:v>
                </c:pt>
                <c:pt idx="400">
                  <c:v>20.316199999999998</c:v>
                </c:pt>
                <c:pt idx="401">
                  <c:v>20.340599999999998</c:v>
                </c:pt>
                <c:pt idx="402">
                  <c:v>20.390999999999998</c:v>
                </c:pt>
                <c:pt idx="403">
                  <c:v>20.4238</c:v>
                </c:pt>
                <c:pt idx="404">
                  <c:v>20.4864</c:v>
                </c:pt>
                <c:pt idx="405">
                  <c:v>20.490200000000002</c:v>
                </c:pt>
                <c:pt idx="406">
                  <c:v>20.543600000000001</c:v>
                </c:pt>
                <c:pt idx="407">
                  <c:v>20.6023</c:v>
                </c:pt>
                <c:pt idx="408">
                  <c:v>20.665700000000001</c:v>
                </c:pt>
                <c:pt idx="409">
                  <c:v>20.697700000000001</c:v>
                </c:pt>
                <c:pt idx="410">
                  <c:v>20.771699999999999</c:v>
                </c:pt>
                <c:pt idx="411">
                  <c:v>20.775500000000001</c:v>
                </c:pt>
                <c:pt idx="412">
                  <c:v>20.814399999999999</c:v>
                </c:pt>
                <c:pt idx="413">
                  <c:v>20.821300000000001</c:v>
                </c:pt>
                <c:pt idx="414">
                  <c:v>20.847999999999999</c:v>
                </c:pt>
                <c:pt idx="415">
                  <c:v>20.983799999999999</c:v>
                </c:pt>
                <c:pt idx="416">
                  <c:v>20.9876</c:v>
                </c:pt>
                <c:pt idx="417">
                  <c:v>21.0899</c:v>
                </c:pt>
                <c:pt idx="418">
                  <c:v>21.1005</c:v>
                </c:pt>
                <c:pt idx="419">
                  <c:v>21.160799999999998</c:v>
                </c:pt>
                <c:pt idx="420">
                  <c:v>21.2882</c:v>
                </c:pt>
                <c:pt idx="421">
                  <c:v>21.289000000000001</c:v>
                </c:pt>
                <c:pt idx="422">
                  <c:v>21.406500000000001</c:v>
                </c:pt>
                <c:pt idx="423">
                  <c:v>21.509499999999999</c:v>
                </c:pt>
                <c:pt idx="424">
                  <c:v>21.556000000000001</c:v>
                </c:pt>
                <c:pt idx="425">
                  <c:v>21.571300000000001</c:v>
                </c:pt>
                <c:pt idx="426">
                  <c:v>21.7453</c:v>
                </c:pt>
                <c:pt idx="427">
                  <c:v>21.7559</c:v>
                </c:pt>
                <c:pt idx="428">
                  <c:v>21.7773</c:v>
                </c:pt>
                <c:pt idx="429">
                  <c:v>21.810099999999998</c:v>
                </c:pt>
                <c:pt idx="430">
                  <c:v>21.8551</c:v>
                </c:pt>
                <c:pt idx="431">
                  <c:v>21.8917</c:v>
                </c:pt>
                <c:pt idx="432">
                  <c:v>21.9894</c:v>
                </c:pt>
                <c:pt idx="433">
                  <c:v>22.060400000000001</c:v>
                </c:pt>
                <c:pt idx="434">
                  <c:v>22.174800000000001</c:v>
                </c:pt>
                <c:pt idx="435">
                  <c:v>22.303000000000001</c:v>
                </c:pt>
                <c:pt idx="436">
                  <c:v>22.358699999999999</c:v>
                </c:pt>
                <c:pt idx="437">
                  <c:v>22.4678</c:v>
                </c:pt>
                <c:pt idx="438">
                  <c:v>22.628</c:v>
                </c:pt>
                <c:pt idx="439">
                  <c:v>22.6951</c:v>
                </c:pt>
                <c:pt idx="440">
                  <c:v>22.7073</c:v>
                </c:pt>
                <c:pt idx="441">
                  <c:v>22.753900000000002</c:v>
                </c:pt>
                <c:pt idx="442">
                  <c:v>22.775300000000001</c:v>
                </c:pt>
                <c:pt idx="443">
                  <c:v>22.776</c:v>
                </c:pt>
                <c:pt idx="444">
                  <c:v>22.805</c:v>
                </c:pt>
                <c:pt idx="445">
                  <c:v>22.816500000000001</c:v>
                </c:pt>
                <c:pt idx="446">
                  <c:v>22.909500000000001</c:v>
                </c:pt>
                <c:pt idx="447">
                  <c:v>22.959900000000001</c:v>
                </c:pt>
                <c:pt idx="448">
                  <c:v>22.977399999999999</c:v>
                </c:pt>
                <c:pt idx="449">
                  <c:v>22.993500000000001</c:v>
                </c:pt>
                <c:pt idx="450">
                  <c:v>22.996500000000001</c:v>
                </c:pt>
                <c:pt idx="451">
                  <c:v>23.053699999999999</c:v>
                </c:pt>
                <c:pt idx="452">
                  <c:v>23.060600000000001</c:v>
                </c:pt>
                <c:pt idx="453">
                  <c:v>23.091100000000001</c:v>
                </c:pt>
                <c:pt idx="454">
                  <c:v>23.133099999999999</c:v>
                </c:pt>
                <c:pt idx="455">
                  <c:v>23.143000000000001</c:v>
                </c:pt>
                <c:pt idx="456">
                  <c:v>23.152200000000001</c:v>
                </c:pt>
                <c:pt idx="457">
                  <c:v>23.161300000000001</c:v>
                </c:pt>
                <c:pt idx="458">
                  <c:v>23.163599999999999</c:v>
                </c:pt>
                <c:pt idx="459">
                  <c:v>23.180399999999999</c:v>
                </c:pt>
                <c:pt idx="460">
                  <c:v>23.197199999999999</c:v>
                </c:pt>
                <c:pt idx="461">
                  <c:v>23.242899999999999</c:v>
                </c:pt>
                <c:pt idx="462">
                  <c:v>23.2651</c:v>
                </c:pt>
                <c:pt idx="463">
                  <c:v>23.291799999999999</c:v>
                </c:pt>
                <c:pt idx="464">
                  <c:v>23.300899999999999</c:v>
                </c:pt>
                <c:pt idx="465">
                  <c:v>23.328399999999998</c:v>
                </c:pt>
                <c:pt idx="466">
                  <c:v>23.3902</c:v>
                </c:pt>
                <c:pt idx="467">
                  <c:v>23.569500000000001</c:v>
                </c:pt>
                <c:pt idx="468">
                  <c:v>23.644300000000001</c:v>
                </c:pt>
                <c:pt idx="469">
                  <c:v>23.6496</c:v>
                </c:pt>
                <c:pt idx="470">
                  <c:v>23.702999999999999</c:v>
                </c:pt>
                <c:pt idx="471">
                  <c:v>23.787700000000001</c:v>
                </c:pt>
                <c:pt idx="472">
                  <c:v>23.924299999999999</c:v>
                </c:pt>
                <c:pt idx="473">
                  <c:v>23.951699999999999</c:v>
                </c:pt>
                <c:pt idx="474">
                  <c:v>23.9678</c:v>
                </c:pt>
                <c:pt idx="475">
                  <c:v>23.9998</c:v>
                </c:pt>
                <c:pt idx="476">
                  <c:v>24.082999999999998</c:v>
                </c:pt>
                <c:pt idx="477">
                  <c:v>24.096699999999998</c:v>
                </c:pt>
                <c:pt idx="478">
                  <c:v>24.099799999999998</c:v>
                </c:pt>
                <c:pt idx="479">
                  <c:v>24.145499999999998</c:v>
                </c:pt>
                <c:pt idx="480">
                  <c:v>24.1753</c:v>
                </c:pt>
                <c:pt idx="481">
                  <c:v>24.266100000000002</c:v>
                </c:pt>
                <c:pt idx="482">
                  <c:v>24.267600000000002</c:v>
                </c:pt>
                <c:pt idx="483">
                  <c:v>24.2775</c:v>
                </c:pt>
                <c:pt idx="484">
                  <c:v>24.2791</c:v>
                </c:pt>
                <c:pt idx="485">
                  <c:v>24.2989</c:v>
                </c:pt>
                <c:pt idx="486">
                  <c:v>24.510999999999999</c:v>
                </c:pt>
                <c:pt idx="487">
                  <c:v>24.530100000000001</c:v>
                </c:pt>
                <c:pt idx="488">
                  <c:v>24.575099999999999</c:v>
                </c:pt>
                <c:pt idx="489">
                  <c:v>24.605599999999999</c:v>
                </c:pt>
                <c:pt idx="490">
                  <c:v>24.716999999999999</c:v>
                </c:pt>
                <c:pt idx="491">
                  <c:v>24.806999999999999</c:v>
                </c:pt>
                <c:pt idx="492">
                  <c:v>24.8124</c:v>
                </c:pt>
                <c:pt idx="493">
                  <c:v>24.820799999999998</c:v>
                </c:pt>
                <c:pt idx="494">
                  <c:v>24.8414</c:v>
                </c:pt>
                <c:pt idx="495">
                  <c:v>24.845199999999998</c:v>
                </c:pt>
                <c:pt idx="496">
                  <c:v>24.848199999999999</c:v>
                </c:pt>
                <c:pt idx="497">
                  <c:v>25.0046</c:v>
                </c:pt>
                <c:pt idx="498">
                  <c:v>25.0092</c:v>
                </c:pt>
                <c:pt idx="499">
                  <c:v>25.020700000000001</c:v>
                </c:pt>
              </c:numCache>
            </c:numRef>
          </c:xVal>
          <c:yVal>
            <c:numRef>
              <c:f>'Newton Interpolating Polynomial'!$G$494</c:f>
              <c:numCache>
                <c:formatCode>General</c:formatCode>
                <c:ptCount val="1"/>
                <c:pt idx="0">
                  <c:v>3.3772899999999999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BD2-4319-B352-C85FF2FF6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3777248"/>
        <c:axId val="863774728"/>
      </c:scatterChart>
      <c:valAx>
        <c:axId val="86377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774728"/>
        <c:crosses val="autoZero"/>
        <c:crossBetween val="midCat"/>
      </c:valAx>
      <c:valAx>
        <c:axId val="863774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377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</xdr:row>
      <xdr:rowOff>180974</xdr:rowOff>
    </xdr:from>
    <xdr:to>
      <xdr:col>19</xdr:col>
      <xdr:colOff>619125</xdr:colOff>
      <xdr:row>26</xdr:row>
      <xdr:rowOff>133349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5B6AEE33-57E0-6B2B-299B-BF8B9DEE1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114300</xdr:rowOff>
    </xdr:from>
    <xdr:to>
      <xdr:col>19</xdr:col>
      <xdr:colOff>180975</xdr:colOff>
      <xdr:row>24</xdr:row>
      <xdr:rowOff>66675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D73D100-11AE-42B5-AE9E-5F0A69F1C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100853</xdr:colOff>
      <xdr:row>5</xdr:row>
      <xdr:rowOff>100853</xdr:rowOff>
    </xdr:from>
    <xdr:to>
      <xdr:col>22</xdr:col>
      <xdr:colOff>681877</xdr:colOff>
      <xdr:row>29</xdr:row>
      <xdr:rowOff>49866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EBD8383-6279-472B-9CFC-1C3F4725F3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EC083F5-439B-4171-B4F6-CC6EA3A5793A}">
  <we:reference id="WA104100404" version="3.0.0.1" store="Omex" storeType="OMEX"/>
  <we:alternateReferences>
    <we:reference id="WA104100404" version="3.0.0.1" store="WA104100404" storeType="OMEX"/>
  </we:alternateReferences>
  <we:properties>
    <we:property name="UniqueID" value="&quot;20251020176362822317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125D-170D-4F9B-A074-280C1015E492}">
  <dimension ref="A1:B500"/>
  <sheetViews>
    <sheetView zoomScaleNormal="100" workbookViewId="0">
      <selection activeCell="G29" sqref="G29"/>
    </sheetView>
  </sheetViews>
  <sheetFormatPr defaultRowHeight="16.5" x14ac:dyDescent="0.15"/>
  <cols>
    <col min="1" max="16384" width="9" style="1"/>
  </cols>
  <sheetData>
    <row r="1" spans="1:2" x14ac:dyDescent="0.15">
      <c r="A1" s="1">
        <v>0.1206</v>
      </c>
      <c r="B1" s="1">
        <v>-2.10284</v>
      </c>
    </row>
    <row r="2" spans="1:2" x14ac:dyDescent="0.15">
      <c r="A2" s="1">
        <v>0.17858499999999999</v>
      </c>
      <c r="B2" s="1">
        <v>-2.0302600000000002</v>
      </c>
    </row>
    <row r="3" spans="1:2" x14ac:dyDescent="0.15">
      <c r="A3" s="1">
        <v>0.26098500000000002</v>
      </c>
      <c r="B3" s="1">
        <v>-1.26223</v>
      </c>
    </row>
    <row r="4" spans="1:2" x14ac:dyDescent="0.15">
      <c r="A4" s="1">
        <v>0.26632600000000001</v>
      </c>
      <c r="B4" s="1">
        <v>-1.04247</v>
      </c>
    </row>
    <row r="5" spans="1:2" x14ac:dyDescent="0.15">
      <c r="A5" s="1">
        <v>0.42044399999999998</v>
      </c>
      <c r="B5" s="1">
        <v>-0.84216500000000005</v>
      </c>
    </row>
    <row r="6" spans="1:2" x14ac:dyDescent="0.15">
      <c r="A6" s="1">
        <v>0.59363699999999997</v>
      </c>
      <c r="B6" s="1">
        <v>-0.38304100000000002</v>
      </c>
    </row>
    <row r="7" spans="1:2" x14ac:dyDescent="0.15">
      <c r="A7" s="1">
        <v>0.67374800000000001</v>
      </c>
      <c r="B7" s="1">
        <v>1.1259699999999999E-2</v>
      </c>
    </row>
    <row r="8" spans="1:2" x14ac:dyDescent="0.15">
      <c r="A8" s="1">
        <v>0.74622900000000003</v>
      </c>
      <c r="B8" s="1">
        <v>-4.4904699999999999E-2</v>
      </c>
    </row>
    <row r="9" spans="1:2" x14ac:dyDescent="0.15">
      <c r="A9" s="1">
        <v>0.75767399999999996</v>
      </c>
      <c r="B9" s="1">
        <v>-0.29413600000000001</v>
      </c>
    </row>
    <row r="10" spans="1:2" x14ac:dyDescent="0.15">
      <c r="A10" s="1">
        <v>0.88508900000000001</v>
      </c>
      <c r="B10" s="1">
        <v>-0.17608199999999999</v>
      </c>
    </row>
    <row r="11" spans="1:2" x14ac:dyDescent="0.15">
      <c r="A11" s="1">
        <v>0.89653300000000002</v>
      </c>
      <c r="B11" s="1">
        <v>0.11809</v>
      </c>
    </row>
    <row r="12" spans="1:2" x14ac:dyDescent="0.15">
      <c r="A12" s="1">
        <v>0.92628900000000003</v>
      </c>
      <c r="B12" s="1">
        <v>-6.9123100000000007E-2</v>
      </c>
    </row>
    <row r="13" spans="1:2" x14ac:dyDescent="0.15">
      <c r="A13" s="1">
        <v>0.96443699999999999</v>
      </c>
      <c r="B13" s="1">
        <v>-0.25100600000000001</v>
      </c>
    </row>
    <row r="14" spans="1:2" x14ac:dyDescent="0.15">
      <c r="A14" s="1">
        <v>1.0132699999999999</v>
      </c>
      <c r="B14" s="1">
        <v>0.229299</v>
      </c>
    </row>
    <row r="15" spans="1:2" x14ac:dyDescent="0.15">
      <c r="A15" s="1">
        <v>1.0430200000000001</v>
      </c>
      <c r="B15" s="1">
        <v>1.83976E-2</v>
      </c>
    </row>
    <row r="16" spans="1:2" x14ac:dyDescent="0.15">
      <c r="A16" s="1">
        <v>1.0437799999999999</v>
      </c>
      <c r="B16" s="1">
        <v>0.19788</v>
      </c>
    </row>
    <row r="17" spans="1:2" x14ac:dyDescent="0.15">
      <c r="A17" s="1">
        <v>1.0682</v>
      </c>
      <c r="B17" s="1">
        <v>0.19425600000000001</v>
      </c>
    </row>
    <row r="18" spans="1:2" x14ac:dyDescent="0.15">
      <c r="A18" s="1">
        <v>1.1048199999999999</v>
      </c>
      <c r="B18" s="1">
        <v>0.237569</v>
      </c>
    </row>
    <row r="19" spans="1:2" x14ac:dyDescent="0.15">
      <c r="A19" s="1">
        <v>1.1689099999999999</v>
      </c>
      <c r="B19" s="1">
        <v>9.58455E-2</v>
      </c>
    </row>
    <row r="20" spans="1:2" x14ac:dyDescent="0.15">
      <c r="A20" s="1">
        <v>1.16967</v>
      </c>
      <c r="B20" s="1">
        <v>0.58549300000000004</v>
      </c>
    </row>
    <row r="21" spans="1:2" x14ac:dyDescent="0.15">
      <c r="A21" s="1">
        <v>1.1895100000000001</v>
      </c>
      <c r="B21" s="1">
        <v>0.19946900000000001</v>
      </c>
    </row>
    <row r="22" spans="1:2" x14ac:dyDescent="0.15">
      <c r="A22" s="1">
        <v>1.22461</v>
      </c>
      <c r="B22" s="1">
        <v>0.44446400000000003</v>
      </c>
    </row>
    <row r="23" spans="1:2" x14ac:dyDescent="0.15">
      <c r="A23" s="1">
        <v>1.2314700000000001</v>
      </c>
      <c r="B23" s="1">
        <v>0.28638200000000003</v>
      </c>
    </row>
    <row r="24" spans="1:2" x14ac:dyDescent="0.15">
      <c r="A24" s="1">
        <v>1.2841199999999999</v>
      </c>
      <c r="B24" s="1">
        <v>0.19086900000000001</v>
      </c>
    </row>
    <row r="25" spans="1:2" x14ac:dyDescent="0.15">
      <c r="A25" s="1">
        <v>1.30396</v>
      </c>
      <c r="B25" s="1">
        <v>0.29805500000000001</v>
      </c>
    </row>
    <row r="26" spans="1:2" x14ac:dyDescent="0.15">
      <c r="A26" s="1">
        <v>1.3077700000000001</v>
      </c>
      <c r="B26" s="1">
        <v>-0.141599</v>
      </c>
    </row>
    <row r="27" spans="1:2" x14ac:dyDescent="0.15">
      <c r="A27" s="1">
        <v>1.4618899999999999</v>
      </c>
      <c r="B27" s="1">
        <v>0.42938100000000001</v>
      </c>
    </row>
    <row r="28" spans="1:2" x14ac:dyDescent="0.15">
      <c r="A28" s="1">
        <v>1.4802</v>
      </c>
      <c r="B28" s="1">
        <v>0.25897599999999998</v>
      </c>
    </row>
    <row r="29" spans="1:2" x14ac:dyDescent="0.15">
      <c r="A29" s="1">
        <v>1.49088</v>
      </c>
      <c r="B29" s="1">
        <v>0.17130500000000001</v>
      </c>
    </row>
    <row r="30" spans="1:2" x14ac:dyDescent="0.15">
      <c r="A30" s="1">
        <v>1.4946999999999999</v>
      </c>
      <c r="B30" s="1">
        <v>0.52870200000000001</v>
      </c>
    </row>
    <row r="31" spans="1:2" x14ac:dyDescent="0.15">
      <c r="A31" s="1">
        <v>1.5397099999999999</v>
      </c>
      <c r="B31" s="1">
        <v>0.15890899999999999</v>
      </c>
    </row>
    <row r="32" spans="1:2" x14ac:dyDescent="0.15">
      <c r="A32" s="1">
        <v>1.5679399999999999</v>
      </c>
      <c r="B32" s="1">
        <v>0.33368300000000001</v>
      </c>
    </row>
    <row r="33" spans="1:2" x14ac:dyDescent="0.15">
      <c r="A33" s="1">
        <v>1.65873</v>
      </c>
      <c r="B33" s="1">
        <v>0.62237100000000001</v>
      </c>
    </row>
    <row r="34" spans="1:2" x14ac:dyDescent="0.15">
      <c r="A34" s="1">
        <v>1.66178</v>
      </c>
      <c r="B34" s="1">
        <v>0.51598100000000002</v>
      </c>
    </row>
    <row r="35" spans="1:2" x14ac:dyDescent="0.15">
      <c r="A35" s="1">
        <v>1.71672</v>
      </c>
      <c r="B35" s="1">
        <v>0.29778300000000002</v>
      </c>
    </row>
    <row r="36" spans="1:2" x14ac:dyDescent="0.15">
      <c r="A36" s="1">
        <v>1.7548699999999999</v>
      </c>
      <c r="B36" s="1">
        <v>0.382548</v>
      </c>
    </row>
    <row r="37" spans="1:2" x14ac:dyDescent="0.15">
      <c r="A37" s="1">
        <v>1.8159000000000001</v>
      </c>
      <c r="B37" s="1">
        <v>0.66732100000000005</v>
      </c>
    </row>
    <row r="38" spans="1:2" x14ac:dyDescent="0.15">
      <c r="A38" s="1">
        <v>1.92424</v>
      </c>
      <c r="B38" s="1">
        <v>0.88837500000000003</v>
      </c>
    </row>
    <row r="39" spans="1:2" x14ac:dyDescent="0.15">
      <c r="A39" s="1">
        <v>1.9265300000000001</v>
      </c>
      <c r="B39" s="1">
        <v>0.58219600000000005</v>
      </c>
    </row>
    <row r="40" spans="1:2" x14ac:dyDescent="0.15">
      <c r="A40" s="1">
        <v>1.9532400000000001</v>
      </c>
      <c r="B40" s="1">
        <v>0.74784600000000001</v>
      </c>
    </row>
    <row r="41" spans="1:2" x14ac:dyDescent="0.15">
      <c r="A41" s="1">
        <v>2.00664</v>
      </c>
      <c r="B41" s="1">
        <v>0.45223200000000002</v>
      </c>
    </row>
    <row r="42" spans="1:2" x14ac:dyDescent="0.15">
      <c r="A42" s="1">
        <v>2.0501299999999998</v>
      </c>
      <c r="B42" s="1">
        <v>0.288188</v>
      </c>
    </row>
    <row r="43" spans="1:2" x14ac:dyDescent="0.15">
      <c r="A43" s="1">
        <v>2.08752</v>
      </c>
      <c r="B43" s="1">
        <v>0.88066100000000003</v>
      </c>
    </row>
    <row r="44" spans="1:2" x14ac:dyDescent="0.15">
      <c r="A44" s="1">
        <v>2.1180400000000001</v>
      </c>
      <c r="B44" s="1">
        <v>0.60583799999999999</v>
      </c>
    </row>
    <row r="45" spans="1:2" x14ac:dyDescent="0.15">
      <c r="A45" s="1">
        <v>2.1310099999999998</v>
      </c>
      <c r="B45" s="1">
        <v>0.47750300000000001</v>
      </c>
    </row>
    <row r="46" spans="1:2" x14ac:dyDescent="0.15">
      <c r="A46" s="1">
        <v>2.1928100000000001</v>
      </c>
      <c r="B46" s="1">
        <v>0.70753999999999995</v>
      </c>
    </row>
    <row r="47" spans="1:2" x14ac:dyDescent="0.15">
      <c r="A47" s="1">
        <v>2.2301899999999999</v>
      </c>
      <c r="B47" s="1">
        <v>1.22559</v>
      </c>
    </row>
    <row r="48" spans="1:2" x14ac:dyDescent="0.15">
      <c r="A48" s="1">
        <v>2.4712900000000002</v>
      </c>
      <c r="B48" s="1">
        <v>0.79319700000000004</v>
      </c>
    </row>
    <row r="49" spans="1:2" x14ac:dyDescent="0.15">
      <c r="A49" s="1">
        <v>2.5887799999999999</v>
      </c>
      <c r="B49" s="1">
        <v>0.77575300000000003</v>
      </c>
    </row>
    <row r="50" spans="1:2" x14ac:dyDescent="0.15">
      <c r="A50" s="1">
        <v>2.6040399999999999</v>
      </c>
      <c r="B50" s="1">
        <v>1.05318</v>
      </c>
    </row>
    <row r="51" spans="1:2" x14ac:dyDescent="0.15">
      <c r="A51" s="1">
        <v>2.6360899999999998</v>
      </c>
      <c r="B51" s="1">
        <v>1.21882</v>
      </c>
    </row>
    <row r="52" spans="1:2" x14ac:dyDescent="0.15">
      <c r="A52" s="1">
        <v>2.66737</v>
      </c>
      <c r="B52" s="1">
        <v>0.87056999999999995</v>
      </c>
    </row>
    <row r="53" spans="1:2" x14ac:dyDescent="0.15">
      <c r="A53" s="1">
        <v>2.7398500000000001</v>
      </c>
      <c r="B53" s="1">
        <v>1.2516</v>
      </c>
    </row>
    <row r="54" spans="1:2" x14ac:dyDescent="0.15">
      <c r="A54" s="1">
        <v>2.7581600000000002</v>
      </c>
      <c r="B54" s="1">
        <v>0.67628100000000002</v>
      </c>
    </row>
    <row r="55" spans="1:2" x14ac:dyDescent="0.15">
      <c r="A55" s="1">
        <v>2.76579</v>
      </c>
      <c r="B55" s="1">
        <v>0.58515799999999996</v>
      </c>
    </row>
    <row r="56" spans="1:2" x14ac:dyDescent="0.15">
      <c r="A56" s="1">
        <v>2.7711299999999999</v>
      </c>
      <c r="B56" s="1">
        <v>0.95874000000000004</v>
      </c>
    </row>
    <row r="57" spans="1:2" x14ac:dyDescent="0.15">
      <c r="A57" s="1">
        <v>2.7970700000000002</v>
      </c>
      <c r="B57" s="1">
        <v>0.69375500000000001</v>
      </c>
    </row>
    <row r="58" spans="1:2" x14ac:dyDescent="0.15">
      <c r="A58" s="1">
        <v>2.9740799999999998</v>
      </c>
      <c r="B58" s="1">
        <v>1.4447099999999999</v>
      </c>
    </row>
    <row r="59" spans="1:2" x14ac:dyDescent="0.15">
      <c r="A59" s="1">
        <v>2.9756100000000001</v>
      </c>
      <c r="B59" s="1">
        <v>0.99664399999999997</v>
      </c>
    </row>
    <row r="60" spans="1:2" x14ac:dyDescent="0.15">
      <c r="A60" s="1">
        <v>3.0610599999999999</v>
      </c>
      <c r="B60" s="1">
        <v>0.84225099999999997</v>
      </c>
    </row>
    <row r="61" spans="1:2" x14ac:dyDescent="0.15">
      <c r="A61" s="1">
        <v>3.0870000000000002</v>
      </c>
      <c r="B61" s="1">
        <v>1.1970000000000001</v>
      </c>
    </row>
    <row r="62" spans="1:2" x14ac:dyDescent="0.15">
      <c r="A62" s="1">
        <v>3.1015000000000001</v>
      </c>
      <c r="B62" s="1">
        <v>1.3294600000000001</v>
      </c>
    </row>
    <row r="63" spans="1:2" x14ac:dyDescent="0.15">
      <c r="A63" s="1">
        <v>3.13964</v>
      </c>
      <c r="B63" s="1">
        <v>1.2001900000000001</v>
      </c>
    </row>
    <row r="64" spans="1:2" x14ac:dyDescent="0.15">
      <c r="A64" s="1">
        <v>3.1549</v>
      </c>
      <c r="B64" s="1">
        <v>1.1504700000000001</v>
      </c>
    </row>
    <row r="65" spans="1:2" x14ac:dyDescent="0.15">
      <c r="A65" s="1">
        <v>3.26553</v>
      </c>
      <c r="B65" s="1">
        <v>1.14489</v>
      </c>
    </row>
    <row r="66" spans="1:2" x14ac:dyDescent="0.15">
      <c r="A66" s="1">
        <v>3.2716400000000001</v>
      </c>
      <c r="B66" s="1">
        <v>0.95310399999999995</v>
      </c>
    </row>
    <row r="67" spans="1:2" x14ac:dyDescent="0.15">
      <c r="A67" s="1">
        <v>3.28918</v>
      </c>
      <c r="B67" s="1">
        <v>0.98744399999999999</v>
      </c>
    </row>
    <row r="68" spans="1:2" x14ac:dyDescent="0.15">
      <c r="A68" s="1">
        <v>3.3830300000000002</v>
      </c>
      <c r="B68" s="1">
        <v>1.0704499999999999</v>
      </c>
    </row>
    <row r="69" spans="1:2" x14ac:dyDescent="0.15">
      <c r="A69" s="1">
        <v>3.5768200000000001</v>
      </c>
      <c r="B69" s="1">
        <v>1.3310500000000001</v>
      </c>
    </row>
    <row r="70" spans="1:2" x14ac:dyDescent="0.15">
      <c r="A70" s="1">
        <v>3.6256499999999998</v>
      </c>
      <c r="B70" s="1">
        <v>1.5586500000000001</v>
      </c>
    </row>
    <row r="71" spans="1:2" x14ac:dyDescent="0.15">
      <c r="A71" s="1">
        <v>3.6439599999999999</v>
      </c>
      <c r="B71" s="1">
        <v>1.48071</v>
      </c>
    </row>
    <row r="72" spans="1:2" x14ac:dyDescent="0.15">
      <c r="A72" s="1">
        <v>3.7240700000000002</v>
      </c>
      <c r="B72" s="1">
        <v>1.37296</v>
      </c>
    </row>
    <row r="73" spans="1:2" x14ac:dyDescent="0.15">
      <c r="A73" s="1">
        <v>3.7240700000000002</v>
      </c>
      <c r="B73" s="1">
        <v>1.37985</v>
      </c>
    </row>
    <row r="74" spans="1:2" x14ac:dyDescent="0.15">
      <c r="A74" s="1">
        <v>3.7278899999999999</v>
      </c>
      <c r="B74" s="1">
        <v>1.26414</v>
      </c>
    </row>
    <row r="75" spans="1:2" x14ac:dyDescent="0.15">
      <c r="A75" s="1">
        <v>3.72865</v>
      </c>
      <c r="B75" s="1">
        <v>1.5401499999999999</v>
      </c>
    </row>
    <row r="76" spans="1:2" x14ac:dyDescent="0.15">
      <c r="A76" s="1">
        <v>3.7362799999999998</v>
      </c>
      <c r="B76" s="1">
        <v>1.0899799999999999</v>
      </c>
    </row>
    <row r="77" spans="1:2" x14ac:dyDescent="0.15">
      <c r="A77" s="1">
        <v>3.7416200000000002</v>
      </c>
      <c r="B77" s="1">
        <v>1.2454099999999999</v>
      </c>
    </row>
    <row r="78" spans="1:2" x14ac:dyDescent="0.15">
      <c r="A78" s="1">
        <v>3.83928</v>
      </c>
      <c r="B78" s="1">
        <v>1.3876299999999999</v>
      </c>
    </row>
    <row r="79" spans="1:2" x14ac:dyDescent="0.15">
      <c r="A79" s="1">
        <v>3.86293</v>
      </c>
      <c r="B79" s="1">
        <v>1.2479800000000001</v>
      </c>
    </row>
    <row r="80" spans="1:2" x14ac:dyDescent="0.15">
      <c r="A80" s="1">
        <v>3.94381</v>
      </c>
      <c r="B80" s="1">
        <v>1.29322</v>
      </c>
    </row>
    <row r="81" spans="1:2" x14ac:dyDescent="0.15">
      <c r="A81" s="1">
        <v>3.9903499999999998</v>
      </c>
      <c r="B81" s="1">
        <v>1.74163</v>
      </c>
    </row>
    <row r="82" spans="1:2" x14ac:dyDescent="0.15">
      <c r="A82" s="1">
        <v>3.9933999999999998</v>
      </c>
      <c r="B82" s="1">
        <v>1.39055</v>
      </c>
    </row>
    <row r="83" spans="1:2" x14ac:dyDescent="0.15">
      <c r="A83" s="1">
        <v>4.117</v>
      </c>
      <c r="B83" s="1">
        <v>1.54251</v>
      </c>
    </row>
    <row r="84" spans="1:2" x14ac:dyDescent="0.15">
      <c r="A84" s="1">
        <v>4.12005</v>
      </c>
      <c r="B84" s="1">
        <v>1.7365600000000001</v>
      </c>
    </row>
    <row r="85" spans="1:2" x14ac:dyDescent="0.15">
      <c r="A85" s="1">
        <v>4.2985800000000003</v>
      </c>
      <c r="B85" s="1">
        <v>1.51424</v>
      </c>
    </row>
    <row r="86" spans="1:2" x14ac:dyDescent="0.15">
      <c r="A86" s="1">
        <v>4.3115500000000004</v>
      </c>
      <c r="B86" s="1">
        <v>1.53026</v>
      </c>
    </row>
    <row r="87" spans="1:2" x14ac:dyDescent="0.15">
      <c r="A87" s="1">
        <v>4.3313899999999999</v>
      </c>
      <c r="B87" s="1">
        <v>1.9479500000000001</v>
      </c>
    </row>
    <row r="88" spans="1:2" x14ac:dyDescent="0.15">
      <c r="A88" s="1">
        <v>4.3367300000000002</v>
      </c>
      <c r="B88" s="1">
        <v>1.2618100000000001</v>
      </c>
    </row>
    <row r="89" spans="1:2" x14ac:dyDescent="0.15">
      <c r="A89" s="1">
        <v>4.4137899999999997</v>
      </c>
      <c r="B89" s="1">
        <v>1.3084</v>
      </c>
    </row>
    <row r="90" spans="1:2" x14ac:dyDescent="0.15">
      <c r="A90" s="1">
        <v>4.4435500000000001</v>
      </c>
      <c r="B90" s="1">
        <v>1.4531099999999999</v>
      </c>
    </row>
    <row r="91" spans="1:2" x14ac:dyDescent="0.15">
      <c r="A91" s="1">
        <v>4.4565200000000003</v>
      </c>
      <c r="B91" s="1">
        <v>1.5680400000000001</v>
      </c>
    </row>
    <row r="92" spans="1:2" x14ac:dyDescent="0.15">
      <c r="A92" s="1">
        <v>4.4862700000000002</v>
      </c>
      <c r="B92" s="1">
        <v>1.50631</v>
      </c>
    </row>
    <row r="93" spans="1:2" x14ac:dyDescent="0.15">
      <c r="A93" s="1">
        <v>4.5007700000000002</v>
      </c>
      <c r="B93" s="1">
        <v>1.1387100000000001</v>
      </c>
    </row>
    <row r="94" spans="1:2" x14ac:dyDescent="0.15">
      <c r="A94" s="1">
        <v>4.5785900000000002</v>
      </c>
      <c r="B94" s="1">
        <v>1.3653900000000001</v>
      </c>
    </row>
    <row r="95" spans="1:2" x14ac:dyDescent="0.15">
      <c r="A95" s="1">
        <v>4.5793499999999998</v>
      </c>
      <c r="B95" s="1">
        <v>1.6901600000000001</v>
      </c>
    </row>
    <row r="96" spans="1:2" x14ac:dyDescent="0.15">
      <c r="A96" s="1">
        <v>4.5953799999999996</v>
      </c>
      <c r="B96" s="1">
        <v>1.2771699999999999</v>
      </c>
    </row>
    <row r="97" spans="1:2" x14ac:dyDescent="0.15">
      <c r="A97" s="1">
        <v>4.6648100000000001</v>
      </c>
      <c r="B97" s="1">
        <v>1.5438700000000001</v>
      </c>
    </row>
    <row r="98" spans="1:2" x14ac:dyDescent="0.15">
      <c r="A98" s="1">
        <v>4.8021399999999996</v>
      </c>
      <c r="B98" s="1">
        <v>1.4758800000000001</v>
      </c>
    </row>
    <row r="99" spans="1:2" x14ac:dyDescent="0.15">
      <c r="A99" s="1">
        <v>4.8494400000000004</v>
      </c>
      <c r="B99" s="1">
        <v>1.49932</v>
      </c>
    </row>
    <row r="100" spans="1:2" x14ac:dyDescent="0.15">
      <c r="A100" s="1">
        <v>5.10656</v>
      </c>
      <c r="B100" s="1">
        <v>1.74336</v>
      </c>
    </row>
    <row r="101" spans="1:2" x14ac:dyDescent="0.15">
      <c r="A101" s="1">
        <v>5.2232900000000004</v>
      </c>
      <c r="B101" s="1">
        <v>1.76946</v>
      </c>
    </row>
    <row r="102" spans="1:2" x14ac:dyDescent="0.15">
      <c r="A102" s="1">
        <v>5.2370299999999999</v>
      </c>
      <c r="B102" s="1">
        <v>1.6501999999999999</v>
      </c>
    </row>
    <row r="103" spans="1:2" x14ac:dyDescent="0.15">
      <c r="A103" s="1">
        <v>5.2843299999999997</v>
      </c>
      <c r="B103" s="1">
        <v>2.0023499999999999</v>
      </c>
    </row>
    <row r="104" spans="1:2" x14ac:dyDescent="0.15">
      <c r="A104" s="1">
        <v>5.2911999999999999</v>
      </c>
      <c r="B104" s="1">
        <v>1.67639</v>
      </c>
    </row>
    <row r="105" spans="1:2" x14ac:dyDescent="0.15">
      <c r="A105" s="1">
        <v>5.3156100000000004</v>
      </c>
      <c r="B105" s="1">
        <v>1.7688600000000001</v>
      </c>
    </row>
    <row r="106" spans="1:2" x14ac:dyDescent="0.15">
      <c r="A106" s="1">
        <v>5.38809</v>
      </c>
      <c r="B106" s="1">
        <v>1.4756899999999999</v>
      </c>
    </row>
    <row r="107" spans="1:2" x14ac:dyDescent="0.15">
      <c r="A107" s="1">
        <v>5.4254800000000003</v>
      </c>
      <c r="B107" s="1">
        <v>1.8916599999999999</v>
      </c>
    </row>
    <row r="108" spans="1:2" x14ac:dyDescent="0.15">
      <c r="A108" s="1">
        <v>5.5590000000000002</v>
      </c>
      <c r="B108" s="1">
        <v>1.3796900000000001</v>
      </c>
    </row>
    <row r="109" spans="1:2" x14ac:dyDescent="0.15">
      <c r="A109" s="1">
        <v>5.6406400000000003</v>
      </c>
      <c r="B109" s="1">
        <v>1.50589</v>
      </c>
    </row>
    <row r="110" spans="1:2" x14ac:dyDescent="0.15">
      <c r="A110" s="1">
        <v>5.70167</v>
      </c>
      <c r="B110" s="1">
        <v>1.6543699999999999</v>
      </c>
    </row>
    <row r="111" spans="1:2" x14ac:dyDescent="0.15">
      <c r="A111" s="1">
        <v>5.7695800000000004</v>
      </c>
      <c r="B111" s="1">
        <v>1.82674</v>
      </c>
    </row>
    <row r="112" spans="1:2" x14ac:dyDescent="0.15">
      <c r="A112" s="1">
        <v>5.8008600000000001</v>
      </c>
      <c r="B112" s="1">
        <v>1.8596999999999999</v>
      </c>
    </row>
    <row r="113" spans="1:2" x14ac:dyDescent="0.15">
      <c r="A113" s="1">
        <v>5.8870699999999996</v>
      </c>
      <c r="B113" s="1">
        <v>1.8353200000000001</v>
      </c>
    </row>
    <row r="114" spans="1:2" x14ac:dyDescent="0.15">
      <c r="A114" s="1">
        <v>5.9084399999999997</v>
      </c>
      <c r="B114" s="1">
        <v>1.8242400000000001</v>
      </c>
    </row>
    <row r="115" spans="1:2" x14ac:dyDescent="0.15">
      <c r="A115" s="1">
        <v>5.9160599999999999</v>
      </c>
      <c r="B115" s="1">
        <v>1.6422600000000001</v>
      </c>
    </row>
    <row r="116" spans="1:2" x14ac:dyDescent="0.15">
      <c r="A116" s="1">
        <v>5.9305599999999998</v>
      </c>
      <c r="B116" s="1">
        <v>1.86341</v>
      </c>
    </row>
    <row r="117" spans="1:2" x14ac:dyDescent="0.15">
      <c r="A117" s="1">
        <v>5.9534500000000001</v>
      </c>
      <c r="B117" s="1">
        <v>1.8763000000000001</v>
      </c>
    </row>
    <row r="118" spans="1:2" x14ac:dyDescent="0.15">
      <c r="A118" s="1">
        <v>5.9580299999999999</v>
      </c>
      <c r="B118" s="1">
        <v>1.9578</v>
      </c>
    </row>
    <row r="119" spans="1:2" x14ac:dyDescent="0.15">
      <c r="A119" s="1">
        <v>6.0053299999999998</v>
      </c>
      <c r="B119" s="1">
        <v>1.61209</v>
      </c>
    </row>
    <row r="120" spans="1:2" x14ac:dyDescent="0.15">
      <c r="A120" s="1">
        <v>6.0434799999999997</v>
      </c>
      <c r="B120" s="1">
        <v>1.63869</v>
      </c>
    </row>
    <row r="121" spans="1:2" x14ac:dyDescent="0.15">
      <c r="A121" s="1">
        <v>6.0579799999999997</v>
      </c>
      <c r="B121" s="1">
        <v>1.8699300000000001</v>
      </c>
    </row>
    <row r="122" spans="1:2" x14ac:dyDescent="0.15">
      <c r="A122" s="1">
        <v>6.1495300000000004</v>
      </c>
      <c r="B122" s="1">
        <v>1.7554399999999999</v>
      </c>
    </row>
    <row r="123" spans="1:2" x14ac:dyDescent="0.15">
      <c r="A123" s="1">
        <v>6.2502399999999998</v>
      </c>
      <c r="B123" s="1">
        <v>2.09646</v>
      </c>
    </row>
    <row r="124" spans="1:2" x14ac:dyDescent="0.15">
      <c r="A124" s="1">
        <v>6.2899200000000004</v>
      </c>
      <c r="B124" s="1">
        <v>1.7103900000000001</v>
      </c>
    </row>
    <row r="125" spans="1:2" x14ac:dyDescent="0.15">
      <c r="A125" s="1">
        <v>6.3372200000000003</v>
      </c>
      <c r="B125" s="1">
        <v>1.94574</v>
      </c>
    </row>
    <row r="126" spans="1:2" x14ac:dyDescent="0.15">
      <c r="A126" s="1">
        <v>6.3837599999999997</v>
      </c>
      <c r="B126" s="1">
        <v>1.6417200000000001</v>
      </c>
    </row>
    <row r="127" spans="1:2" x14ac:dyDescent="0.15">
      <c r="A127" s="1">
        <v>6.5638199999999998</v>
      </c>
      <c r="B127" s="1">
        <v>2.0197099999999999</v>
      </c>
    </row>
    <row r="128" spans="1:2" x14ac:dyDescent="0.15">
      <c r="A128" s="1">
        <v>6.5691600000000001</v>
      </c>
      <c r="B128" s="1">
        <v>1.8646199999999999</v>
      </c>
    </row>
    <row r="129" spans="1:2" x14ac:dyDescent="0.15">
      <c r="A129" s="1">
        <v>6.6408800000000001</v>
      </c>
      <c r="B129" s="1">
        <v>1.7303900000000001</v>
      </c>
    </row>
    <row r="130" spans="1:2" x14ac:dyDescent="0.15">
      <c r="A130" s="1">
        <v>6.6515599999999999</v>
      </c>
      <c r="B130" s="1">
        <v>1.5936399999999999</v>
      </c>
    </row>
    <row r="131" spans="1:2" x14ac:dyDescent="0.15">
      <c r="A131" s="1">
        <v>6.6706399999999997</v>
      </c>
      <c r="B131" s="1">
        <v>1.9419</v>
      </c>
    </row>
    <row r="132" spans="1:2" x14ac:dyDescent="0.15">
      <c r="A132" s="1">
        <v>6.82552</v>
      </c>
      <c r="B132" s="1">
        <v>1.9483299999999999</v>
      </c>
    </row>
    <row r="133" spans="1:2" x14ac:dyDescent="0.15">
      <c r="A133" s="1">
        <v>6.8407799999999996</v>
      </c>
      <c r="B133" s="1">
        <v>1.85425</v>
      </c>
    </row>
    <row r="134" spans="1:2" x14ac:dyDescent="0.15">
      <c r="A134" s="1">
        <v>6.8934199999999999</v>
      </c>
      <c r="B134" s="1">
        <v>2.2064400000000002</v>
      </c>
    </row>
    <row r="135" spans="1:2" x14ac:dyDescent="0.15">
      <c r="A135" s="1">
        <v>6.9514100000000001</v>
      </c>
      <c r="B135" s="1">
        <v>1.7228000000000001</v>
      </c>
    </row>
    <row r="136" spans="1:2" x14ac:dyDescent="0.15">
      <c r="A136" s="1">
        <v>6.9994699999999996</v>
      </c>
      <c r="B136" s="1">
        <v>2.0041899999999999</v>
      </c>
    </row>
    <row r="137" spans="1:2" x14ac:dyDescent="0.15">
      <c r="A137" s="1">
        <v>7.0254099999999999</v>
      </c>
      <c r="B137" s="1">
        <v>1.49207</v>
      </c>
    </row>
    <row r="138" spans="1:2" x14ac:dyDescent="0.15">
      <c r="A138" s="1">
        <v>7.0422000000000002</v>
      </c>
      <c r="B138" s="1">
        <v>2.41405</v>
      </c>
    </row>
    <row r="139" spans="1:2" x14ac:dyDescent="0.15">
      <c r="A139" s="1">
        <v>7.07348</v>
      </c>
      <c r="B139" s="1">
        <v>2.1619199999999998</v>
      </c>
    </row>
    <row r="140" spans="1:2" x14ac:dyDescent="0.15">
      <c r="A140" s="1">
        <v>7.1177299999999999</v>
      </c>
      <c r="B140" s="1">
        <v>2.1349399999999998</v>
      </c>
    </row>
    <row r="141" spans="1:2" x14ac:dyDescent="0.15">
      <c r="A141" s="1">
        <v>7.1429099999999996</v>
      </c>
      <c r="B141" s="1">
        <v>2.0184799999999998</v>
      </c>
    </row>
    <row r="142" spans="1:2" x14ac:dyDescent="0.15">
      <c r="A142" s="1">
        <v>7.1718999999999999</v>
      </c>
      <c r="B142" s="1">
        <v>2.24817</v>
      </c>
    </row>
    <row r="143" spans="1:2" x14ac:dyDescent="0.15">
      <c r="A143" s="1">
        <v>7.1780099999999996</v>
      </c>
      <c r="B143" s="1">
        <v>2.20668</v>
      </c>
    </row>
    <row r="144" spans="1:2" x14ac:dyDescent="0.15">
      <c r="A144" s="1">
        <v>7.2100499999999998</v>
      </c>
      <c r="B144" s="1">
        <v>1.9330099999999999</v>
      </c>
    </row>
    <row r="145" spans="1:2" x14ac:dyDescent="0.15">
      <c r="A145" s="1">
        <v>7.2306499999999998</v>
      </c>
      <c r="B145" s="1">
        <v>1.81732</v>
      </c>
    </row>
    <row r="146" spans="1:2" x14ac:dyDescent="0.15">
      <c r="A146" s="1">
        <v>7.3016100000000002</v>
      </c>
      <c r="B146" s="1">
        <v>1.94028</v>
      </c>
    </row>
    <row r="147" spans="1:2" x14ac:dyDescent="0.15">
      <c r="A147" s="1">
        <v>7.3588300000000002</v>
      </c>
      <c r="B147" s="1">
        <v>2.1898300000000002</v>
      </c>
    </row>
    <row r="148" spans="1:2" x14ac:dyDescent="0.15">
      <c r="A148" s="1">
        <v>7.37561</v>
      </c>
      <c r="B148" s="1">
        <v>2.2551999999999999</v>
      </c>
    </row>
    <row r="149" spans="1:2" x14ac:dyDescent="0.15">
      <c r="A149" s="1">
        <v>7.39011</v>
      </c>
      <c r="B149" s="1">
        <v>2.1497700000000002</v>
      </c>
    </row>
    <row r="150" spans="1:2" x14ac:dyDescent="0.15">
      <c r="A150" s="1">
        <v>7.5297299999999998</v>
      </c>
      <c r="B150" s="1">
        <v>2.4226399999999999</v>
      </c>
    </row>
    <row r="151" spans="1:2" x14ac:dyDescent="0.15">
      <c r="A151" s="1">
        <v>7.6250999999999998</v>
      </c>
      <c r="B151" s="1">
        <v>2.0767500000000001</v>
      </c>
    </row>
    <row r="152" spans="1:2" x14ac:dyDescent="0.15">
      <c r="A152" s="1">
        <v>7.6777499999999996</v>
      </c>
      <c r="B152" s="1">
        <v>1.95773</v>
      </c>
    </row>
    <row r="153" spans="1:2" x14ac:dyDescent="0.15">
      <c r="A153" s="1">
        <v>7.74641</v>
      </c>
      <c r="B153" s="1">
        <v>1.8723799999999999</v>
      </c>
    </row>
    <row r="154" spans="1:2" x14ac:dyDescent="0.15">
      <c r="A154" s="1">
        <v>7.7487000000000004</v>
      </c>
      <c r="B154" s="1">
        <v>1.9578500000000001</v>
      </c>
    </row>
    <row r="155" spans="1:2" x14ac:dyDescent="0.15">
      <c r="A155" s="1">
        <v>7.7799800000000001</v>
      </c>
      <c r="B155" s="1">
        <v>2.4280200000000001</v>
      </c>
    </row>
    <row r="156" spans="1:2" x14ac:dyDescent="0.15">
      <c r="A156" s="1">
        <v>7.8272899999999996</v>
      </c>
      <c r="B156" s="1">
        <v>2.1440999999999999</v>
      </c>
    </row>
    <row r="157" spans="1:2" x14ac:dyDescent="0.15">
      <c r="A157" s="1">
        <v>7.9608100000000004</v>
      </c>
      <c r="B157" s="1">
        <v>1.91652</v>
      </c>
    </row>
    <row r="158" spans="1:2" x14ac:dyDescent="0.15">
      <c r="A158" s="1">
        <v>8.0607500000000005</v>
      </c>
      <c r="B158" s="1">
        <v>2.3376399999999999</v>
      </c>
    </row>
    <row r="159" spans="1:2" x14ac:dyDescent="0.15">
      <c r="A159" s="1">
        <v>8.2041900000000005</v>
      </c>
      <c r="B159" s="1">
        <v>2.1493500000000001</v>
      </c>
    </row>
    <row r="160" spans="1:2" x14ac:dyDescent="0.15">
      <c r="A160" s="1">
        <v>8.2423400000000004</v>
      </c>
      <c r="B160" s="1">
        <v>2.6132599999999999</v>
      </c>
    </row>
    <row r="161" spans="1:2" x14ac:dyDescent="0.15">
      <c r="A161" s="1">
        <v>8.2782</v>
      </c>
      <c r="B161" s="1">
        <v>1.92848</v>
      </c>
    </row>
    <row r="162" spans="1:2" x14ac:dyDescent="0.15">
      <c r="A162" s="1">
        <v>8.3102400000000003</v>
      </c>
      <c r="B162" s="1">
        <v>2.4836499999999999</v>
      </c>
    </row>
    <row r="163" spans="1:2" x14ac:dyDescent="0.15">
      <c r="A163" s="1">
        <v>8.3491499999999998</v>
      </c>
      <c r="B163" s="1">
        <v>2.0003799999999998</v>
      </c>
    </row>
    <row r="164" spans="1:2" x14ac:dyDescent="0.15">
      <c r="A164" s="1">
        <v>8.3666999999999998</v>
      </c>
      <c r="B164" s="1">
        <v>1.9183600000000001</v>
      </c>
    </row>
    <row r="165" spans="1:2" x14ac:dyDescent="0.15">
      <c r="A165" s="1">
        <v>8.4254499999999997</v>
      </c>
      <c r="B165" s="1">
        <v>1.8890100000000001</v>
      </c>
    </row>
    <row r="166" spans="1:2" x14ac:dyDescent="0.15">
      <c r="A166" s="1">
        <v>8.4536800000000003</v>
      </c>
      <c r="B166" s="1">
        <v>1.9395100000000001</v>
      </c>
    </row>
    <row r="167" spans="1:2" x14ac:dyDescent="0.15">
      <c r="A167" s="1">
        <v>8.6291600000000006</v>
      </c>
      <c r="B167" s="1">
        <v>1.9958899999999999</v>
      </c>
    </row>
    <row r="168" spans="1:2" x14ac:dyDescent="0.15">
      <c r="A168" s="1">
        <v>8.6467100000000006</v>
      </c>
      <c r="B168" s="1">
        <v>2.0992000000000002</v>
      </c>
    </row>
    <row r="169" spans="1:2" x14ac:dyDescent="0.15">
      <c r="A169" s="1">
        <v>8.7024000000000008</v>
      </c>
      <c r="B169" s="1">
        <v>2.1040700000000001</v>
      </c>
    </row>
    <row r="170" spans="1:2" x14ac:dyDescent="0.15">
      <c r="A170" s="1">
        <v>8.7748899999999992</v>
      </c>
      <c r="B170" s="1">
        <v>2.0424199999999999</v>
      </c>
    </row>
    <row r="171" spans="1:2" x14ac:dyDescent="0.15">
      <c r="A171" s="1">
        <v>8.7954899999999991</v>
      </c>
      <c r="B171" s="1">
        <v>2.21651</v>
      </c>
    </row>
    <row r="172" spans="1:2" x14ac:dyDescent="0.15">
      <c r="A172" s="1">
        <v>8.8450799999999994</v>
      </c>
      <c r="B172" s="1">
        <v>2.1682999999999999</v>
      </c>
    </row>
    <row r="173" spans="1:2" x14ac:dyDescent="0.15">
      <c r="A173" s="1">
        <v>8.8580500000000004</v>
      </c>
      <c r="B173" s="1">
        <v>2.0373100000000002</v>
      </c>
    </row>
    <row r="174" spans="1:2" x14ac:dyDescent="0.15">
      <c r="A174" s="1">
        <v>8.8595799999999993</v>
      </c>
      <c r="B174" s="1">
        <v>1.7828599999999999</v>
      </c>
    </row>
    <row r="175" spans="1:2" x14ac:dyDescent="0.15">
      <c r="A175" s="1">
        <v>8.8694900000000008</v>
      </c>
      <c r="B175" s="1">
        <v>2.4655</v>
      </c>
    </row>
    <row r="176" spans="1:2" x14ac:dyDescent="0.15">
      <c r="A176" s="1">
        <v>8.89086</v>
      </c>
      <c r="B176" s="1">
        <v>2.29664</v>
      </c>
    </row>
    <row r="177" spans="1:2" x14ac:dyDescent="0.15">
      <c r="A177" s="1">
        <v>8.9160299999999992</v>
      </c>
      <c r="B177" s="1">
        <v>1.7577499999999999</v>
      </c>
    </row>
    <row r="178" spans="1:2" x14ac:dyDescent="0.15">
      <c r="A178" s="1">
        <v>8.9244299999999992</v>
      </c>
      <c r="B178" s="1">
        <v>2.0114299999999998</v>
      </c>
    </row>
    <row r="179" spans="1:2" x14ac:dyDescent="0.15">
      <c r="A179" s="1">
        <v>8.9923300000000008</v>
      </c>
      <c r="B179" s="1">
        <v>1.9837199999999999</v>
      </c>
    </row>
    <row r="180" spans="1:2" x14ac:dyDescent="0.15">
      <c r="A180" s="1">
        <v>9.0022500000000001</v>
      </c>
      <c r="B180" s="1">
        <v>2.04372</v>
      </c>
    </row>
    <row r="181" spans="1:2" x14ac:dyDescent="0.15">
      <c r="A181" s="1">
        <v>9.032</v>
      </c>
      <c r="B181" s="1">
        <v>2.05667</v>
      </c>
    </row>
    <row r="182" spans="1:2" x14ac:dyDescent="0.15">
      <c r="A182" s="1">
        <v>9.0548900000000003</v>
      </c>
      <c r="B182" s="1">
        <v>2.1196100000000002</v>
      </c>
    </row>
    <row r="183" spans="1:2" x14ac:dyDescent="0.15">
      <c r="A183" s="1">
        <v>9.0831199999999992</v>
      </c>
      <c r="B183" s="1">
        <v>2.4771800000000002</v>
      </c>
    </row>
    <row r="184" spans="1:2" x14ac:dyDescent="0.15">
      <c r="A184" s="1">
        <v>9.0907499999999999</v>
      </c>
      <c r="B184" s="1">
        <v>1.9593</v>
      </c>
    </row>
    <row r="185" spans="1:2" x14ac:dyDescent="0.15">
      <c r="A185" s="1">
        <v>9.0915199999999992</v>
      </c>
      <c r="B185" s="1">
        <v>2.2811900000000001</v>
      </c>
    </row>
    <row r="186" spans="1:2" x14ac:dyDescent="0.15">
      <c r="A186" s="1">
        <v>9.0937999999999999</v>
      </c>
      <c r="B186" s="1">
        <v>2.4289000000000001</v>
      </c>
    </row>
    <row r="187" spans="1:2" x14ac:dyDescent="0.15">
      <c r="A187" s="1">
        <v>9.1143999999999998</v>
      </c>
      <c r="B187" s="1">
        <v>2.0087100000000002</v>
      </c>
    </row>
    <row r="188" spans="1:2" x14ac:dyDescent="0.15">
      <c r="A188" s="1">
        <v>9.1143999999999998</v>
      </c>
      <c r="B188" s="1">
        <v>2.2592500000000002</v>
      </c>
    </row>
    <row r="189" spans="1:2" x14ac:dyDescent="0.15">
      <c r="A189" s="1">
        <v>9.1815499999999997</v>
      </c>
      <c r="B189" s="1">
        <v>2.2436099999999999</v>
      </c>
    </row>
    <row r="190" spans="1:2" x14ac:dyDescent="0.15">
      <c r="A190" s="1">
        <v>9.1861200000000007</v>
      </c>
      <c r="B190" s="1">
        <v>2.1064699999999998</v>
      </c>
    </row>
    <row r="191" spans="1:2" x14ac:dyDescent="0.15">
      <c r="A191" s="1">
        <v>9.3074300000000001</v>
      </c>
      <c r="B191" s="1">
        <v>2.29528</v>
      </c>
    </row>
    <row r="192" spans="1:2" x14ac:dyDescent="0.15">
      <c r="A192" s="1">
        <v>9.33948</v>
      </c>
      <c r="B192" s="1">
        <v>2.3940800000000002</v>
      </c>
    </row>
    <row r="193" spans="1:2" x14ac:dyDescent="0.15">
      <c r="A193" s="1">
        <v>9.3646600000000007</v>
      </c>
      <c r="B193" s="1">
        <v>2.0447899999999999</v>
      </c>
    </row>
    <row r="194" spans="1:2" x14ac:dyDescent="0.15">
      <c r="A194" s="1">
        <v>9.3768600000000006</v>
      </c>
      <c r="B194" s="1">
        <v>1.8766799999999999</v>
      </c>
    </row>
    <row r="195" spans="1:2" x14ac:dyDescent="0.15">
      <c r="A195" s="1">
        <v>9.4073799999999999</v>
      </c>
      <c r="B195" s="1">
        <v>2.41316</v>
      </c>
    </row>
    <row r="196" spans="1:2" x14ac:dyDescent="0.15">
      <c r="A196" s="1">
        <v>9.4371399999999994</v>
      </c>
      <c r="B196" s="1">
        <v>2.55436</v>
      </c>
    </row>
    <row r="197" spans="1:2" x14ac:dyDescent="0.15">
      <c r="A197" s="1">
        <v>9.4661299999999997</v>
      </c>
      <c r="B197" s="1">
        <v>2.1792099999999999</v>
      </c>
    </row>
    <row r="198" spans="1:2" x14ac:dyDescent="0.15">
      <c r="A198" s="1">
        <v>9.6004100000000001</v>
      </c>
      <c r="B198" s="1">
        <v>2.6103399999999999</v>
      </c>
    </row>
    <row r="199" spans="1:2" x14ac:dyDescent="0.15">
      <c r="A199" s="1">
        <v>9.6614500000000003</v>
      </c>
      <c r="B199" s="1">
        <v>2.5286499999999998</v>
      </c>
    </row>
    <row r="200" spans="1:2" x14ac:dyDescent="0.15">
      <c r="A200" s="1">
        <v>9.9910499999999995</v>
      </c>
      <c r="B200" s="1">
        <v>2.0015700000000001</v>
      </c>
    </row>
    <row r="201" spans="1:2" x14ac:dyDescent="0.15">
      <c r="A201" s="1">
        <v>10.037599999999999</v>
      </c>
      <c r="B201" s="1">
        <v>2.2610000000000001</v>
      </c>
    </row>
    <row r="202" spans="1:2" x14ac:dyDescent="0.15">
      <c r="A202" s="1">
        <v>10.047499999999999</v>
      </c>
      <c r="B202" s="1">
        <v>2.4150399999999999</v>
      </c>
    </row>
    <row r="203" spans="1:2" x14ac:dyDescent="0.15">
      <c r="A203" s="1">
        <v>10.111599999999999</v>
      </c>
      <c r="B203" s="1">
        <v>2.2017799999999998</v>
      </c>
    </row>
    <row r="204" spans="1:2" x14ac:dyDescent="0.15">
      <c r="A204" s="1">
        <v>10.274100000000001</v>
      </c>
      <c r="B204" s="1">
        <v>2.53396</v>
      </c>
    </row>
    <row r="205" spans="1:2" x14ac:dyDescent="0.15">
      <c r="A205" s="1">
        <v>10.3611</v>
      </c>
      <c r="B205" s="1">
        <v>2.1593100000000001</v>
      </c>
    </row>
    <row r="206" spans="1:2" x14ac:dyDescent="0.15">
      <c r="A206" s="1">
        <v>10.4381</v>
      </c>
      <c r="B206" s="1">
        <v>2.2696100000000001</v>
      </c>
    </row>
    <row r="207" spans="1:2" x14ac:dyDescent="0.15">
      <c r="A207" s="1">
        <v>10.4435</v>
      </c>
      <c r="B207" s="1">
        <v>2.4321799999999998</v>
      </c>
    </row>
    <row r="208" spans="1:2" x14ac:dyDescent="0.15">
      <c r="A208" s="1">
        <v>10.4847</v>
      </c>
      <c r="B208" s="1">
        <v>2.4177399999999998</v>
      </c>
    </row>
    <row r="209" spans="1:2" x14ac:dyDescent="0.15">
      <c r="A209" s="1">
        <v>10.4877</v>
      </c>
      <c r="B209" s="1">
        <v>2.39507</v>
      </c>
    </row>
    <row r="210" spans="1:2" x14ac:dyDescent="0.15">
      <c r="A210" s="1">
        <v>10.5465</v>
      </c>
      <c r="B210" s="1">
        <v>2.6295700000000002</v>
      </c>
    </row>
    <row r="211" spans="1:2" x14ac:dyDescent="0.15">
      <c r="A211" s="1">
        <v>10.831099999999999</v>
      </c>
      <c r="B211" s="1">
        <v>2.3141500000000002</v>
      </c>
    </row>
    <row r="212" spans="1:2" x14ac:dyDescent="0.15">
      <c r="A212" s="1">
        <v>10.873799999999999</v>
      </c>
      <c r="B212" s="1">
        <v>2.3983500000000002</v>
      </c>
    </row>
    <row r="213" spans="1:2" x14ac:dyDescent="0.15">
      <c r="A213" s="1">
        <v>10.911899999999999</v>
      </c>
      <c r="B213" s="1">
        <v>2.1671200000000002</v>
      </c>
    </row>
    <row r="214" spans="1:2" x14ac:dyDescent="0.15">
      <c r="A214" s="1">
        <v>10.935600000000001</v>
      </c>
      <c r="B214" s="1">
        <v>2.0600299999999998</v>
      </c>
    </row>
    <row r="215" spans="1:2" x14ac:dyDescent="0.15">
      <c r="A215" s="1">
        <v>11.2255</v>
      </c>
      <c r="B215" s="1">
        <v>2.1919499999999998</v>
      </c>
    </row>
    <row r="216" spans="1:2" x14ac:dyDescent="0.15">
      <c r="A216" s="1">
        <v>11.2377</v>
      </c>
      <c r="B216" s="1">
        <v>2.5131899999999998</v>
      </c>
    </row>
    <row r="217" spans="1:2" x14ac:dyDescent="0.15">
      <c r="A217" s="1">
        <v>11.2431</v>
      </c>
      <c r="B217" s="1">
        <v>2.6889799999999999</v>
      </c>
    </row>
    <row r="218" spans="1:2" x14ac:dyDescent="0.15">
      <c r="A218" s="1">
        <v>11.3217</v>
      </c>
      <c r="B218" s="1">
        <v>2.3031600000000001</v>
      </c>
    </row>
    <row r="219" spans="1:2" x14ac:dyDescent="0.15">
      <c r="A219" s="1">
        <v>11.3659</v>
      </c>
      <c r="B219" s="1">
        <v>2.6705999999999999</v>
      </c>
    </row>
    <row r="220" spans="1:2" x14ac:dyDescent="0.15">
      <c r="A220" s="1">
        <v>11.3705</v>
      </c>
      <c r="B220" s="1">
        <v>2.5037500000000001</v>
      </c>
    </row>
    <row r="221" spans="1:2" x14ac:dyDescent="0.15">
      <c r="A221" s="1">
        <v>11.3705</v>
      </c>
      <c r="B221" s="1">
        <v>2.65191</v>
      </c>
    </row>
    <row r="222" spans="1:2" x14ac:dyDescent="0.15">
      <c r="A222" s="1">
        <v>11.4186</v>
      </c>
      <c r="B222" s="1">
        <v>2.00692</v>
      </c>
    </row>
    <row r="223" spans="1:2" x14ac:dyDescent="0.15">
      <c r="A223" s="1">
        <v>11.462</v>
      </c>
      <c r="B223" s="1">
        <v>2.2588699999999999</v>
      </c>
    </row>
    <row r="224" spans="1:2" x14ac:dyDescent="0.15">
      <c r="A224" s="1">
        <v>11.702400000000001</v>
      </c>
      <c r="B224" s="1">
        <v>2.6063200000000002</v>
      </c>
    </row>
    <row r="225" spans="1:2" x14ac:dyDescent="0.15">
      <c r="A225" s="1">
        <v>11.741300000000001</v>
      </c>
      <c r="B225" s="1">
        <v>2.4892300000000001</v>
      </c>
    </row>
    <row r="226" spans="1:2" x14ac:dyDescent="0.15">
      <c r="A226" s="1">
        <v>11.753500000000001</v>
      </c>
      <c r="B226" s="1">
        <v>2.79386</v>
      </c>
    </row>
    <row r="227" spans="1:2" x14ac:dyDescent="0.15">
      <c r="A227" s="1">
        <v>11.767200000000001</v>
      </c>
      <c r="B227" s="1">
        <v>2.47139</v>
      </c>
    </row>
    <row r="228" spans="1:2" x14ac:dyDescent="0.15">
      <c r="A228" s="1">
        <v>11.796200000000001</v>
      </c>
      <c r="B228" s="1">
        <v>2.16919</v>
      </c>
    </row>
    <row r="229" spans="1:2" x14ac:dyDescent="0.15">
      <c r="A229" s="1">
        <v>11.8565</v>
      </c>
      <c r="B229" s="1">
        <v>2.10819</v>
      </c>
    </row>
    <row r="230" spans="1:2" x14ac:dyDescent="0.15">
      <c r="A230" s="1">
        <v>11.9122</v>
      </c>
      <c r="B230" s="1">
        <v>2.1005600000000002</v>
      </c>
    </row>
    <row r="231" spans="1:2" x14ac:dyDescent="0.15">
      <c r="A231" s="1">
        <v>11.9152</v>
      </c>
      <c r="B231" s="1">
        <v>2.2634799999999999</v>
      </c>
    </row>
    <row r="232" spans="1:2" x14ac:dyDescent="0.15">
      <c r="A232" s="1">
        <v>11.929</v>
      </c>
      <c r="B232" s="1">
        <v>2.5402900000000002</v>
      </c>
    </row>
    <row r="233" spans="1:2" x14ac:dyDescent="0.15">
      <c r="A233" s="1">
        <v>11.9503</v>
      </c>
      <c r="B233" s="1">
        <v>2.5555099999999999</v>
      </c>
    </row>
    <row r="234" spans="1:2" x14ac:dyDescent="0.15">
      <c r="A234" s="1">
        <v>11.9732</v>
      </c>
      <c r="B234" s="1">
        <v>2.2879100000000001</v>
      </c>
    </row>
    <row r="235" spans="1:2" x14ac:dyDescent="0.15">
      <c r="A235" s="1">
        <v>11.9938</v>
      </c>
      <c r="B235" s="1">
        <v>2.4084699999999999</v>
      </c>
    </row>
    <row r="236" spans="1:2" x14ac:dyDescent="0.15">
      <c r="A236" s="1">
        <v>12.0213</v>
      </c>
      <c r="B236" s="1">
        <v>1.83405</v>
      </c>
    </row>
    <row r="237" spans="1:2" x14ac:dyDescent="0.15">
      <c r="A237" s="1">
        <v>12.0251</v>
      </c>
      <c r="B237" s="1">
        <v>2.4653499999999999</v>
      </c>
    </row>
    <row r="238" spans="1:2" x14ac:dyDescent="0.15">
      <c r="A238" s="1">
        <v>12.0526</v>
      </c>
      <c r="B238" s="1">
        <v>2.44977</v>
      </c>
    </row>
    <row r="239" spans="1:2" x14ac:dyDescent="0.15">
      <c r="A239" s="1">
        <v>12.2059</v>
      </c>
      <c r="B239" s="1">
        <v>2.6643599999999998</v>
      </c>
    </row>
    <row r="240" spans="1:2" x14ac:dyDescent="0.15">
      <c r="A240" s="1">
        <v>12.2212</v>
      </c>
      <c r="B240" s="1">
        <v>2.0990600000000001</v>
      </c>
    </row>
    <row r="241" spans="1:2" x14ac:dyDescent="0.15">
      <c r="A241" s="1">
        <v>12.373799999999999</v>
      </c>
      <c r="B241" s="1">
        <v>2.6537099999999998</v>
      </c>
    </row>
    <row r="242" spans="1:2" x14ac:dyDescent="0.15">
      <c r="A242" s="1">
        <v>12.424099999999999</v>
      </c>
      <c r="B242" s="1">
        <v>2.5552800000000002</v>
      </c>
    </row>
    <row r="243" spans="1:2" x14ac:dyDescent="0.15">
      <c r="A243" s="1">
        <v>12.510400000000001</v>
      </c>
      <c r="B243" s="1">
        <v>2.2081300000000001</v>
      </c>
    </row>
    <row r="244" spans="1:2" x14ac:dyDescent="0.15">
      <c r="A244" s="1">
        <v>12.563800000000001</v>
      </c>
      <c r="B244" s="1">
        <v>2.3316300000000001</v>
      </c>
    </row>
    <row r="245" spans="1:2" x14ac:dyDescent="0.15">
      <c r="A245" s="1">
        <v>12.572900000000001</v>
      </c>
      <c r="B245" s="1">
        <v>2.6070700000000002</v>
      </c>
    </row>
    <row r="246" spans="1:2" x14ac:dyDescent="0.15">
      <c r="A246" s="1">
        <v>12.6805</v>
      </c>
      <c r="B246" s="1">
        <v>2.5376099999999999</v>
      </c>
    </row>
    <row r="247" spans="1:2" x14ac:dyDescent="0.15">
      <c r="A247" s="1">
        <v>12.7324</v>
      </c>
      <c r="B247" s="1">
        <v>2.8028</v>
      </c>
    </row>
    <row r="248" spans="1:2" x14ac:dyDescent="0.15">
      <c r="A248" s="1">
        <v>12.7507</v>
      </c>
      <c r="B248" s="1">
        <v>2.4662500000000001</v>
      </c>
    </row>
    <row r="249" spans="1:2" x14ac:dyDescent="0.15">
      <c r="A249" s="1">
        <v>12.7675</v>
      </c>
      <c r="B249" s="1">
        <v>2.9452400000000001</v>
      </c>
    </row>
    <row r="250" spans="1:2" x14ac:dyDescent="0.15">
      <c r="A250" s="1">
        <v>12.8552</v>
      </c>
      <c r="B250" s="1">
        <v>2.3941300000000001</v>
      </c>
    </row>
    <row r="251" spans="1:2" x14ac:dyDescent="0.15">
      <c r="A251" s="1">
        <v>12.875</v>
      </c>
      <c r="B251" s="1">
        <v>2.45932</v>
      </c>
    </row>
    <row r="252" spans="1:2" x14ac:dyDescent="0.15">
      <c r="A252" s="1">
        <v>12.9361</v>
      </c>
      <c r="B252" s="1">
        <v>2.4428999999999998</v>
      </c>
    </row>
    <row r="253" spans="1:2" x14ac:dyDescent="0.15">
      <c r="A253" s="1">
        <v>12.9613</v>
      </c>
      <c r="B253" s="1">
        <v>2.7755800000000002</v>
      </c>
    </row>
    <row r="254" spans="1:2" x14ac:dyDescent="0.15">
      <c r="A254" s="1">
        <v>12.9864</v>
      </c>
      <c r="B254" s="1">
        <v>2.50773</v>
      </c>
    </row>
    <row r="255" spans="1:2" x14ac:dyDescent="0.15">
      <c r="A255" s="1">
        <v>13.065799999999999</v>
      </c>
      <c r="B255" s="1">
        <v>2.4190399999999999</v>
      </c>
    </row>
    <row r="256" spans="1:2" x14ac:dyDescent="0.15">
      <c r="A256" s="1">
        <v>13.098599999999999</v>
      </c>
      <c r="B256" s="1">
        <v>2.7968899999999999</v>
      </c>
    </row>
    <row r="257" spans="1:2" x14ac:dyDescent="0.15">
      <c r="A257" s="1">
        <v>13.171799999999999</v>
      </c>
      <c r="B257" s="1">
        <v>2.4866899999999998</v>
      </c>
    </row>
    <row r="258" spans="1:2" x14ac:dyDescent="0.15">
      <c r="A258" s="1">
        <v>13.193199999999999</v>
      </c>
      <c r="B258" s="1">
        <v>2.50691</v>
      </c>
    </row>
    <row r="259" spans="1:2" x14ac:dyDescent="0.15">
      <c r="A259" s="1">
        <v>13.3992</v>
      </c>
      <c r="B259" s="1">
        <v>2.5523699999999998</v>
      </c>
    </row>
    <row r="260" spans="1:2" x14ac:dyDescent="0.15">
      <c r="A260" s="1">
        <v>13.4168</v>
      </c>
      <c r="B260" s="1">
        <v>2.3053499999999998</v>
      </c>
    </row>
    <row r="261" spans="1:2" x14ac:dyDescent="0.15">
      <c r="A261" s="1">
        <v>13.6281</v>
      </c>
      <c r="B261" s="1">
        <v>2.8720699999999999</v>
      </c>
    </row>
    <row r="262" spans="1:2" x14ac:dyDescent="0.15">
      <c r="A262" s="1">
        <v>13.6372</v>
      </c>
      <c r="B262" s="1">
        <v>2.6972299999999998</v>
      </c>
    </row>
    <row r="263" spans="1:2" x14ac:dyDescent="0.15">
      <c r="A263" s="1">
        <v>13.6395</v>
      </c>
      <c r="B263" s="1">
        <v>2.6415299999999999</v>
      </c>
    </row>
    <row r="264" spans="1:2" x14ac:dyDescent="0.15">
      <c r="A264" s="1">
        <v>13.6609</v>
      </c>
      <c r="B264" s="1">
        <v>2.6816800000000001</v>
      </c>
    </row>
    <row r="265" spans="1:2" x14ac:dyDescent="0.15">
      <c r="A265" s="1">
        <v>13.6655</v>
      </c>
      <c r="B265" s="1">
        <v>2.4940000000000002</v>
      </c>
    </row>
    <row r="266" spans="1:2" x14ac:dyDescent="0.15">
      <c r="A266" s="1">
        <v>13.6731</v>
      </c>
      <c r="B266" s="1">
        <v>2.83636</v>
      </c>
    </row>
    <row r="267" spans="1:2" x14ac:dyDescent="0.15">
      <c r="A267" s="1">
        <v>13.6846</v>
      </c>
      <c r="B267" s="1">
        <v>2.7777799999999999</v>
      </c>
    </row>
    <row r="268" spans="1:2" x14ac:dyDescent="0.15">
      <c r="A268" s="1">
        <v>13.797499999999999</v>
      </c>
      <c r="B268" s="1">
        <v>2.5405600000000002</v>
      </c>
    </row>
    <row r="269" spans="1:2" x14ac:dyDescent="0.15">
      <c r="A269" s="1">
        <v>13.879099999999999</v>
      </c>
      <c r="B269" s="1">
        <v>2.7686000000000002</v>
      </c>
    </row>
    <row r="270" spans="1:2" x14ac:dyDescent="0.15">
      <c r="A270" s="1">
        <v>13.970700000000001</v>
      </c>
      <c r="B270" s="1">
        <v>2.9093599999999999</v>
      </c>
    </row>
    <row r="271" spans="1:2" x14ac:dyDescent="0.15">
      <c r="A271" s="1">
        <v>13.979799999999999</v>
      </c>
      <c r="B271" s="1">
        <v>3.0581</v>
      </c>
    </row>
    <row r="272" spans="1:2" x14ac:dyDescent="0.15">
      <c r="A272" s="1">
        <v>14.044700000000001</v>
      </c>
      <c r="B272" s="1">
        <v>2.7875700000000001</v>
      </c>
    </row>
    <row r="273" spans="1:2" x14ac:dyDescent="0.15">
      <c r="A273" s="1">
        <v>14.078200000000001</v>
      </c>
      <c r="B273" s="1">
        <v>2.6894800000000001</v>
      </c>
    </row>
    <row r="274" spans="1:2" x14ac:dyDescent="0.15">
      <c r="A274" s="1">
        <v>14.2163</v>
      </c>
      <c r="B274" s="1">
        <v>2.7647900000000001</v>
      </c>
    </row>
    <row r="275" spans="1:2" x14ac:dyDescent="0.15">
      <c r="A275" s="1">
        <v>14.2285</v>
      </c>
      <c r="B275" s="1">
        <v>2.4182899999999998</v>
      </c>
    </row>
    <row r="276" spans="1:2" x14ac:dyDescent="0.15">
      <c r="A276" s="1">
        <v>14.2545</v>
      </c>
      <c r="B276" s="1">
        <v>2.4580099999999998</v>
      </c>
    </row>
    <row r="277" spans="1:2" x14ac:dyDescent="0.15">
      <c r="A277" s="1">
        <v>14.2713</v>
      </c>
      <c r="B277" s="1">
        <v>3.0859399999999999</v>
      </c>
    </row>
    <row r="278" spans="1:2" x14ac:dyDescent="0.15">
      <c r="A278" s="1">
        <v>14.2812</v>
      </c>
      <c r="B278" s="1">
        <v>2.7578900000000002</v>
      </c>
    </row>
    <row r="279" spans="1:2" x14ac:dyDescent="0.15">
      <c r="A279" s="1">
        <v>14.3216</v>
      </c>
      <c r="B279" s="1">
        <v>2.39263</v>
      </c>
    </row>
    <row r="280" spans="1:2" x14ac:dyDescent="0.15">
      <c r="A280" s="1">
        <v>14.3399</v>
      </c>
      <c r="B280" s="1">
        <v>2.9527999999999999</v>
      </c>
    </row>
    <row r="281" spans="1:2" x14ac:dyDescent="0.15">
      <c r="A281" s="1">
        <v>14.459</v>
      </c>
      <c r="B281" s="1">
        <v>2.75949</v>
      </c>
    </row>
    <row r="282" spans="1:2" x14ac:dyDescent="0.15">
      <c r="A282" s="1">
        <v>14.4727</v>
      </c>
      <c r="B282" s="1">
        <v>2.5701999999999998</v>
      </c>
    </row>
    <row r="283" spans="1:2" x14ac:dyDescent="0.15">
      <c r="A283" s="1">
        <v>14.5223</v>
      </c>
      <c r="B283" s="1">
        <v>2.4670700000000001</v>
      </c>
    </row>
    <row r="284" spans="1:2" x14ac:dyDescent="0.15">
      <c r="A284" s="1">
        <v>14.567299999999999</v>
      </c>
      <c r="B284" s="1">
        <v>2.38212</v>
      </c>
    </row>
    <row r="285" spans="1:2" x14ac:dyDescent="0.15">
      <c r="A285" s="1">
        <v>14.5848</v>
      </c>
      <c r="B285" s="1">
        <v>2.4785499999999998</v>
      </c>
    </row>
    <row r="286" spans="1:2" x14ac:dyDescent="0.15">
      <c r="A286" s="1">
        <v>14.634399999999999</v>
      </c>
      <c r="B286" s="1">
        <v>2.5549300000000001</v>
      </c>
    </row>
    <row r="287" spans="1:2" x14ac:dyDescent="0.15">
      <c r="A287" s="1">
        <v>14.9518</v>
      </c>
      <c r="B287" s="1">
        <v>2.6564899999999998</v>
      </c>
    </row>
    <row r="288" spans="1:2" x14ac:dyDescent="0.15">
      <c r="A288" s="1">
        <v>14.9923</v>
      </c>
      <c r="B288" s="1">
        <v>3.0144899999999999</v>
      </c>
    </row>
    <row r="289" spans="1:2" x14ac:dyDescent="0.15">
      <c r="A289" s="1">
        <v>15.1296</v>
      </c>
      <c r="B289" s="1">
        <v>2.7271899999999998</v>
      </c>
    </row>
    <row r="290" spans="1:2" x14ac:dyDescent="0.15">
      <c r="A290" s="1">
        <v>15.1365</v>
      </c>
      <c r="B290" s="1">
        <v>2.7357300000000002</v>
      </c>
    </row>
    <row r="291" spans="1:2" x14ac:dyDescent="0.15">
      <c r="A291" s="1">
        <v>15.154</v>
      </c>
      <c r="B291" s="1">
        <v>2.8245399999999998</v>
      </c>
    </row>
    <row r="292" spans="1:2" x14ac:dyDescent="0.15">
      <c r="A292" s="1">
        <v>15.1678</v>
      </c>
      <c r="B292" s="1">
        <v>2.77678</v>
      </c>
    </row>
    <row r="293" spans="1:2" x14ac:dyDescent="0.15">
      <c r="A293" s="1">
        <v>15.183</v>
      </c>
      <c r="B293" s="1">
        <v>2.7833000000000001</v>
      </c>
    </row>
    <row r="294" spans="1:2" x14ac:dyDescent="0.15">
      <c r="A294" s="1">
        <v>15.2448</v>
      </c>
      <c r="B294" s="1">
        <v>2.6638899999999999</v>
      </c>
    </row>
    <row r="295" spans="1:2" x14ac:dyDescent="0.15">
      <c r="A295" s="1">
        <v>15.2997</v>
      </c>
      <c r="B295" s="1">
        <v>3.1733600000000002</v>
      </c>
    </row>
    <row r="296" spans="1:2" x14ac:dyDescent="0.15">
      <c r="A296" s="1">
        <v>15.3142</v>
      </c>
      <c r="B296" s="1">
        <v>2.5451700000000002</v>
      </c>
    </row>
    <row r="297" spans="1:2" x14ac:dyDescent="0.15">
      <c r="A297" s="1">
        <v>15.356199999999999</v>
      </c>
      <c r="B297" s="1">
        <v>2.7492000000000001</v>
      </c>
    </row>
    <row r="298" spans="1:2" x14ac:dyDescent="0.15">
      <c r="A298" s="1">
        <v>15.398199999999999</v>
      </c>
      <c r="B298" s="1">
        <v>3.1879</v>
      </c>
    </row>
    <row r="299" spans="1:2" x14ac:dyDescent="0.15">
      <c r="A299" s="1">
        <v>15.416499999999999</v>
      </c>
      <c r="B299" s="1">
        <v>2.9731200000000002</v>
      </c>
    </row>
    <row r="300" spans="1:2" x14ac:dyDescent="0.15">
      <c r="A300" s="1">
        <v>15.466100000000001</v>
      </c>
      <c r="B300" s="1">
        <v>2.7734999999999999</v>
      </c>
    </row>
    <row r="301" spans="1:2" x14ac:dyDescent="0.15">
      <c r="A301" s="1">
        <v>15.518000000000001</v>
      </c>
      <c r="B301" s="1">
        <v>2.6652999999999998</v>
      </c>
    </row>
    <row r="302" spans="1:2" x14ac:dyDescent="0.15">
      <c r="A302" s="1">
        <v>15.577500000000001</v>
      </c>
      <c r="B302" s="1">
        <v>2.8065699999999998</v>
      </c>
    </row>
    <row r="303" spans="1:2" x14ac:dyDescent="0.15">
      <c r="A303" s="1">
        <v>15.6271</v>
      </c>
      <c r="B303" s="1">
        <v>2.1709399999999999</v>
      </c>
    </row>
    <row r="304" spans="1:2" x14ac:dyDescent="0.15">
      <c r="A304" s="1">
        <v>15.632400000000001</v>
      </c>
      <c r="B304" s="1">
        <v>2.82558</v>
      </c>
    </row>
    <row r="305" spans="1:2" x14ac:dyDescent="0.15">
      <c r="A305" s="1">
        <v>15.666700000000001</v>
      </c>
      <c r="B305" s="1">
        <v>2.55762</v>
      </c>
    </row>
    <row r="306" spans="1:2" x14ac:dyDescent="0.15">
      <c r="A306" s="1">
        <v>15.7095</v>
      </c>
      <c r="B306" s="1">
        <v>2.8998900000000001</v>
      </c>
    </row>
    <row r="307" spans="1:2" x14ac:dyDescent="0.15">
      <c r="A307" s="1">
        <v>15.7354</v>
      </c>
      <c r="B307" s="1">
        <v>2.35534</v>
      </c>
    </row>
    <row r="308" spans="1:2" x14ac:dyDescent="0.15">
      <c r="A308" s="1">
        <v>15.7438</v>
      </c>
      <c r="B308" s="1">
        <v>2.5859899999999998</v>
      </c>
    </row>
    <row r="309" spans="1:2" x14ac:dyDescent="0.15">
      <c r="A309" s="1">
        <v>15.7606</v>
      </c>
      <c r="B309" s="1">
        <v>2.36409</v>
      </c>
    </row>
    <row r="310" spans="1:2" x14ac:dyDescent="0.15">
      <c r="A310" s="1">
        <v>15.814</v>
      </c>
      <c r="B310" s="1">
        <v>2.9994299999999998</v>
      </c>
    </row>
    <row r="311" spans="1:2" x14ac:dyDescent="0.15">
      <c r="A311" s="1">
        <v>15.8918</v>
      </c>
      <c r="B311" s="1">
        <v>2.8432499999999998</v>
      </c>
    </row>
    <row r="312" spans="1:2" x14ac:dyDescent="0.15">
      <c r="A312" s="1">
        <v>15.9429</v>
      </c>
      <c r="B312" s="1">
        <v>2.8214199999999998</v>
      </c>
    </row>
    <row r="313" spans="1:2" x14ac:dyDescent="0.15">
      <c r="A313" s="1">
        <v>15.9757</v>
      </c>
      <c r="B313" s="1">
        <v>2.7910599999999999</v>
      </c>
    </row>
    <row r="314" spans="1:2" x14ac:dyDescent="0.15">
      <c r="A314" s="1">
        <v>16.078700000000001</v>
      </c>
      <c r="B314" s="1">
        <v>2.9014799999999998</v>
      </c>
    </row>
    <row r="315" spans="1:2" x14ac:dyDescent="0.15">
      <c r="A315" s="1">
        <v>16.086400000000001</v>
      </c>
      <c r="B315" s="1">
        <v>2.9337800000000001</v>
      </c>
    </row>
    <row r="316" spans="1:2" x14ac:dyDescent="0.15">
      <c r="A316" s="1">
        <v>16.167999999999999</v>
      </c>
      <c r="B316" s="1">
        <v>3.07911</v>
      </c>
    </row>
    <row r="317" spans="1:2" x14ac:dyDescent="0.15">
      <c r="A317" s="1">
        <v>16.319099999999999</v>
      </c>
      <c r="B317" s="1">
        <v>2.43398</v>
      </c>
    </row>
    <row r="318" spans="1:2" x14ac:dyDescent="0.15">
      <c r="A318" s="1">
        <v>16.325900000000001</v>
      </c>
      <c r="B318" s="1">
        <v>2.7737400000000001</v>
      </c>
    </row>
    <row r="319" spans="1:2" x14ac:dyDescent="0.15">
      <c r="A319" s="1">
        <v>16.331299999999999</v>
      </c>
      <c r="B319" s="1">
        <v>2.9786600000000001</v>
      </c>
    </row>
    <row r="320" spans="1:2" x14ac:dyDescent="0.15">
      <c r="A320" s="1">
        <v>16.4984</v>
      </c>
      <c r="B320" s="1">
        <v>2.9011300000000002</v>
      </c>
    </row>
    <row r="321" spans="1:2" x14ac:dyDescent="0.15">
      <c r="A321" s="1">
        <v>16.506799999999998</v>
      </c>
      <c r="B321" s="1">
        <v>2.8070599999999999</v>
      </c>
    </row>
    <row r="322" spans="1:2" x14ac:dyDescent="0.15">
      <c r="A322" s="1">
        <v>16.509</v>
      </c>
      <c r="B322" s="1">
        <v>2.3957199999999998</v>
      </c>
    </row>
    <row r="323" spans="1:2" x14ac:dyDescent="0.15">
      <c r="A323" s="1">
        <v>16.5274</v>
      </c>
      <c r="B323" s="1">
        <v>3.2900299999999998</v>
      </c>
    </row>
    <row r="324" spans="1:2" x14ac:dyDescent="0.15">
      <c r="A324" s="1">
        <v>16.552499999999998</v>
      </c>
      <c r="B324" s="1">
        <v>3.3275700000000001</v>
      </c>
    </row>
    <row r="325" spans="1:2" x14ac:dyDescent="0.15">
      <c r="A325" s="1">
        <v>16.564699999999998</v>
      </c>
      <c r="B325" s="1">
        <v>2.4825300000000001</v>
      </c>
    </row>
    <row r="326" spans="1:2" x14ac:dyDescent="0.15">
      <c r="A326" s="1">
        <v>16.6143</v>
      </c>
      <c r="B326" s="1">
        <v>2.7044700000000002</v>
      </c>
    </row>
    <row r="327" spans="1:2" x14ac:dyDescent="0.15">
      <c r="A327" s="1">
        <v>16.6937</v>
      </c>
      <c r="B327" s="1">
        <v>2.7035</v>
      </c>
    </row>
    <row r="328" spans="1:2" x14ac:dyDescent="0.15">
      <c r="A328" s="1">
        <v>16.718900000000001</v>
      </c>
      <c r="B328" s="1">
        <v>2.8967800000000001</v>
      </c>
    </row>
    <row r="329" spans="1:2" x14ac:dyDescent="0.15">
      <c r="A329" s="1">
        <v>16.7532</v>
      </c>
      <c r="B329" s="1">
        <v>3.25095</v>
      </c>
    </row>
    <row r="330" spans="1:2" x14ac:dyDescent="0.15">
      <c r="A330" s="1">
        <v>16.857700000000001</v>
      </c>
      <c r="B330" s="1">
        <v>2.8866499999999999</v>
      </c>
    </row>
    <row r="331" spans="1:2" x14ac:dyDescent="0.15">
      <c r="A331" s="1">
        <v>16.866099999999999</v>
      </c>
      <c r="B331" s="1">
        <v>2.7302599999999999</v>
      </c>
    </row>
    <row r="332" spans="1:2" x14ac:dyDescent="0.15">
      <c r="A332" s="1">
        <v>16.905000000000001</v>
      </c>
      <c r="B332" s="1">
        <v>2.9409000000000001</v>
      </c>
    </row>
    <row r="333" spans="1:2" x14ac:dyDescent="0.15">
      <c r="A333" s="1">
        <v>16.975999999999999</v>
      </c>
      <c r="B333" s="1">
        <v>2.93296</v>
      </c>
    </row>
    <row r="334" spans="1:2" x14ac:dyDescent="0.15">
      <c r="A334" s="1">
        <v>17.007999999999999</v>
      </c>
      <c r="B334" s="1">
        <v>2.6079300000000001</v>
      </c>
    </row>
    <row r="335" spans="1:2" x14ac:dyDescent="0.15">
      <c r="A335" s="1">
        <v>17.022500000000001</v>
      </c>
      <c r="B335" s="1">
        <v>2.9493200000000002</v>
      </c>
    </row>
    <row r="336" spans="1:2" x14ac:dyDescent="0.15">
      <c r="A336" s="1">
        <v>17.149899999999999</v>
      </c>
      <c r="B336" s="1">
        <v>2.9967199999999998</v>
      </c>
    </row>
    <row r="337" spans="1:2" x14ac:dyDescent="0.15">
      <c r="A337" s="1">
        <v>17.1568</v>
      </c>
      <c r="B337" s="1">
        <v>2.7439900000000002</v>
      </c>
    </row>
    <row r="338" spans="1:2" x14ac:dyDescent="0.15">
      <c r="A338" s="1">
        <v>17.166699999999999</v>
      </c>
      <c r="B338" s="1">
        <v>2.5621200000000002</v>
      </c>
    </row>
    <row r="339" spans="1:2" x14ac:dyDescent="0.15">
      <c r="A339" s="1">
        <v>17.218599999999999</v>
      </c>
      <c r="B339" s="1">
        <v>3.0558000000000001</v>
      </c>
    </row>
    <row r="340" spans="1:2" x14ac:dyDescent="0.15">
      <c r="A340" s="1">
        <v>17.2773</v>
      </c>
      <c r="B340" s="1">
        <v>2.6577199999999999</v>
      </c>
    </row>
    <row r="341" spans="1:2" x14ac:dyDescent="0.15">
      <c r="A341" s="1">
        <v>17.305599999999998</v>
      </c>
      <c r="B341" s="1">
        <v>2.7179000000000002</v>
      </c>
    </row>
    <row r="342" spans="1:2" x14ac:dyDescent="0.15">
      <c r="A342" s="1">
        <v>17.363600000000002</v>
      </c>
      <c r="B342" s="1">
        <v>2.8640599999999998</v>
      </c>
    </row>
    <row r="343" spans="1:2" x14ac:dyDescent="0.15">
      <c r="A343" s="1">
        <v>17.5001</v>
      </c>
      <c r="B343" s="1">
        <v>3.3388599999999999</v>
      </c>
    </row>
    <row r="344" spans="1:2" x14ac:dyDescent="0.15">
      <c r="A344" s="1">
        <v>17.574100000000001</v>
      </c>
      <c r="B344" s="1">
        <v>2.94171</v>
      </c>
    </row>
    <row r="345" spans="1:2" x14ac:dyDescent="0.15">
      <c r="A345" s="1">
        <v>17.616900000000001</v>
      </c>
      <c r="B345" s="1">
        <v>3.1007600000000002</v>
      </c>
    </row>
    <row r="346" spans="1:2" x14ac:dyDescent="0.15">
      <c r="A346" s="1">
        <v>17.795400000000001</v>
      </c>
      <c r="B346" s="1">
        <v>2.7500200000000001</v>
      </c>
    </row>
    <row r="347" spans="1:2" x14ac:dyDescent="0.15">
      <c r="A347" s="1">
        <v>17.808399999999999</v>
      </c>
      <c r="B347" s="1">
        <v>2.5680200000000002</v>
      </c>
    </row>
    <row r="348" spans="1:2" x14ac:dyDescent="0.15">
      <c r="A348" s="1">
        <v>17.837399999999999</v>
      </c>
      <c r="B348" s="1">
        <v>2.5917599999999998</v>
      </c>
    </row>
    <row r="349" spans="1:2" x14ac:dyDescent="0.15">
      <c r="A349" s="1">
        <v>17.936499999999999</v>
      </c>
      <c r="B349" s="1">
        <v>2.93838</v>
      </c>
    </row>
    <row r="350" spans="1:2" x14ac:dyDescent="0.15">
      <c r="A350" s="1">
        <v>18.1143</v>
      </c>
      <c r="B350" s="1">
        <v>2.6511300000000002</v>
      </c>
    </row>
    <row r="351" spans="1:2" x14ac:dyDescent="0.15">
      <c r="A351" s="1">
        <v>18.1158</v>
      </c>
      <c r="B351" s="1">
        <v>3.1930000000000001</v>
      </c>
    </row>
    <row r="352" spans="1:2" x14ac:dyDescent="0.15">
      <c r="A352" s="1">
        <v>18.298200000000001</v>
      </c>
      <c r="B352" s="1">
        <v>3.0014500000000002</v>
      </c>
    </row>
    <row r="353" spans="1:2" x14ac:dyDescent="0.15">
      <c r="A353" s="1">
        <v>18.3127</v>
      </c>
      <c r="B353" s="1">
        <v>3.1135999999999999</v>
      </c>
    </row>
    <row r="354" spans="1:2" x14ac:dyDescent="0.15">
      <c r="A354" s="1">
        <v>18.325700000000001</v>
      </c>
      <c r="B354" s="1">
        <v>2.93445</v>
      </c>
    </row>
    <row r="355" spans="1:2" x14ac:dyDescent="0.15">
      <c r="A355" s="1">
        <v>18.363800000000001</v>
      </c>
      <c r="B355" s="1">
        <v>2.9501599999999999</v>
      </c>
    </row>
    <row r="356" spans="1:2" x14ac:dyDescent="0.15">
      <c r="A356" s="1">
        <v>18.397400000000001</v>
      </c>
      <c r="B356" s="1">
        <v>2.5568200000000001</v>
      </c>
    </row>
    <row r="357" spans="1:2" x14ac:dyDescent="0.15">
      <c r="A357" s="1">
        <v>18.480499999999999</v>
      </c>
      <c r="B357" s="1">
        <v>2.6566299999999998</v>
      </c>
    </row>
    <row r="358" spans="1:2" x14ac:dyDescent="0.15">
      <c r="A358" s="1">
        <v>18.495799999999999</v>
      </c>
      <c r="B358" s="1">
        <v>3.2260200000000001</v>
      </c>
    </row>
    <row r="359" spans="1:2" x14ac:dyDescent="0.15">
      <c r="A359" s="1">
        <v>18.501899999999999</v>
      </c>
      <c r="B359" s="1">
        <v>3.0498799999999999</v>
      </c>
    </row>
    <row r="360" spans="1:2" x14ac:dyDescent="0.15">
      <c r="A360" s="1">
        <v>18.506499999999999</v>
      </c>
      <c r="B360" s="1">
        <v>2.9994999999999998</v>
      </c>
    </row>
    <row r="361" spans="1:2" x14ac:dyDescent="0.15">
      <c r="A361" s="1">
        <v>18.517900000000001</v>
      </c>
      <c r="B361" s="1">
        <v>3.2577500000000001</v>
      </c>
    </row>
    <row r="362" spans="1:2" x14ac:dyDescent="0.15">
      <c r="A362" s="1">
        <v>18.536999999999999</v>
      </c>
      <c r="B362" s="1">
        <v>2.80972</v>
      </c>
    </row>
    <row r="363" spans="1:2" x14ac:dyDescent="0.15">
      <c r="A363" s="1">
        <v>18.543900000000001</v>
      </c>
      <c r="B363" s="1">
        <v>3.34613</v>
      </c>
    </row>
    <row r="364" spans="1:2" x14ac:dyDescent="0.15">
      <c r="A364" s="1">
        <v>18.6568</v>
      </c>
      <c r="B364" s="1">
        <v>2.9200900000000001</v>
      </c>
    </row>
    <row r="365" spans="1:2" x14ac:dyDescent="0.15">
      <c r="A365" s="1">
        <v>18.672799999999999</v>
      </c>
      <c r="B365" s="1">
        <v>2.8454000000000002</v>
      </c>
    </row>
    <row r="366" spans="1:2" x14ac:dyDescent="0.15">
      <c r="A366" s="1">
        <v>18.764399999999998</v>
      </c>
      <c r="B366" s="1">
        <v>2.7430300000000001</v>
      </c>
    </row>
    <row r="367" spans="1:2" x14ac:dyDescent="0.15">
      <c r="A367" s="1">
        <v>18.8277</v>
      </c>
      <c r="B367" s="1">
        <v>2.7980900000000002</v>
      </c>
    </row>
    <row r="368" spans="1:2" x14ac:dyDescent="0.15">
      <c r="A368" s="1">
        <v>18.836099999999998</v>
      </c>
      <c r="B368" s="1">
        <v>3.1577299999999999</v>
      </c>
    </row>
    <row r="369" spans="1:2" x14ac:dyDescent="0.15">
      <c r="A369" s="1">
        <v>18.8506</v>
      </c>
      <c r="B369" s="1">
        <v>3.1718600000000001</v>
      </c>
    </row>
    <row r="370" spans="1:2" x14ac:dyDescent="0.15">
      <c r="A370" s="1">
        <v>18.8857</v>
      </c>
      <c r="B370" s="1">
        <v>2.8473299999999999</v>
      </c>
    </row>
    <row r="371" spans="1:2" x14ac:dyDescent="0.15">
      <c r="A371" s="1">
        <v>19.0352</v>
      </c>
      <c r="B371" s="1">
        <v>2.5731799999999998</v>
      </c>
    </row>
    <row r="372" spans="1:2" x14ac:dyDescent="0.15">
      <c r="A372" s="1">
        <v>19.0871</v>
      </c>
      <c r="B372" s="1">
        <v>3.1418400000000002</v>
      </c>
    </row>
    <row r="373" spans="1:2" x14ac:dyDescent="0.15">
      <c r="A373" s="1">
        <v>19.123699999999999</v>
      </c>
      <c r="B373" s="1">
        <v>3.0291999999999999</v>
      </c>
    </row>
    <row r="374" spans="1:2" x14ac:dyDescent="0.15">
      <c r="A374" s="1">
        <v>19.145099999999999</v>
      </c>
      <c r="B374" s="1">
        <v>2.6225200000000002</v>
      </c>
    </row>
    <row r="375" spans="1:2" x14ac:dyDescent="0.15">
      <c r="A375" s="1">
        <v>19.158000000000001</v>
      </c>
      <c r="B375" s="1">
        <v>3.2106300000000001</v>
      </c>
    </row>
    <row r="376" spans="1:2" x14ac:dyDescent="0.15">
      <c r="A376" s="1">
        <v>19.228200000000001</v>
      </c>
      <c r="B376" s="1">
        <v>2.8896700000000002</v>
      </c>
    </row>
    <row r="377" spans="1:2" x14ac:dyDescent="0.15">
      <c r="A377" s="1">
        <v>19.331199999999999</v>
      </c>
      <c r="B377" s="1">
        <v>3.2012</v>
      </c>
    </row>
    <row r="378" spans="1:2" x14ac:dyDescent="0.15">
      <c r="A378" s="1">
        <v>19.4709</v>
      </c>
      <c r="B378" s="1">
        <v>2.8707600000000002</v>
      </c>
    </row>
    <row r="379" spans="1:2" x14ac:dyDescent="0.15">
      <c r="A379" s="1">
        <v>19.521999999999998</v>
      </c>
      <c r="B379" s="1">
        <v>3.27935</v>
      </c>
    </row>
    <row r="380" spans="1:2" x14ac:dyDescent="0.15">
      <c r="A380" s="1">
        <v>19.5227</v>
      </c>
      <c r="B380" s="1">
        <v>3.27569</v>
      </c>
    </row>
    <row r="381" spans="1:2" x14ac:dyDescent="0.15">
      <c r="A381" s="1">
        <v>19.584499999999998</v>
      </c>
      <c r="B381" s="1">
        <v>2.8148</v>
      </c>
    </row>
    <row r="382" spans="1:2" x14ac:dyDescent="0.15">
      <c r="A382" s="1">
        <v>19.6235</v>
      </c>
      <c r="B382" s="1">
        <v>2.9464199999999998</v>
      </c>
    </row>
    <row r="383" spans="1:2" x14ac:dyDescent="0.15">
      <c r="A383" s="1">
        <v>19.6387</v>
      </c>
      <c r="B383" s="1">
        <v>3.0338599999999998</v>
      </c>
    </row>
    <row r="384" spans="1:2" x14ac:dyDescent="0.15">
      <c r="A384" s="1">
        <v>19.686800000000002</v>
      </c>
      <c r="B384" s="1">
        <v>2.9112499999999999</v>
      </c>
    </row>
    <row r="385" spans="1:2" x14ac:dyDescent="0.15">
      <c r="A385" s="1">
        <v>19.723400000000002</v>
      </c>
      <c r="B385" s="1">
        <v>3.0986199999999999</v>
      </c>
    </row>
    <row r="386" spans="1:2" x14ac:dyDescent="0.15">
      <c r="A386" s="1">
        <v>19.7593</v>
      </c>
      <c r="B386" s="1">
        <v>2.9780500000000001</v>
      </c>
    </row>
    <row r="387" spans="1:2" x14ac:dyDescent="0.15">
      <c r="A387" s="1">
        <v>19.767700000000001</v>
      </c>
      <c r="B387" s="1">
        <v>2.75</v>
      </c>
    </row>
    <row r="388" spans="1:2" x14ac:dyDescent="0.15">
      <c r="A388" s="1">
        <v>19.772200000000002</v>
      </c>
      <c r="B388" s="1">
        <v>3.1993900000000002</v>
      </c>
    </row>
    <row r="389" spans="1:2" x14ac:dyDescent="0.15">
      <c r="A389" s="1">
        <v>19.790500000000002</v>
      </c>
      <c r="B389" s="1">
        <v>2.6344699999999999</v>
      </c>
    </row>
    <row r="390" spans="1:2" x14ac:dyDescent="0.15">
      <c r="A390" s="1">
        <v>19.836300000000001</v>
      </c>
      <c r="B390" s="1">
        <v>3.05844</v>
      </c>
    </row>
    <row r="391" spans="1:2" x14ac:dyDescent="0.15">
      <c r="A391" s="1">
        <v>19.863800000000001</v>
      </c>
      <c r="B391" s="1">
        <v>2.6926999999999999</v>
      </c>
    </row>
    <row r="392" spans="1:2" x14ac:dyDescent="0.15">
      <c r="A392" s="1">
        <v>19.970600000000001</v>
      </c>
      <c r="B392" s="1">
        <v>3.4942899999999999</v>
      </c>
    </row>
    <row r="393" spans="1:2" x14ac:dyDescent="0.15">
      <c r="A393" s="1">
        <v>20.078199999999999</v>
      </c>
      <c r="B393" s="1">
        <v>2.8362099999999999</v>
      </c>
    </row>
    <row r="394" spans="1:2" x14ac:dyDescent="0.15">
      <c r="A394" s="1">
        <v>20.087299999999999</v>
      </c>
      <c r="B394" s="1">
        <v>3.20207</v>
      </c>
    </row>
    <row r="395" spans="1:2" x14ac:dyDescent="0.15">
      <c r="A395" s="1">
        <v>20.093399999999999</v>
      </c>
      <c r="B395" s="1">
        <v>2.9659599999999999</v>
      </c>
    </row>
    <row r="396" spans="1:2" x14ac:dyDescent="0.15">
      <c r="A396" s="1">
        <v>20.135400000000001</v>
      </c>
      <c r="B396" s="1">
        <v>3.2719999999999998</v>
      </c>
    </row>
    <row r="397" spans="1:2" x14ac:dyDescent="0.15">
      <c r="A397" s="1">
        <v>20.147600000000001</v>
      </c>
      <c r="B397" s="1">
        <v>3.1948699999999999</v>
      </c>
    </row>
    <row r="398" spans="1:2" x14ac:dyDescent="0.15">
      <c r="A398" s="1">
        <v>20.182700000000001</v>
      </c>
      <c r="B398" s="1">
        <v>3.1650299999999998</v>
      </c>
    </row>
    <row r="399" spans="1:2" x14ac:dyDescent="0.15">
      <c r="A399" s="1">
        <v>20.203299999999999</v>
      </c>
      <c r="B399" s="1">
        <v>3.1315300000000001</v>
      </c>
    </row>
    <row r="400" spans="1:2" x14ac:dyDescent="0.15">
      <c r="A400" s="1">
        <v>20.2544</v>
      </c>
      <c r="B400" s="1">
        <v>3.1333299999999999</v>
      </c>
    </row>
    <row r="401" spans="1:2" x14ac:dyDescent="0.15">
      <c r="A401" s="1">
        <v>20.316199999999998</v>
      </c>
      <c r="B401" s="1">
        <v>3.3932199999999999</v>
      </c>
    </row>
    <row r="402" spans="1:2" x14ac:dyDescent="0.15">
      <c r="A402" s="1">
        <v>20.340599999999998</v>
      </c>
      <c r="B402" s="1">
        <v>3.1394700000000002</v>
      </c>
    </row>
    <row r="403" spans="1:2" x14ac:dyDescent="0.15">
      <c r="A403" s="1">
        <v>20.390999999999998</v>
      </c>
      <c r="B403" s="1">
        <v>3.3091300000000001</v>
      </c>
    </row>
    <row r="404" spans="1:2" x14ac:dyDescent="0.15">
      <c r="A404" s="1">
        <v>20.4238</v>
      </c>
      <c r="B404" s="1">
        <v>3.0264899999999999</v>
      </c>
    </row>
    <row r="405" spans="1:2" x14ac:dyDescent="0.15">
      <c r="A405" s="1">
        <v>20.4864</v>
      </c>
      <c r="B405" s="1">
        <v>3.0528300000000002</v>
      </c>
    </row>
    <row r="406" spans="1:2" x14ac:dyDescent="0.15">
      <c r="A406" s="1">
        <v>20.490200000000002</v>
      </c>
      <c r="B406" s="1">
        <v>3.1648399999999999</v>
      </c>
    </row>
    <row r="407" spans="1:2" x14ac:dyDescent="0.15">
      <c r="A407" s="1">
        <v>20.543600000000001</v>
      </c>
      <c r="B407" s="1">
        <v>3.1728100000000001</v>
      </c>
    </row>
    <row r="408" spans="1:2" x14ac:dyDescent="0.15">
      <c r="A408" s="1">
        <v>20.6023</v>
      </c>
      <c r="B408" s="1">
        <v>3.0862500000000002</v>
      </c>
    </row>
    <row r="409" spans="1:2" x14ac:dyDescent="0.15">
      <c r="A409" s="1">
        <v>20.665700000000001</v>
      </c>
      <c r="B409" s="1">
        <v>3.2206999999999999</v>
      </c>
    </row>
    <row r="410" spans="1:2" x14ac:dyDescent="0.15">
      <c r="A410" s="1">
        <v>20.697700000000001</v>
      </c>
      <c r="B410" s="1">
        <v>3.1909999999999998</v>
      </c>
    </row>
    <row r="411" spans="1:2" x14ac:dyDescent="0.15">
      <c r="A411" s="1">
        <v>20.771699999999999</v>
      </c>
      <c r="B411" s="1">
        <v>3.0025200000000001</v>
      </c>
    </row>
    <row r="412" spans="1:2" x14ac:dyDescent="0.15">
      <c r="A412" s="1">
        <v>20.775500000000001</v>
      </c>
      <c r="B412" s="1">
        <v>3.1823899999999998</v>
      </c>
    </row>
    <row r="413" spans="1:2" x14ac:dyDescent="0.15">
      <c r="A413" s="1">
        <v>20.814399999999999</v>
      </c>
      <c r="B413" s="1">
        <v>3.1031300000000002</v>
      </c>
    </row>
    <row r="414" spans="1:2" x14ac:dyDescent="0.15">
      <c r="A414" s="1">
        <v>20.821300000000001</v>
      </c>
      <c r="B414" s="1">
        <v>3.2307000000000001</v>
      </c>
    </row>
    <row r="415" spans="1:2" x14ac:dyDescent="0.15">
      <c r="A415" s="1">
        <v>20.847999999999999</v>
      </c>
      <c r="B415" s="1">
        <v>2.74438</v>
      </c>
    </row>
    <row r="416" spans="1:2" x14ac:dyDescent="0.15">
      <c r="A416" s="1">
        <v>20.983799999999999</v>
      </c>
      <c r="B416" s="1">
        <v>3.5633900000000001</v>
      </c>
    </row>
    <row r="417" spans="1:2" x14ac:dyDescent="0.15">
      <c r="A417" s="1">
        <v>20.9876</v>
      </c>
      <c r="B417" s="1">
        <v>2.5179800000000001</v>
      </c>
    </row>
    <row r="418" spans="1:2" x14ac:dyDescent="0.15">
      <c r="A418" s="1">
        <v>21.0899</v>
      </c>
      <c r="B418" s="1">
        <v>3.0772599999999999</v>
      </c>
    </row>
    <row r="419" spans="1:2" x14ac:dyDescent="0.15">
      <c r="A419" s="1">
        <v>21.1005</v>
      </c>
      <c r="B419" s="1">
        <v>2.9206699999999999</v>
      </c>
    </row>
    <row r="420" spans="1:2" x14ac:dyDescent="0.15">
      <c r="A420" s="1">
        <v>21.160799999999998</v>
      </c>
      <c r="B420" s="1">
        <v>3.081</v>
      </c>
    </row>
    <row r="421" spans="1:2" x14ac:dyDescent="0.15">
      <c r="A421" s="1">
        <v>21.2882</v>
      </c>
      <c r="B421" s="1">
        <v>3.1488800000000001</v>
      </c>
    </row>
    <row r="422" spans="1:2" x14ac:dyDescent="0.15">
      <c r="A422" s="1">
        <v>21.289000000000001</v>
      </c>
      <c r="B422" s="1">
        <v>3.3273999999999999</v>
      </c>
    </row>
    <row r="423" spans="1:2" x14ac:dyDescent="0.15">
      <c r="A423" s="1">
        <v>21.406500000000001</v>
      </c>
      <c r="B423" s="1">
        <v>3.0223</v>
      </c>
    </row>
    <row r="424" spans="1:2" x14ac:dyDescent="0.15">
      <c r="A424" s="1">
        <v>21.509499999999999</v>
      </c>
      <c r="B424" s="1">
        <v>3.0549900000000001</v>
      </c>
    </row>
    <row r="425" spans="1:2" x14ac:dyDescent="0.15">
      <c r="A425" s="1">
        <v>21.556000000000001</v>
      </c>
      <c r="B425" s="1">
        <v>3.0321500000000001</v>
      </c>
    </row>
    <row r="426" spans="1:2" x14ac:dyDescent="0.15">
      <c r="A426" s="1">
        <v>21.571300000000001</v>
      </c>
      <c r="B426" s="1">
        <v>3.1533199999999999</v>
      </c>
    </row>
    <row r="427" spans="1:2" x14ac:dyDescent="0.15">
      <c r="A427" s="1">
        <v>21.7453</v>
      </c>
      <c r="B427" s="1">
        <v>3.14012</v>
      </c>
    </row>
    <row r="428" spans="1:2" x14ac:dyDescent="0.15">
      <c r="A428" s="1">
        <v>21.7559</v>
      </c>
      <c r="B428" s="1">
        <v>3.2629899999999998</v>
      </c>
    </row>
    <row r="429" spans="1:2" x14ac:dyDescent="0.15">
      <c r="A429" s="1">
        <v>21.7773</v>
      </c>
      <c r="B429" s="1">
        <v>2.9195899999999999</v>
      </c>
    </row>
    <row r="430" spans="1:2" x14ac:dyDescent="0.15">
      <c r="A430" s="1">
        <v>21.810099999999998</v>
      </c>
      <c r="B430" s="1">
        <v>3.4394999999999998</v>
      </c>
    </row>
    <row r="431" spans="1:2" x14ac:dyDescent="0.15">
      <c r="A431" s="1">
        <v>21.8551</v>
      </c>
      <c r="B431" s="1">
        <v>2.7821199999999999</v>
      </c>
    </row>
    <row r="432" spans="1:2" x14ac:dyDescent="0.15">
      <c r="A432" s="1">
        <v>21.8917</v>
      </c>
      <c r="B432" s="1">
        <v>3.13524</v>
      </c>
    </row>
    <row r="433" spans="1:2" x14ac:dyDescent="0.15">
      <c r="A433" s="1">
        <v>21.9894</v>
      </c>
      <c r="B433" s="1">
        <v>2.90787</v>
      </c>
    </row>
    <row r="434" spans="1:2" x14ac:dyDescent="0.15">
      <c r="A434" s="1">
        <v>22.060400000000001</v>
      </c>
      <c r="B434" s="1">
        <v>3.0525000000000002</v>
      </c>
    </row>
    <row r="435" spans="1:2" x14ac:dyDescent="0.15">
      <c r="A435" s="1">
        <v>22.174800000000001</v>
      </c>
      <c r="B435" s="1">
        <v>2.7865899999999999</v>
      </c>
    </row>
    <row r="436" spans="1:2" x14ac:dyDescent="0.15">
      <c r="A436" s="1">
        <v>22.303000000000001</v>
      </c>
      <c r="B436" s="1">
        <v>3.27399</v>
      </c>
    </row>
    <row r="437" spans="1:2" x14ac:dyDescent="0.15">
      <c r="A437" s="1">
        <v>22.358699999999999</v>
      </c>
      <c r="B437" s="1">
        <v>3.2529300000000001</v>
      </c>
    </row>
    <row r="438" spans="1:2" x14ac:dyDescent="0.15">
      <c r="A438" s="1">
        <v>22.4678</v>
      </c>
      <c r="B438" s="1">
        <v>3.32118</v>
      </c>
    </row>
    <row r="439" spans="1:2" x14ac:dyDescent="0.15">
      <c r="A439" s="1">
        <v>22.628</v>
      </c>
      <c r="B439" s="1">
        <v>2.97187</v>
      </c>
    </row>
    <row r="440" spans="1:2" x14ac:dyDescent="0.15">
      <c r="A440" s="1">
        <v>22.6951</v>
      </c>
      <c r="B440" s="1">
        <v>3.3170000000000002</v>
      </c>
    </row>
    <row r="441" spans="1:2" x14ac:dyDescent="0.15">
      <c r="A441" s="1">
        <v>22.7073</v>
      </c>
      <c r="B441" s="1">
        <v>3.2046999999999999</v>
      </c>
    </row>
    <row r="442" spans="1:2" x14ac:dyDescent="0.15">
      <c r="A442" s="1">
        <v>22.753900000000002</v>
      </c>
      <c r="B442" s="1">
        <v>2.6430199999999999</v>
      </c>
    </row>
    <row r="443" spans="1:2" x14ac:dyDescent="0.15">
      <c r="A443" s="1">
        <v>22.775300000000001</v>
      </c>
      <c r="B443" s="1">
        <v>3.0851000000000002</v>
      </c>
    </row>
    <row r="444" spans="1:2" x14ac:dyDescent="0.15">
      <c r="A444" s="1">
        <v>22.776</v>
      </c>
      <c r="B444" s="1">
        <v>3.1279499999999998</v>
      </c>
    </row>
    <row r="445" spans="1:2" x14ac:dyDescent="0.15">
      <c r="A445" s="1">
        <v>22.805</v>
      </c>
      <c r="B445" s="1">
        <v>3.2364899999999999</v>
      </c>
    </row>
    <row r="446" spans="1:2" x14ac:dyDescent="0.15">
      <c r="A446" s="1">
        <v>22.816500000000001</v>
      </c>
      <c r="B446" s="1">
        <v>3.4605100000000002</v>
      </c>
    </row>
    <row r="447" spans="1:2" x14ac:dyDescent="0.15">
      <c r="A447" s="1">
        <v>22.909500000000001</v>
      </c>
      <c r="B447" s="1">
        <v>3.0828899999999999</v>
      </c>
    </row>
    <row r="448" spans="1:2" x14ac:dyDescent="0.15">
      <c r="A448" s="1">
        <v>22.959900000000001</v>
      </c>
      <c r="B448" s="1">
        <v>2.8250700000000002</v>
      </c>
    </row>
    <row r="449" spans="1:2" x14ac:dyDescent="0.15">
      <c r="A449" s="1">
        <v>22.977399999999999</v>
      </c>
      <c r="B449" s="1">
        <v>2.9728500000000002</v>
      </c>
    </row>
    <row r="450" spans="1:2" x14ac:dyDescent="0.15">
      <c r="A450" s="1">
        <v>22.993500000000001</v>
      </c>
      <c r="B450" s="1">
        <v>3.2004899999999998</v>
      </c>
    </row>
    <row r="451" spans="1:2" x14ac:dyDescent="0.15">
      <c r="A451" s="1">
        <v>22.996500000000001</v>
      </c>
      <c r="B451" s="1">
        <v>3.0411700000000002</v>
      </c>
    </row>
    <row r="452" spans="1:2" x14ac:dyDescent="0.15">
      <c r="A452" s="1">
        <v>23.053699999999999</v>
      </c>
      <c r="B452" s="1">
        <v>3.0657399999999999</v>
      </c>
    </row>
    <row r="453" spans="1:2" x14ac:dyDescent="0.15">
      <c r="A453" s="1">
        <v>23.060600000000001</v>
      </c>
      <c r="B453" s="1">
        <v>3.2027800000000002</v>
      </c>
    </row>
    <row r="454" spans="1:2" x14ac:dyDescent="0.15">
      <c r="A454" s="1">
        <v>23.091100000000001</v>
      </c>
      <c r="B454" s="1">
        <v>2.96651</v>
      </c>
    </row>
    <row r="455" spans="1:2" x14ac:dyDescent="0.15">
      <c r="A455" s="1">
        <v>23.133099999999999</v>
      </c>
      <c r="B455" s="1">
        <v>3.41473</v>
      </c>
    </row>
    <row r="456" spans="1:2" x14ac:dyDescent="0.15">
      <c r="A456" s="1">
        <v>23.143000000000001</v>
      </c>
      <c r="B456" s="1">
        <v>2.9622999999999999</v>
      </c>
    </row>
    <row r="457" spans="1:2" x14ac:dyDescent="0.15">
      <c r="A457" s="1">
        <v>23.152200000000001</v>
      </c>
      <c r="B457" s="1">
        <v>3.49526</v>
      </c>
    </row>
    <row r="458" spans="1:2" x14ac:dyDescent="0.15">
      <c r="A458" s="1">
        <v>23.161300000000001</v>
      </c>
      <c r="B458" s="1">
        <v>3.6074600000000001</v>
      </c>
    </row>
    <row r="459" spans="1:2" x14ac:dyDescent="0.15">
      <c r="A459" s="1">
        <v>23.163599999999999</v>
      </c>
      <c r="B459" s="1">
        <v>3.0678899999999998</v>
      </c>
    </row>
    <row r="460" spans="1:2" x14ac:dyDescent="0.15">
      <c r="A460" s="1">
        <v>23.180399999999999</v>
      </c>
      <c r="B460" s="1">
        <v>2.88103</v>
      </c>
    </row>
    <row r="461" spans="1:2" x14ac:dyDescent="0.15">
      <c r="A461" s="1">
        <v>23.197199999999999</v>
      </c>
      <c r="B461" s="1">
        <v>3.2097799999999999</v>
      </c>
    </row>
    <row r="462" spans="1:2" x14ac:dyDescent="0.15">
      <c r="A462" s="1">
        <v>23.242899999999999</v>
      </c>
      <c r="B462" s="1">
        <v>2.8144300000000002</v>
      </c>
    </row>
    <row r="463" spans="1:2" x14ac:dyDescent="0.15">
      <c r="A463" s="1">
        <v>23.2651</v>
      </c>
      <c r="B463" s="1">
        <v>3.1393800000000001</v>
      </c>
    </row>
    <row r="464" spans="1:2" x14ac:dyDescent="0.15">
      <c r="A464" s="1">
        <v>23.291799999999999</v>
      </c>
      <c r="B464" s="1">
        <v>3.31399</v>
      </c>
    </row>
    <row r="465" spans="1:2" x14ac:dyDescent="0.15">
      <c r="A465" s="1">
        <v>23.300899999999999</v>
      </c>
      <c r="B465" s="1">
        <v>3.0562800000000001</v>
      </c>
    </row>
    <row r="466" spans="1:2" x14ac:dyDescent="0.15">
      <c r="A466" s="1">
        <v>23.328399999999998</v>
      </c>
      <c r="B466" s="1">
        <v>3.48333</v>
      </c>
    </row>
    <row r="467" spans="1:2" x14ac:dyDescent="0.15">
      <c r="A467" s="1">
        <v>23.3902</v>
      </c>
      <c r="B467" s="1">
        <v>3.3552200000000001</v>
      </c>
    </row>
    <row r="468" spans="1:2" x14ac:dyDescent="0.15">
      <c r="A468" s="1">
        <v>23.569500000000001</v>
      </c>
      <c r="B468" s="1">
        <v>2.86063</v>
      </c>
    </row>
    <row r="469" spans="1:2" x14ac:dyDescent="0.15">
      <c r="A469" s="1">
        <v>23.644300000000001</v>
      </c>
      <c r="B469" s="1">
        <v>3.3934000000000002</v>
      </c>
    </row>
    <row r="470" spans="1:2" x14ac:dyDescent="0.15">
      <c r="A470" s="1">
        <v>23.6496</v>
      </c>
      <c r="B470" s="1">
        <v>3.09307</v>
      </c>
    </row>
    <row r="471" spans="1:2" x14ac:dyDescent="0.15">
      <c r="A471" s="1">
        <v>23.702999999999999</v>
      </c>
      <c r="B471" s="1">
        <v>3.1871900000000002</v>
      </c>
    </row>
    <row r="472" spans="1:2" x14ac:dyDescent="0.15">
      <c r="A472" s="1">
        <v>23.787700000000001</v>
      </c>
      <c r="B472" s="1">
        <v>3.1701800000000002</v>
      </c>
    </row>
    <row r="473" spans="1:2" x14ac:dyDescent="0.15">
      <c r="A473" s="1">
        <v>23.924299999999999</v>
      </c>
      <c r="B473" s="1">
        <v>3.3155600000000001</v>
      </c>
    </row>
    <row r="474" spans="1:2" x14ac:dyDescent="0.15">
      <c r="A474" s="1">
        <v>23.951699999999999</v>
      </c>
      <c r="B474" s="1">
        <v>3.2051799999999999</v>
      </c>
    </row>
    <row r="475" spans="1:2" x14ac:dyDescent="0.15">
      <c r="A475" s="1">
        <v>23.9678</v>
      </c>
      <c r="B475" s="1">
        <v>3.2415400000000001</v>
      </c>
    </row>
    <row r="476" spans="1:2" x14ac:dyDescent="0.15">
      <c r="A476" s="1">
        <v>23.9998</v>
      </c>
      <c r="B476" s="1">
        <v>2.9892500000000002</v>
      </c>
    </row>
    <row r="477" spans="1:2" x14ac:dyDescent="0.15">
      <c r="A477" s="1">
        <v>24.082999999999998</v>
      </c>
      <c r="B477" s="1">
        <v>3.1156600000000001</v>
      </c>
    </row>
    <row r="478" spans="1:2" x14ac:dyDescent="0.15">
      <c r="A478" s="1">
        <v>24.096699999999998</v>
      </c>
      <c r="B478" s="1">
        <v>3.3235000000000001</v>
      </c>
    </row>
    <row r="479" spans="1:2" x14ac:dyDescent="0.15">
      <c r="A479" s="1">
        <v>24.099799999999998</v>
      </c>
      <c r="B479" s="1">
        <v>3.0764300000000002</v>
      </c>
    </row>
    <row r="480" spans="1:2" x14ac:dyDescent="0.15">
      <c r="A480" s="1">
        <v>24.145499999999998</v>
      </c>
      <c r="B480" s="1">
        <v>2.9422700000000002</v>
      </c>
    </row>
    <row r="481" spans="1:2" x14ac:dyDescent="0.15">
      <c r="A481" s="1">
        <v>24.1753</v>
      </c>
      <c r="B481" s="1">
        <v>3.4544199999999998</v>
      </c>
    </row>
    <row r="482" spans="1:2" x14ac:dyDescent="0.15">
      <c r="A482" s="1">
        <v>24.266100000000002</v>
      </c>
      <c r="B482" s="1">
        <v>2.8535499999999998</v>
      </c>
    </row>
    <row r="483" spans="1:2" x14ac:dyDescent="0.15">
      <c r="A483" s="1">
        <v>24.267600000000002</v>
      </c>
      <c r="B483" s="1">
        <v>2.8593000000000002</v>
      </c>
    </row>
    <row r="484" spans="1:2" x14ac:dyDescent="0.15">
      <c r="A484" s="1">
        <v>24.2775</v>
      </c>
      <c r="B484" s="1">
        <v>2.9663400000000002</v>
      </c>
    </row>
    <row r="485" spans="1:2" x14ac:dyDescent="0.15">
      <c r="A485" s="1">
        <v>24.2791</v>
      </c>
      <c r="B485" s="1">
        <v>3.1063000000000001</v>
      </c>
    </row>
    <row r="486" spans="1:2" x14ac:dyDescent="0.15">
      <c r="A486" s="1">
        <v>24.2989</v>
      </c>
      <c r="B486" s="1">
        <v>3.3765299999999998</v>
      </c>
    </row>
    <row r="487" spans="1:2" x14ac:dyDescent="0.15">
      <c r="A487" s="1">
        <v>24.510999999999999</v>
      </c>
      <c r="B487" s="1">
        <v>3.06629</v>
      </c>
    </row>
    <row r="488" spans="1:2" x14ac:dyDescent="0.15">
      <c r="A488" s="1">
        <v>24.530100000000001</v>
      </c>
      <c r="B488" s="1">
        <v>3.0603099999999999</v>
      </c>
    </row>
    <row r="489" spans="1:2" x14ac:dyDescent="0.15">
      <c r="A489" s="1">
        <v>24.575099999999999</v>
      </c>
      <c r="B489" s="1">
        <v>3.4092199999999999</v>
      </c>
    </row>
    <row r="490" spans="1:2" x14ac:dyDescent="0.15">
      <c r="A490" s="1">
        <v>24.605599999999999</v>
      </c>
      <c r="B490" s="1">
        <v>2.7338200000000001</v>
      </c>
    </row>
    <row r="491" spans="1:2" x14ac:dyDescent="0.15">
      <c r="A491" s="1">
        <v>24.716999999999999</v>
      </c>
      <c r="B491" s="1">
        <v>3.1234899999999999</v>
      </c>
    </row>
    <row r="492" spans="1:2" x14ac:dyDescent="0.15">
      <c r="A492" s="1">
        <v>24.806999999999999</v>
      </c>
      <c r="B492" s="1">
        <v>3.77115</v>
      </c>
    </row>
    <row r="493" spans="1:2" x14ac:dyDescent="0.15">
      <c r="A493" s="1">
        <v>24.8124</v>
      </c>
      <c r="B493" s="1">
        <v>2.9974500000000002</v>
      </c>
    </row>
    <row r="494" spans="1:2" x14ac:dyDescent="0.15">
      <c r="A494" s="1">
        <v>24.820799999999998</v>
      </c>
      <c r="B494" s="1">
        <v>3.0769099999999998</v>
      </c>
    </row>
    <row r="495" spans="1:2" x14ac:dyDescent="0.15">
      <c r="A495" s="1">
        <v>24.8414</v>
      </c>
      <c r="B495" s="1">
        <v>3.3772899999999999</v>
      </c>
    </row>
    <row r="496" spans="1:2" x14ac:dyDescent="0.15">
      <c r="A496" s="1">
        <v>24.845199999999998</v>
      </c>
      <c r="B496" s="1">
        <v>3.3386999999999998</v>
      </c>
    </row>
    <row r="497" spans="1:2" x14ac:dyDescent="0.15">
      <c r="A497" s="1">
        <v>24.848199999999999</v>
      </c>
      <c r="B497" s="1">
        <v>3.1603699999999999</v>
      </c>
    </row>
    <row r="498" spans="1:2" x14ac:dyDescent="0.15">
      <c r="A498" s="1">
        <v>25.0046</v>
      </c>
      <c r="B498" s="1">
        <v>3.15272</v>
      </c>
    </row>
    <row r="499" spans="1:2" x14ac:dyDescent="0.15">
      <c r="A499" s="1">
        <v>25.0092</v>
      </c>
      <c r="B499" s="1">
        <v>3.2543600000000001</v>
      </c>
    </row>
    <row r="500" spans="1:2" x14ac:dyDescent="0.15">
      <c r="A500" s="1">
        <v>25.020700000000001</v>
      </c>
      <c r="B500" s="1">
        <v>3.2679200000000002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93DCA-44D6-4FC3-B794-A9AC2B68866C}">
  <dimension ref="A1:B6"/>
  <sheetViews>
    <sheetView workbookViewId="0">
      <selection activeCell="F11" sqref="F11"/>
    </sheetView>
  </sheetViews>
  <sheetFormatPr defaultRowHeight="16.5" x14ac:dyDescent="0.15"/>
  <cols>
    <col min="1" max="16384" width="9" style="1"/>
  </cols>
  <sheetData>
    <row r="1" spans="1:2" x14ac:dyDescent="0.15">
      <c r="A1" s="1" t="s">
        <v>0</v>
      </c>
    </row>
    <row r="3" spans="1:2" x14ac:dyDescent="0.15">
      <c r="A3" s="2" t="s">
        <v>3</v>
      </c>
      <c r="B3" s="1">
        <f>IFERROR(SLOPE(y,x),"")</f>
        <v>0.11401742233642004</v>
      </c>
    </row>
    <row r="4" spans="1:2" x14ac:dyDescent="0.15">
      <c r="A4" s="2" t="s">
        <v>4</v>
      </c>
      <c r="B4" s="1">
        <f>IFERROR(INTERCEPT(y,x),"")</f>
        <v>0.8134233892630085</v>
      </c>
    </row>
    <row r="6" spans="1:2" x14ac:dyDescent="0.15">
      <c r="A6" s="2" t="s">
        <v>5</v>
      </c>
      <c r="B6" s="1" cm="1">
        <f t="array" ref="B6">IF(B3 ="","",y_reg)</f>
        <v>0.88110834980653385</v>
      </c>
    </row>
  </sheetData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C5930-3AE1-4A06-84FC-DB6795FD90E3}">
  <dimension ref="A1:O501"/>
  <sheetViews>
    <sheetView workbookViewId="0">
      <selection activeCell="O15" sqref="O15"/>
    </sheetView>
  </sheetViews>
  <sheetFormatPr defaultRowHeight="16.5" x14ac:dyDescent="0.15"/>
  <cols>
    <col min="1" max="16384" width="9" style="1"/>
  </cols>
  <sheetData>
    <row r="1" spans="1:15" x14ac:dyDescent="0.15">
      <c r="A1" s="1" t="s">
        <v>6</v>
      </c>
      <c r="G1" s="1">
        <v>0</v>
      </c>
      <c r="H1" s="1">
        <v>0</v>
      </c>
      <c r="I1" s="1">
        <v>0</v>
      </c>
      <c r="K1" s="1" t="s">
        <v>8</v>
      </c>
    </row>
    <row r="2" spans="1:15" x14ac:dyDescent="0.15">
      <c r="K2" s="1" cm="1">
        <f t="array" ref="K2:K501" xml:space="preserve"> $G$1 * EXP($H$1 * x) + $I$1</f>
        <v>0</v>
      </c>
      <c r="L2" s="1" cm="1">
        <f t="array" ref="L2:L501">y-K2</f>
        <v>-2.10284</v>
      </c>
      <c r="M2" s="1">
        <f>L2^2</f>
        <v>4.4219360655999997</v>
      </c>
      <c r="N2" s="1">
        <f>SUM(M2:M501)</f>
        <v>3018.6403384708406</v>
      </c>
    </row>
    <row r="3" spans="1:15" x14ac:dyDescent="0.15">
      <c r="A3" s="1" t="s">
        <v>1</v>
      </c>
      <c r="K3" s="1">
        <v>0</v>
      </c>
      <c r="L3" s="1">
        <v>-2.0302600000000002</v>
      </c>
      <c r="M3" s="1">
        <f t="shared" ref="M3:M66" si="0">L3^2</f>
        <v>4.1219556676000009</v>
      </c>
    </row>
    <row r="4" spans="1:15" x14ac:dyDescent="0.15">
      <c r="A4" s="1" t="s">
        <v>2</v>
      </c>
      <c r="K4" s="1">
        <v>0</v>
      </c>
      <c r="L4" s="1">
        <v>-1.26223</v>
      </c>
      <c r="M4" s="1">
        <f t="shared" si="0"/>
        <v>1.5932245728999999</v>
      </c>
      <c r="O4" s="4">
        <f>N2</f>
        <v>3018.6403384708406</v>
      </c>
    </row>
    <row r="5" spans="1:15" x14ac:dyDescent="0.15">
      <c r="A5" s="1" t="s">
        <v>7</v>
      </c>
      <c r="K5" s="1">
        <v>0</v>
      </c>
      <c r="L5" s="1">
        <v>-1.04247</v>
      </c>
      <c r="M5" s="1">
        <f t="shared" si="0"/>
        <v>1.0867437009000001</v>
      </c>
    </row>
    <row r="6" spans="1:15" x14ac:dyDescent="0.15">
      <c r="K6" s="1">
        <v>0</v>
      </c>
      <c r="L6" s="1">
        <v>-0.84216500000000005</v>
      </c>
      <c r="M6" s="1">
        <f t="shared" si="0"/>
        <v>0.70924188722500003</v>
      </c>
    </row>
    <row r="7" spans="1:15" x14ac:dyDescent="0.15">
      <c r="K7" s="1">
        <v>0</v>
      </c>
      <c r="L7" s="1">
        <v>-0.38304100000000002</v>
      </c>
      <c r="M7" s="1">
        <f t="shared" si="0"/>
        <v>0.146720407681</v>
      </c>
    </row>
    <row r="8" spans="1:15" x14ac:dyDescent="0.15">
      <c r="K8" s="1">
        <v>0</v>
      </c>
      <c r="L8" s="1">
        <v>1.1259699999999999E-2</v>
      </c>
      <c r="M8" s="1">
        <f t="shared" si="0"/>
        <v>1.2678084408999999E-4</v>
      </c>
    </row>
    <row r="9" spans="1:15" x14ac:dyDescent="0.15">
      <c r="K9" s="1">
        <v>0</v>
      </c>
      <c r="L9" s="1">
        <v>-4.4904699999999999E-2</v>
      </c>
      <c r="M9" s="1">
        <f t="shared" si="0"/>
        <v>2.01643208209E-3</v>
      </c>
    </row>
    <row r="10" spans="1:15" x14ac:dyDescent="0.15">
      <c r="K10" s="1">
        <v>0</v>
      </c>
      <c r="L10" s="1">
        <v>-0.29413600000000001</v>
      </c>
      <c r="M10" s="1">
        <f t="shared" si="0"/>
        <v>8.6515986496000008E-2</v>
      </c>
    </row>
    <row r="11" spans="1:15" x14ac:dyDescent="0.15">
      <c r="K11" s="1">
        <v>0</v>
      </c>
      <c r="L11" s="1">
        <v>-0.17608199999999999</v>
      </c>
      <c r="M11" s="1">
        <f t="shared" si="0"/>
        <v>3.1004870723999996E-2</v>
      </c>
    </row>
    <row r="12" spans="1:15" x14ac:dyDescent="0.15">
      <c r="K12" s="1">
        <v>0</v>
      </c>
      <c r="L12" s="1">
        <v>0.11809</v>
      </c>
      <c r="M12" s="1">
        <f t="shared" si="0"/>
        <v>1.39452481E-2</v>
      </c>
    </row>
    <row r="13" spans="1:15" x14ac:dyDescent="0.15">
      <c r="K13" s="1">
        <v>0</v>
      </c>
      <c r="L13" s="1">
        <v>-6.9123100000000007E-2</v>
      </c>
      <c r="M13" s="1">
        <f t="shared" si="0"/>
        <v>4.7780029536100008E-3</v>
      </c>
    </row>
    <row r="14" spans="1:15" x14ac:dyDescent="0.15">
      <c r="K14" s="1">
        <v>0</v>
      </c>
      <c r="L14" s="1">
        <v>-0.25100600000000001</v>
      </c>
      <c r="M14" s="1">
        <f t="shared" si="0"/>
        <v>6.3004012036000007E-2</v>
      </c>
    </row>
    <row r="15" spans="1:15" x14ac:dyDescent="0.15">
      <c r="K15" s="1">
        <v>0</v>
      </c>
      <c r="L15" s="1">
        <v>0.229299</v>
      </c>
      <c r="M15" s="1">
        <f t="shared" si="0"/>
        <v>5.2578031401000001E-2</v>
      </c>
    </row>
    <row r="16" spans="1:15" x14ac:dyDescent="0.15">
      <c r="K16" s="1">
        <v>0</v>
      </c>
      <c r="L16" s="1">
        <v>1.83976E-2</v>
      </c>
      <c r="M16" s="1">
        <f t="shared" si="0"/>
        <v>3.3847168576000002E-4</v>
      </c>
    </row>
    <row r="17" spans="11:13" x14ac:dyDescent="0.15">
      <c r="K17" s="1">
        <v>0</v>
      </c>
      <c r="L17" s="1">
        <v>0.19788</v>
      </c>
      <c r="M17" s="1">
        <f t="shared" si="0"/>
        <v>3.9156494399999998E-2</v>
      </c>
    </row>
    <row r="18" spans="11:13" x14ac:dyDescent="0.15">
      <c r="K18" s="1">
        <v>0</v>
      </c>
      <c r="L18" s="1">
        <v>0.19425600000000001</v>
      </c>
      <c r="M18" s="1">
        <f t="shared" si="0"/>
        <v>3.7735393536000007E-2</v>
      </c>
    </row>
    <row r="19" spans="11:13" x14ac:dyDescent="0.15">
      <c r="K19" s="1">
        <v>0</v>
      </c>
      <c r="L19" s="1">
        <v>0.237569</v>
      </c>
      <c r="M19" s="1">
        <f t="shared" si="0"/>
        <v>5.6439029761000001E-2</v>
      </c>
    </row>
    <row r="20" spans="11:13" x14ac:dyDescent="0.15">
      <c r="K20" s="1">
        <v>0</v>
      </c>
      <c r="L20" s="1">
        <v>9.58455E-2</v>
      </c>
      <c r="M20" s="1">
        <f t="shared" si="0"/>
        <v>9.1863598702500004E-3</v>
      </c>
    </row>
    <row r="21" spans="11:13" x14ac:dyDescent="0.15">
      <c r="K21" s="1">
        <v>0</v>
      </c>
      <c r="L21" s="1">
        <v>0.58549300000000004</v>
      </c>
      <c r="M21" s="1">
        <f t="shared" si="0"/>
        <v>0.34280205304900002</v>
      </c>
    </row>
    <row r="22" spans="11:13" x14ac:dyDescent="0.15">
      <c r="K22" s="1">
        <v>0</v>
      </c>
      <c r="L22" s="1">
        <v>0.19946900000000001</v>
      </c>
      <c r="M22" s="1">
        <f t="shared" si="0"/>
        <v>3.9787881961000006E-2</v>
      </c>
    </row>
    <row r="23" spans="11:13" x14ac:dyDescent="0.15">
      <c r="K23" s="1">
        <v>0</v>
      </c>
      <c r="L23" s="1">
        <v>0.44446400000000003</v>
      </c>
      <c r="M23" s="1">
        <f t="shared" si="0"/>
        <v>0.19754824729600001</v>
      </c>
    </row>
    <row r="24" spans="11:13" x14ac:dyDescent="0.15">
      <c r="K24" s="1">
        <v>0</v>
      </c>
      <c r="L24" s="1">
        <v>0.28638200000000003</v>
      </c>
      <c r="M24" s="1">
        <f t="shared" si="0"/>
        <v>8.201464992400001E-2</v>
      </c>
    </row>
    <row r="25" spans="11:13" x14ac:dyDescent="0.15">
      <c r="K25" s="1">
        <v>0</v>
      </c>
      <c r="L25" s="1">
        <v>0.19086900000000001</v>
      </c>
      <c r="M25" s="1">
        <f t="shared" si="0"/>
        <v>3.6430975161000002E-2</v>
      </c>
    </row>
    <row r="26" spans="11:13" x14ac:dyDescent="0.15">
      <c r="K26" s="1">
        <v>0</v>
      </c>
      <c r="L26" s="1">
        <v>0.29805500000000001</v>
      </c>
      <c r="M26" s="1">
        <f t="shared" si="0"/>
        <v>8.8836783025000005E-2</v>
      </c>
    </row>
    <row r="27" spans="11:13" x14ac:dyDescent="0.15">
      <c r="K27" s="1">
        <v>0</v>
      </c>
      <c r="L27" s="1">
        <v>-0.141599</v>
      </c>
      <c r="M27" s="1">
        <f t="shared" si="0"/>
        <v>2.0050276801000001E-2</v>
      </c>
    </row>
    <row r="28" spans="11:13" x14ac:dyDescent="0.15">
      <c r="K28" s="1">
        <v>0</v>
      </c>
      <c r="L28" s="1">
        <v>0.42938100000000001</v>
      </c>
      <c r="M28" s="1">
        <f t="shared" si="0"/>
        <v>0.184368043161</v>
      </c>
    </row>
    <row r="29" spans="11:13" x14ac:dyDescent="0.15">
      <c r="K29" s="1">
        <v>0</v>
      </c>
      <c r="L29" s="1">
        <v>0.25897599999999998</v>
      </c>
      <c r="M29" s="1">
        <f t="shared" si="0"/>
        <v>6.7068568575999993E-2</v>
      </c>
    </row>
    <row r="30" spans="11:13" x14ac:dyDescent="0.15">
      <c r="K30" s="1">
        <v>0</v>
      </c>
      <c r="L30" s="1">
        <v>0.17130500000000001</v>
      </c>
      <c r="M30" s="1">
        <f t="shared" si="0"/>
        <v>2.9345403025000005E-2</v>
      </c>
    </row>
    <row r="31" spans="11:13" x14ac:dyDescent="0.15">
      <c r="K31" s="1">
        <v>0</v>
      </c>
      <c r="L31" s="1">
        <v>0.52870200000000001</v>
      </c>
      <c r="M31" s="1">
        <f t="shared" si="0"/>
        <v>0.27952580480400002</v>
      </c>
    </row>
    <row r="32" spans="11:13" x14ac:dyDescent="0.15">
      <c r="K32" s="1">
        <v>0</v>
      </c>
      <c r="L32" s="1">
        <v>0.15890899999999999</v>
      </c>
      <c r="M32" s="1">
        <f t="shared" si="0"/>
        <v>2.5252070280999999E-2</v>
      </c>
    </row>
    <row r="33" spans="11:13" x14ac:dyDescent="0.15">
      <c r="K33" s="1">
        <v>0</v>
      </c>
      <c r="L33" s="1">
        <v>0.33368300000000001</v>
      </c>
      <c r="M33" s="1">
        <f t="shared" si="0"/>
        <v>0.11134434448900001</v>
      </c>
    </row>
    <row r="34" spans="11:13" x14ac:dyDescent="0.15">
      <c r="K34" s="1">
        <v>0</v>
      </c>
      <c r="L34" s="1">
        <v>0.62237100000000001</v>
      </c>
      <c r="M34" s="1">
        <f t="shared" si="0"/>
        <v>0.38734566164099998</v>
      </c>
    </row>
    <row r="35" spans="11:13" x14ac:dyDescent="0.15">
      <c r="K35" s="1">
        <v>0</v>
      </c>
      <c r="L35" s="1">
        <v>0.51598100000000002</v>
      </c>
      <c r="M35" s="1">
        <f t="shared" si="0"/>
        <v>0.266236392361</v>
      </c>
    </row>
    <row r="36" spans="11:13" x14ac:dyDescent="0.15">
      <c r="K36" s="1">
        <v>0</v>
      </c>
      <c r="L36" s="1">
        <v>0.29778300000000002</v>
      </c>
      <c r="M36" s="1">
        <f t="shared" si="0"/>
        <v>8.8674715089000017E-2</v>
      </c>
    </row>
    <row r="37" spans="11:13" x14ac:dyDescent="0.15">
      <c r="K37" s="1">
        <v>0</v>
      </c>
      <c r="L37" s="1">
        <v>0.382548</v>
      </c>
      <c r="M37" s="1">
        <f t="shared" si="0"/>
        <v>0.14634297230400001</v>
      </c>
    </row>
    <row r="38" spans="11:13" x14ac:dyDescent="0.15">
      <c r="K38" s="1">
        <v>0</v>
      </c>
      <c r="L38" s="1">
        <v>0.66732100000000005</v>
      </c>
      <c r="M38" s="1">
        <f t="shared" si="0"/>
        <v>0.44531731704100008</v>
      </c>
    </row>
    <row r="39" spans="11:13" x14ac:dyDescent="0.15">
      <c r="K39" s="1">
        <v>0</v>
      </c>
      <c r="L39" s="1">
        <v>0.88837500000000003</v>
      </c>
      <c r="M39" s="1">
        <f t="shared" si="0"/>
        <v>0.78921014062500006</v>
      </c>
    </row>
    <row r="40" spans="11:13" x14ac:dyDescent="0.15">
      <c r="K40" s="1">
        <v>0</v>
      </c>
      <c r="L40" s="1">
        <v>0.58219600000000005</v>
      </c>
      <c r="M40" s="1">
        <f t="shared" si="0"/>
        <v>0.33895218241600006</v>
      </c>
    </row>
    <row r="41" spans="11:13" x14ac:dyDescent="0.15">
      <c r="K41" s="1">
        <v>0</v>
      </c>
      <c r="L41" s="1">
        <v>0.74784600000000001</v>
      </c>
      <c r="M41" s="1">
        <f t="shared" si="0"/>
        <v>0.55927363971599997</v>
      </c>
    </row>
    <row r="42" spans="11:13" x14ac:dyDescent="0.15">
      <c r="K42" s="1">
        <v>0</v>
      </c>
      <c r="L42" s="1">
        <v>0.45223200000000002</v>
      </c>
      <c r="M42" s="1">
        <f t="shared" si="0"/>
        <v>0.20451378182400001</v>
      </c>
    </row>
    <row r="43" spans="11:13" x14ac:dyDescent="0.15">
      <c r="K43" s="1">
        <v>0</v>
      </c>
      <c r="L43" s="1">
        <v>0.288188</v>
      </c>
      <c r="M43" s="1">
        <f t="shared" si="0"/>
        <v>8.3052323344000006E-2</v>
      </c>
    </row>
    <row r="44" spans="11:13" x14ac:dyDescent="0.15">
      <c r="K44" s="1">
        <v>0</v>
      </c>
      <c r="L44" s="1">
        <v>0.88066100000000003</v>
      </c>
      <c r="M44" s="1">
        <f t="shared" si="0"/>
        <v>0.77556379692100008</v>
      </c>
    </row>
    <row r="45" spans="11:13" x14ac:dyDescent="0.15">
      <c r="K45" s="1">
        <v>0</v>
      </c>
      <c r="L45" s="1">
        <v>0.60583799999999999</v>
      </c>
      <c r="M45" s="1">
        <f t="shared" si="0"/>
        <v>0.36703968224399997</v>
      </c>
    </row>
    <row r="46" spans="11:13" x14ac:dyDescent="0.15">
      <c r="K46" s="1">
        <v>0</v>
      </c>
      <c r="L46" s="1">
        <v>0.47750300000000001</v>
      </c>
      <c r="M46" s="1">
        <f t="shared" si="0"/>
        <v>0.22800911500900001</v>
      </c>
    </row>
    <row r="47" spans="11:13" x14ac:dyDescent="0.15">
      <c r="K47" s="1">
        <v>0</v>
      </c>
      <c r="L47" s="1">
        <v>0.70753999999999995</v>
      </c>
      <c r="M47" s="1">
        <f t="shared" si="0"/>
        <v>0.50061285159999991</v>
      </c>
    </row>
    <row r="48" spans="11:13" x14ac:dyDescent="0.15">
      <c r="K48" s="1">
        <v>0</v>
      </c>
      <c r="L48" s="1">
        <v>1.22559</v>
      </c>
      <c r="M48" s="1">
        <f t="shared" si="0"/>
        <v>1.5020708480999998</v>
      </c>
    </row>
    <row r="49" spans="11:13" x14ac:dyDescent="0.15">
      <c r="K49" s="1">
        <v>0</v>
      </c>
      <c r="L49" s="1">
        <v>0.79319700000000004</v>
      </c>
      <c r="M49" s="1">
        <f t="shared" si="0"/>
        <v>0.62916148080900003</v>
      </c>
    </row>
    <row r="50" spans="11:13" x14ac:dyDescent="0.15">
      <c r="K50" s="1">
        <v>0</v>
      </c>
      <c r="L50" s="1">
        <v>0.77575300000000003</v>
      </c>
      <c r="M50" s="1">
        <f t="shared" si="0"/>
        <v>0.60179271700900006</v>
      </c>
    </row>
    <row r="51" spans="11:13" x14ac:dyDescent="0.15">
      <c r="K51" s="1">
        <v>0</v>
      </c>
      <c r="L51" s="1">
        <v>1.05318</v>
      </c>
      <c r="M51" s="1">
        <f t="shared" si="0"/>
        <v>1.1091881124</v>
      </c>
    </row>
    <row r="52" spans="11:13" x14ac:dyDescent="0.15">
      <c r="K52" s="1">
        <v>0</v>
      </c>
      <c r="L52" s="1">
        <v>1.21882</v>
      </c>
      <c r="M52" s="1">
        <f t="shared" si="0"/>
        <v>1.4855221923999999</v>
      </c>
    </row>
    <row r="53" spans="11:13" x14ac:dyDescent="0.15">
      <c r="K53" s="1">
        <v>0</v>
      </c>
      <c r="L53" s="1">
        <v>0.87056999999999995</v>
      </c>
      <c r="M53" s="1">
        <f t="shared" si="0"/>
        <v>0.75789212489999991</v>
      </c>
    </row>
    <row r="54" spans="11:13" x14ac:dyDescent="0.15">
      <c r="K54" s="1">
        <v>0</v>
      </c>
      <c r="L54" s="1">
        <v>1.2516</v>
      </c>
      <c r="M54" s="1">
        <f t="shared" si="0"/>
        <v>1.5665025600000002</v>
      </c>
    </row>
    <row r="55" spans="11:13" x14ac:dyDescent="0.15">
      <c r="K55" s="1">
        <v>0</v>
      </c>
      <c r="L55" s="1">
        <v>0.67628100000000002</v>
      </c>
      <c r="M55" s="1">
        <f t="shared" si="0"/>
        <v>0.45735599096100005</v>
      </c>
    </row>
    <row r="56" spans="11:13" x14ac:dyDescent="0.15">
      <c r="K56" s="1">
        <v>0</v>
      </c>
      <c r="L56" s="1">
        <v>0.58515799999999996</v>
      </c>
      <c r="M56" s="1">
        <f t="shared" si="0"/>
        <v>0.34240988496399993</v>
      </c>
    </row>
    <row r="57" spans="11:13" x14ac:dyDescent="0.15">
      <c r="K57" s="1">
        <v>0</v>
      </c>
      <c r="L57" s="1">
        <v>0.95874000000000004</v>
      </c>
      <c r="M57" s="1">
        <f t="shared" si="0"/>
        <v>0.91918238760000004</v>
      </c>
    </row>
    <row r="58" spans="11:13" x14ac:dyDescent="0.15">
      <c r="K58" s="1">
        <v>0</v>
      </c>
      <c r="L58" s="1">
        <v>0.69375500000000001</v>
      </c>
      <c r="M58" s="1">
        <f t="shared" si="0"/>
        <v>0.481296000025</v>
      </c>
    </row>
    <row r="59" spans="11:13" x14ac:dyDescent="0.15">
      <c r="K59" s="1">
        <v>0</v>
      </c>
      <c r="L59" s="1">
        <v>1.4447099999999999</v>
      </c>
      <c r="M59" s="1">
        <f t="shared" si="0"/>
        <v>2.0871869840999997</v>
      </c>
    </row>
    <row r="60" spans="11:13" x14ac:dyDescent="0.15">
      <c r="K60" s="1">
        <v>0</v>
      </c>
      <c r="L60" s="1">
        <v>0.99664399999999997</v>
      </c>
      <c r="M60" s="1">
        <f t="shared" si="0"/>
        <v>0.993299262736</v>
      </c>
    </row>
    <row r="61" spans="11:13" x14ac:dyDescent="0.15">
      <c r="K61" s="1">
        <v>0</v>
      </c>
      <c r="L61" s="1">
        <v>0.84225099999999997</v>
      </c>
      <c r="M61" s="1">
        <f t="shared" si="0"/>
        <v>0.70938674700099991</v>
      </c>
    </row>
    <row r="62" spans="11:13" x14ac:dyDescent="0.15">
      <c r="K62" s="1">
        <v>0</v>
      </c>
      <c r="L62" s="1">
        <v>1.1970000000000001</v>
      </c>
      <c r="M62" s="1">
        <f t="shared" si="0"/>
        <v>1.4328090000000002</v>
      </c>
    </row>
    <row r="63" spans="11:13" x14ac:dyDescent="0.15">
      <c r="K63" s="1">
        <v>0</v>
      </c>
      <c r="L63" s="1">
        <v>1.3294600000000001</v>
      </c>
      <c r="M63" s="1">
        <f t="shared" si="0"/>
        <v>1.7674638916000003</v>
      </c>
    </row>
    <row r="64" spans="11:13" x14ac:dyDescent="0.15">
      <c r="K64" s="1">
        <v>0</v>
      </c>
      <c r="L64" s="1">
        <v>1.2001900000000001</v>
      </c>
      <c r="M64" s="1">
        <f t="shared" si="0"/>
        <v>1.4404560361000003</v>
      </c>
    </row>
    <row r="65" spans="11:13" x14ac:dyDescent="0.15">
      <c r="K65" s="1">
        <v>0</v>
      </c>
      <c r="L65" s="1">
        <v>1.1504700000000001</v>
      </c>
      <c r="M65" s="1">
        <f t="shared" si="0"/>
        <v>1.3235812209000002</v>
      </c>
    </row>
    <row r="66" spans="11:13" x14ac:dyDescent="0.15">
      <c r="K66" s="1">
        <v>0</v>
      </c>
      <c r="L66" s="1">
        <v>1.14489</v>
      </c>
      <c r="M66" s="1">
        <f t="shared" si="0"/>
        <v>1.3107731120999999</v>
      </c>
    </row>
    <row r="67" spans="11:13" x14ac:dyDescent="0.15">
      <c r="K67" s="1">
        <v>0</v>
      </c>
      <c r="L67" s="1">
        <v>0.95310399999999995</v>
      </c>
      <c r="M67" s="1">
        <f t="shared" ref="M67:M130" si="1">L67^2</f>
        <v>0.90840723481599994</v>
      </c>
    </row>
    <row r="68" spans="11:13" x14ac:dyDescent="0.15">
      <c r="K68" s="1">
        <v>0</v>
      </c>
      <c r="L68" s="1">
        <v>0.98744399999999999</v>
      </c>
      <c r="M68" s="1">
        <f t="shared" si="1"/>
        <v>0.975045653136</v>
      </c>
    </row>
    <row r="69" spans="11:13" x14ac:dyDescent="0.15">
      <c r="K69" s="1">
        <v>0</v>
      </c>
      <c r="L69" s="1">
        <v>1.0704499999999999</v>
      </c>
      <c r="M69" s="1">
        <f t="shared" si="1"/>
        <v>1.1458632024999997</v>
      </c>
    </row>
    <row r="70" spans="11:13" x14ac:dyDescent="0.15">
      <c r="K70" s="1">
        <v>0</v>
      </c>
      <c r="L70" s="1">
        <v>1.3310500000000001</v>
      </c>
      <c r="M70" s="1">
        <f t="shared" si="1"/>
        <v>1.7716941025000001</v>
      </c>
    </row>
    <row r="71" spans="11:13" x14ac:dyDescent="0.15">
      <c r="K71" s="1">
        <v>0</v>
      </c>
      <c r="L71" s="1">
        <v>1.5586500000000001</v>
      </c>
      <c r="M71" s="1">
        <f t="shared" si="1"/>
        <v>2.4293898225000001</v>
      </c>
    </row>
    <row r="72" spans="11:13" x14ac:dyDescent="0.15">
      <c r="K72" s="1">
        <v>0</v>
      </c>
      <c r="L72" s="1">
        <v>1.48071</v>
      </c>
      <c r="M72" s="1">
        <f t="shared" si="1"/>
        <v>2.1925021040999999</v>
      </c>
    </row>
    <row r="73" spans="11:13" x14ac:dyDescent="0.15">
      <c r="K73" s="1">
        <v>0</v>
      </c>
      <c r="L73" s="1">
        <v>1.37296</v>
      </c>
      <c r="M73" s="1">
        <f t="shared" si="1"/>
        <v>1.8850191615999998</v>
      </c>
    </row>
    <row r="74" spans="11:13" x14ac:dyDescent="0.15">
      <c r="K74" s="1">
        <v>0</v>
      </c>
      <c r="L74" s="1">
        <v>1.37985</v>
      </c>
      <c r="M74" s="1">
        <f t="shared" si="1"/>
        <v>1.9039860225</v>
      </c>
    </row>
    <row r="75" spans="11:13" x14ac:dyDescent="0.15">
      <c r="K75" s="1">
        <v>0</v>
      </c>
      <c r="L75" s="1">
        <v>1.26414</v>
      </c>
      <c r="M75" s="1">
        <f t="shared" si="1"/>
        <v>1.5980499396000001</v>
      </c>
    </row>
    <row r="76" spans="11:13" x14ac:dyDescent="0.15">
      <c r="K76" s="1">
        <v>0</v>
      </c>
      <c r="L76" s="1">
        <v>1.5401499999999999</v>
      </c>
      <c r="M76" s="1">
        <f t="shared" si="1"/>
        <v>2.3720620224999998</v>
      </c>
    </row>
    <row r="77" spans="11:13" x14ac:dyDescent="0.15">
      <c r="K77" s="1">
        <v>0</v>
      </c>
      <c r="L77" s="1">
        <v>1.0899799999999999</v>
      </c>
      <c r="M77" s="1">
        <f t="shared" si="1"/>
        <v>1.1880564003999998</v>
      </c>
    </row>
    <row r="78" spans="11:13" x14ac:dyDescent="0.15">
      <c r="K78" s="1">
        <v>0</v>
      </c>
      <c r="L78" s="1">
        <v>1.2454099999999999</v>
      </c>
      <c r="M78" s="1">
        <f t="shared" si="1"/>
        <v>1.5510460680999998</v>
      </c>
    </row>
    <row r="79" spans="11:13" x14ac:dyDescent="0.15">
      <c r="K79" s="1">
        <v>0</v>
      </c>
      <c r="L79" s="1">
        <v>1.3876299999999999</v>
      </c>
      <c r="M79" s="1">
        <f t="shared" si="1"/>
        <v>1.9255170168999998</v>
      </c>
    </row>
    <row r="80" spans="11:13" x14ac:dyDescent="0.15">
      <c r="K80" s="1">
        <v>0</v>
      </c>
      <c r="L80" s="1">
        <v>1.2479800000000001</v>
      </c>
      <c r="M80" s="1">
        <f t="shared" si="1"/>
        <v>1.5574540804000003</v>
      </c>
    </row>
    <row r="81" spans="11:13" x14ac:dyDescent="0.15">
      <c r="K81" s="1">
        <v>0</v>
      </c>
      <c r="L81" s="1">
        <v>1.29322</v>
      </c>
      <c r="M81" s="1">
        <f t="shared" si="1"/>
        <v>1.6724179684</v>
      </c>
    </row>
    <row r="82" spans="11:13" x14ac:dyDescent="0.15">
      <c r="K82" s="1">
        <v>0</v>
      </c>
      <c r="L82" s="1">
        <v>1.74163</v>
      </c>
      <c r="M82" s="1">
        <f t="shared" si="1"/>
        <v>3.0332750569</v>
      </c>
    </row>
    <row r="83" spans="11:13" x14ac:dyDescent="0.15">
      <c r="K83" s="1">
        <v>0</v>
      </c>
      <c r="L83" s="1">
        <v>1.39055</v>
      </c>
      <c r="M83" s="1">
        <f t="shared" si="1"/>
        <v>1.9336293024999998</v>
      </c>
    </row>
    <row r="84" spans="11:13" x14ac:dyDescent="0.15">
      <c r="K84" s="1">
        <v>0</v>
      </c>
      <c r="L84" s="1">
        <v>1.54251</v>
      </c>
      <c r="M84" s="1">
        <f t="shared" si="1"/>
        <v>2.3793371001000003</v>
      </c>
    </row>
    <row r="85" spans="11:13" x14ac:dyDescent="0.15">
      <c r="K85" s="1">
        <v>0</v>
      </c>
      <c r="L85" s="1">
        <v>1.7365600000000001</v>
      </c>
      <c r="M85" s="1">
        <f t="shared" si="1"/>
        <v>3.0156406336000003</v>
      </c>
    </row>
    <row r="86" spans="11:13" x14ac:dyDescent="0.15">
      <c r="K86" s="1">
        <v>0</v>
      </c>
      <c r="L86" s="1">
        <v>1.51424</v>
      </c>
      <c r="M86" s="1">
        <f t="shared" si="1"/>
        <v>2.2929227776000003</v>
      </c>
    </row>
    <row r="87" spans="11:13" x14ac:dyDescent="0.15">
      <c r="K87" s="1">
        <v>0</v>
      </c>
      <c r="L87" s="1">
        <v>1.53026</v>
      </c>
      <c r="M87" s="1">
        <f t="shared" si="1"/>
        <v>2.3416956675999998</v>
      </c>
    </row>
    <row r="88" spans="11:13" x14ac:dyDescent="0.15">
      <c r="K88" s="1">
        <v>0</v>
      </c>
      <c r="L88" s="1">
        <v>1.9479500000000001</v>
      </c>
      <c r="M88" s="1">
        <f t="shared" si="1"/>
        <v>3.7945092025000005</v>
      </c>
    </row>
    <row r="89" spans="11:13" x14ac:dyDescent="0.15">
      <c r="K89" s="1">
        <v>0</v>
      </c>
      <c r="L89" s="1">
        <v>1.2618100000000001</v>
      </c>
      <c r="M89" s="1">
        <f t="shared" si="1"/>
        <v>1.5921644761000002</v>
      </c>
    </row>
    <row r="90" spans="11:13" x14ac:dyDescent="0.15">
      <c r="K90" s="1">
        <v>0</v>
      </c>
      <c r="L90" s="1">
        <v>1.3084</v>
      </c>
      <c r="M90" s="1">
        <f t="shared" si="1"/>
        <v>1.71191056</v>
      </c>
    </row>
    <row r="91" spans="11:13" x14ac:dyDescent="0.15">
      <c r="K91" s="1">
        <v>0</v>
      </c>
      <c r="L91" s="1">
        <v>1.4531099999999999</v>
      </c>
      <c r="M91" s="1">
        <f t="shared" si="1"/>
        <v>2.1115286720999995</v>
      </c>
    </row>
    <row r="92" spans="11:13" x14ac:dyDescent="0.15">
      <c r="K92" s="1">
        <v>0</v>
      </c>
      <c r="L92" s="1">
        <v>1.5680400000000001</v>
      </c>
      <c r="M92" s="1">
        <f t="shared" si="1"/>
        <v>2.4587494416000002</v>
      </c>
    </row>
    <row r="93" spans="11:13" x14ac:dyDescent="0.15">
      <c r="K93" s="1">
        <v>0</v>
      </c>
      <c r="L93" s="1">
        <v>1.50631</v>
      </c>
      <c r="M93" s="1">
        <f t="shared" si="1"/>
        <v>2.2689698161000003</v>
      </c>
    </row>
    <row r="94" spans="11:13" x14ac:dyDescent="0.15">
      <c r="K94" s="1">
        <v>0</v>
      </c>
      <c r="L94" s="1">
        <v>1.1387100000000001</v>
      </c>
      <c r="M94" s="1">
        <f t="shared" si="1"/>
        <v>1.2966604641000004</v>
      </c>
    </row>
    <row r="95" spans="11:13" x14ac:dyDescent="0.15">
      <c r="K95" s="1">
        <v>0</v>
      </c>
      <c r="L95" s="1">
        <v>1.3653900000000001</v>
      </c>
      <c r="M95" s="1">
        <f t="shared" si="1"/>
        <v>1.8642898521000002</v>
      </c>
    </row>
    <row r="96" spans="11:13" x14ac:dyDescent="0.15">
      <c r="K96" s="1">
        <v>0</v>
      </c>
      <c r="L96" s="1">
        <v>1.6901600000000001</v>
      </c>
      <c r="M96" s="1">
        <f t="shared" si="1"/>
        <v>2.8566408256000004</v>
      </c>
    </row>
    <row r="97" spans="11:13" x14ac:dyDescent="0.15">
      <c r="K97" s="1">
        <v>0</v>
      </c>
      <c r="L97" s="1">
        <v>1.2771699999999999</v>
      </c>
      <c r="M97" s="1">
        <f t="shared" si="1"/>
        <v>1.6311632088999999</v>
      </c>
    </row>
    <row r="98" spans="11:13" x14ac:dyDescent="0.15">
      <c r="K98" s="1">
        <v>0</v>
      </c>
      <c r="L98" s="1">
        <v>1.5438700000000001</v>
      </c>
      <c r="M98" s="1">
        <f t="shared" si="1"/>
        <v>2.3835345769000003</v>
      </c>
    </row>
    <row r="99" spans="11:13" x14ac:dyDescent="0.15">
      <c r="K99" s="1">
        <v>0</v>
      </c>
      <c r="L99" s="1">
        <v>1.4758800000000001</v>
      </c>
      <c r="M99" s="1">
        <f t="shared" si="1"/>
        <v>2.1782217744000003</v>
      </c>
    </row>
    <row r="100" spans="11:13" x14ac:dyDescent="0.15">
      <c r="K100" s="1">
        <v>0</v>
      </c>
      <c r="L100" s="1">
        <v>1.49932</v>
      </c>
      <c r="M100" s="1">
        <f t="shared" si="1"/>
        <v>2.2479604624</v>
      </c>
    </row>
    <row r="101" spans="11:13" x14ac:dyDescent="0.15">
      <c r="K101" s="1">
        <v>0</v>
      </c>
      <c r="L101" s="1">
        <v>1.74336</v>
      </c>
      <c r="M101" s="1">
        <f t="shared" si="1"/>
        <v>3.0393040895999999</v>
      </c>
    </row>
    <row r="102" spans="11:13" x14ac:dyDescent="0.15">
      <c r="K102" s="1">
        <v>0</v>
      </c>
      <c r="L102" s="1">
        <v>1.76946</v>
      </c>
      <c r="M102" s="1">
        <f t="shared" si="1"/>
        <v>3.1309886916000003</v>
      </c>
    </row>
    <row r="103" spans="11:13" x14ac:dyDescent="0.15">
      <c r="K103" s="1">
        <v>0</v>
      </c>
      <c r="L103" s="1">
        <v>1.6501999999999999</v>
      </c>
      <c r="M103" s="1">
        <f t="shared" si="1"/>
        <v>2.7231600399999998</v>
      </c>
    </row>
    <row r="104" spans="11:13" x14ac:dyDescent="0.15">
      <c r="K104" s="1">
        <v>0</v>
      </c>
      <c r="L104" s="1">
        <v>2.0023499999999999</v>
      </c>
      <c r="M104" s="1">
        <f t="shared" si="1"/>
        <v>4.0094055224999998</v>
      </c>
    </row>
    <row r="105" spans="11:13" x14ac:dyDescent="0.15">
      <c r="K105" s="1">
        <v>0</v>
      </c>
      <c r="L105" s="1">
        <v>1.67639</v>
      </c>
      <c r="M105" s="1">
        <f t="shared" si="1"/>
        <v>2.8102834321000003</v>
      </c>
    </row>
    <row r="106" spans="11:13" x14ac:dyDescent="0.15">
      <c r="K106" s="1">
        <v>0</v>
      </c>
      <c r="L106" s="1">
        <v>1.7688600000000001</v>
      </c>
      <c r="M106" s="1">
        <f t="shared" si="1"/>
        <v>3.1288656996000004</v>
      </c>
    </row>
    <row r="107" spans="11:13" x14ac:dyDescent="0.15">
      <c r="K107" s="1">
        <v>0</v>
      </c>
      <c r="L107" s="1">
        <v>1.4756899999999999</v>
      </c>
      <c r="M107" s="1">
        <f t="shared" si="1"/>
        <v>2.1776609760999999</v>
      </c>
    </row>
    <row r="108" spans="11:13" x14ac:dyDescent="0.15">
      <c r="K108" s="1">
        <v>0</v>
      </c>
      <c r="L108" s="1">
        <v>1.8916599999999999</v>
      </c>
      <c r="M108" s="1">
        <f t="shared" si="1"/>
        <v>3.5783775555999995</v>
      </c>
    </row>
    <row r="109" spans="11:13" x14ac:dyDescent="0.15">
      <c r="K109" s="1">
        <v>0</v>
      </c>
      <c r="L109" s="1">
        <v>1.3796900000000001</v>
      </c>
      <c r="M109" s="1">
        <f t="shared" si="1"/>
        <v>1.9035444961000003</v>
      </c>
    </row>
    <row r="110" spans="11:13" x14ac:dyDescent="0.15">
      <c r="K110" s="1">
        <v>0</v>
      </c>
      <c r="L110" s="1">
        <v>1.50589</v>
      </c>
      <c r="M110" s="1">
        <f t="shared" si="1"/>
        <v>2.2677046920999997</v>
      </c>
    </row>
    <row r="111" spans="11:13" x14ac:dyDescent="0.15">
      <c r="K111" s="1">
        <v>0</v>
      </c>
      <c r="L111" s="1">
        <v>1.6543699999999999</v>
      </c>
      <c r="M111" s="1">
        <f t="shared" si="1"/>
        <v>2.7369400968999997</v>
      </c>
    </row>
    <row r="112" spans="11:13" x14ac:dyDescent="0.15">
      <c r="K112" s="1">
        <v>0</v>
      </c>
      <c r="L112" s="1">
        <v>1.82674</v>
      </c>
      <c r="M112" s="1">
        <f t="shared" si="1"/>
        <v>3.3369790276</v>
      </c>
    </row>
    <row r="113" spans="11:13" x14ac:dyDescent="0.15">
      <c r="K113" s="1">
        <v>0</v>
      </c>
      <c r="L113" s="1">
        <v>1.8596999999999999</v>
      </c>
      <c r="M113" s="1">
        <f t="shared" si="1"/>
        <v>3.4584840899999998</v>
      </c>
    </row>
    <row r="114" spans="11:13" x14ac:dyDescent="0.15">
      <c r="K114" s="1">
        <v>0</v>
      </c>
      <c r="L114" s="1">
        <v>1.8353200000000001</v>
      </c>
      <c r="M114" s="1">
        <f t="shared" si="1"/>
        <v>3.3683995024000004</v>
      </c>
    </row>
    <row r="115" spans="11:13" x14ac:dyDescent="0.15">
      <c r="K115" s="1">
        <v>0</v>
      </c>
      <c r="L115" s="1">
        <v>1.8242400000000001</v>
      </c>
      <c r="M115" s="1">
        <f t="shared" si="1"/>
        <v>3.3278515776000002</v>
      </c>
    </row>
    <row r="116" spans="11:13" x14ac:dyDescent="0.15">
      <c r="K116" s="1">
        <v>0</v>
      </c>
      <c r="L116" s="1">
        <v>1.6422600000000001</v>
      </c>
      <c r="M116" s="1">
        <f t="shared" si="1"/>
        <v>2.6970179076000003</v>
      </c>
    </row>
    <row r="117" spans="11:13" x14ac:dyDescent="0.15">
      <c r="K117" s="1">
        <v>0</v>
      </c>
      <c r="L117" s="1">
        <v>1.86341</v>
      </c>
      <c r="M117" s="1">
        <f t="shared" si="1"/>
        <v>3.4722968281000002</v>
      </c>
    </row>
    <row r="118" spans="11:13" x14ac:dyDescent="0.15">
      <c r="K118" s="1">
        <v>0</v>
      </c>
      <c r="L118" s="1">
        <v>1.8763000000000001</v>
      </c>
      <c r="M118" s="1">
        <f t="shared" si="1"/>
        <v>3.5205016900000001</v>
      </c>
    </row>
    <row r="119" spans="11:13" x14ac:dyDescent="0.15">
      <c r="K119" s="1">
        <v>0</v>
      </c>
      <c r="L119" s="1">
        <v>1.9578</v>
      </c>
      <c r="M119" s="1">
        <f t="shared" si="1"/>
        <v>3.8329808399999998</v>
      </c>
    </row>
    <row r="120" spans="11:13" x14ac:dyDescent="0.15">
      <c r="K120" s="1">
        <v>0</v>
      </c>
      <c r="L120" s="1">
        <v>1.61209</v>
      </c>
      <c r="M120" s="1">
        <f t="shared" si="1"/>
        <v>2.5988341681000002</v>
      </c>
    </row>
    <row r="121" spans="11:13" x14ac:dyDescent="0.15">
      <c r="K121" s="1">
        <v>0</v>
      </c>
      <c r="L121" s="1">
        <v>1.63869</v>
      </c>
      <c r="M121" s="1">
        <f t="shared" si="1"/>
        <v>2.6853049160999998</v>
      </c>
    </row>
    <row r="122" spans="11:13" x14ac:dyDescent="0.15">
      <c r="K122" s="1">
        <v>0</v>
      </c>
      <c r="L122" s="1">
        <v>1.8699300000000001</v>
      </c>
      <c r="M122" s="1">
        <f t="shared" si="1"/>
        <v>3.4966382049000004</v>
      </c>
    </row>
    <row r="123" spans="11:13" x14ac:dyDescent="0.15">
      <c r="K123" s="1">
        <v>0</v>
      </c>
      <c r="L123" s="1">
        <v>1.7554399999999999</v>
      </c>
      <c r="M123" s="1">
        <f t="shared" si="1"/>
        <v>3.0815695935999998</v>
      </c>
    </row>
    <row r="124" spans="11:13" x14ac:dyDescent="0.15">
      <c r="K124" s="1">
        <v>0</v>
      </c>
      <c r="L124" s="1">
        <v>2.09646</v>
      </c>
      <c r="M124" s="1">
        <f t="shared" si="1"/>
        <v>4.3951445315999997</v>
      </c>
    </row>
    <row r="125" spans="11:13" x14ac:dyDescent="0.15">
      <c r="K125" s="1">
        <v>0</v>
      </c>
      <c r="L125" s="1">
        <v>1.7103900000000001</v>
      </c>
      <c r="M125" s="1">
        <f t="shared" si="1"/>
        <v>2.9254339521000001</v>
      </c>
    </row>
    <row r="126" spans="11:13" x14ac:dyDescent="0.15">
      <c r="K126" s="1">
        <v>0</v>
      </c>
      <c r="L126" s="1">
        <v>1.94574</v>
      </c>
      <c r="M126" s="1">
        <f t="shared" si="1"/>
        <v>3.7859041476000002</v>
      </c>
    </row>
    <row r="127" spans="11:13" x14ac:dyDescent="0.15">
      <c r="K127" s="1">
        <v>0</v>
      </c>
      <c r="L127" s="1">
        <v>1.6417200000000001</v>
      </c>
      <c r="M127" s="1">
        <f t="shared" si="1"/>
        <v>2.6952445584000002</v>
      </c>
    </row>
    <row r="128" spans="11:13" x14ac:dyDescent="0.15">
      <c r="K128" s="1">
        <v>0</v>
      </c>
      <c r="L128" s="1">
        <v>2.0197099999999999</v>
      </c>
      <c r="M128" s="1">
        <f t="shared" si="1"/>
        <v>4.0792284840999997</v>
      </c>
    </row>
    <row r="129" spans="11:13" x14ac:dyDescent="0.15">
      <c r="K129" s="1">
        <v>0</v>
      </c>
      <c r="L129" s="1">
        <v>1.8646199999999999</v>
      </c>
      <c r="M129" s="1">
        <f t="shared" si="1"/>
        <v>3.4768077443999998</v>
      </c>
    </row>
    <row r="130" spans="11:13" x14ac:dyDescent="0.15">
      <c r="K130" s="1">
        <v>0</v>
      </c>
      <c r="L130" s="1">
        <v>1.7303900000000001</v>
      </c>
      <c r="M130" s="1">
        <f t="shared" si="1"/>
        <v>2.9942495521000003</v>
      </c>
    </row>
    <row r="131" spans="11:13" x14ac:dyDescent="0.15">
      <c r="K131" s="1">
        <v>0</v>
      </c>
      <c r="L131" s="1">
        <v>1.5936399999999999</v>
      </c>
      <c r="M131" s="1">
        <f t="shared" ref="M131:M194" si="2">L131^2</f>
        <v>2.5396884495999998</v>
      </c>
    </row>
    <row r="132" spans="11:13" x14ac:dyDescent="0.15">
      <c r="K132" s="1">
        <v>0</v>
      </c>
      <c r="L132" s="1">
        <v>1.9419</v>
      </c>
      <c r="M132" s="1">
        <f t="shared" si="2"/>
        <v>3.7709756099999998</v>
      </c>
    </row>
    <row r="133" spans="11:13" x14ac:dyDescent="0.15">
      <c r="K133" s="1">
        <v>0</v>
      </c>
      <c r="L133" s="1">
        <v>1.9483299999999999</v>
      </c>
      <c r="M133" s="1">
        <f t="shared" si="2"/>
        <v>3.7959897888999996</v>
      </c>
    </row>
    <row r="134" spans="11:13" x14ac:dyDescent="0.15">
      <c r="K134" s="1">
        <v>0</v>
      </c>
      <c r="L134" s="1">
        <v>1.85425</v>
      </c>
      <c r="M134" s="1">
        <f t="shared" si="2"/>
        <v>3.4382430624999998</v>
      </c>
    </row>
    <row r="135" spans="11:13" x14ac:dyDescent="0.15">
      <c r="K135" s="1">
        <v>0</v>
      </c>
      <c r="L135" s="1">
        <v>2.2064400000000002</v>
      </c>
      <c r="M135" s="1">
        <f t="shared" si="2"/>
        <v>4.8683774736000007</v>
      </c>
    </row>
    <row r="136" spans="11:13" x14ac:dyDescent="0.15">
      <c r="K136" s="1">
        <v>0</v>
      </c>
      <c r="L136" s="1">
        <v>1.7228000000000001</v>
      </c>
      <c r="M136" s="1">
        <f t="shared" si="2"/>
        <v>2.9680398400000003</v>
      </c>
    </row>
    <row r="137" spans="11:13" x14ac:dyDescent="0.15">
      <c r="K137" s="1">
        <v>0</v>
      </c>
      <c r="L137" s="1">
        <v>2.0041899999999999</v>
      </c>
      <c r="M137" s="1">
        <f t="shared" si="2"/>
        <v>4.0167775561000001</v>
      </c>
    </row>
    <row r="138" spans="11:13" x14ac:dyDescent="0.15">
      <c r="K138" s="1">
        <v>0</v>
      </c>
      <c r="L138" s="1">
        <v>1.49207</v>
      </c>
      <c r="M138" s="1">
        <f t="shared" si="2"/>
        <v>2.2262728849000002</v>
      </c>
    </row>
    <row r="139" spans="11:13" x14ac:dyDescent="0.15">
      <c r="K139" s="1">
        <v>0</v>
      </c>
      <c r="L139" s="1">
        <v>2.41405</v>
      </c>
      <c r="M139" s="1">
        <f t="shared" si="2"/>
        <v>5.8276374024999997</v>
      </c>
    </row>
    <row r="140" spans="11:13" x14ac:dyDescent="0.15">
      <c r="K140" s="1">
        <v>0</v>
      </c>
      <c r="L140" s="1">
        <v>2.1619199999999998</v>
      </c>
      <c r="M140" s="1">
        <f t="shared" si="2"/>
        <v>4.6738980863999995</v>
      </c>
    </row>
    <row r="141" spans="11:13" x14ac:dyDescent="0.15">
      <c r="K141" s="1">
        <v>0</v>
      </c>
      <c r="L141" s="1">
        <v>2.1349399999999998</v>
      </c>
      <c r="M141" s="1">
        <f t="shared" si="2"/>
        <v>4.5579688035999997</v>
      </c>
    </row>
    <row r="142" spans="11:13" x14ac:dyDescent="0.15">
      <c r="K142" s="1">
        <v>0</v>
      </c>
      <c r="L142" s="1">
        <v>2.0184799999999998</v>
      </c>
      <c r="M142" s="1">
        <f t="shared" si="2"/>
        <v>4.0742615103999995</v>
      </c>
    </row>
    <row r="143" spans="11:13" x14ac:dyDescent="0.15">
      <c r="K143" s="1">
        <v>0</v>
      </c>
      <c r="L143" s="1">
        <v>2.24817</v>
      </c>
      <c r="M143" s="1">
        <f t="shared" si="2"/>
        <v>5.0542683489</v>
      </c>
    </row>
    <row r="144" spans="11:13" x14ac:dyDescent="0.15">
      <c r="K144" s="1">
        <v>0</v>
      </c>
      <c r="L144" s="1">
        <v>2.20668</v>
      </c>
      <c r="M144" s="1">
        <f t="shared" si="2"/>
        <v>4.8694366224000003</v>
      </c>
    </row>
    <row r="145" spans="11:13" x14ac:dyDescent="0.15">
      <c r="K145" s="1">
        <v>0</v>
      </c>
      <c r="L145" s="1">
        <v>1.9330099999999999</v>
      </c>
      <c r="M145" s="1">
        <f t="shared" si="2"/>
        <v>3.7365276600999997</v>
      </c>
    </row>
    <row r="146" spans="11:13" x14ac:dyDescent="0.15">
      <c r="K146" s="1">
        <v>0</v>
      </c>
      <c r="L146" s="1">
        <v>1.81732</v>
      </c>
      <c r="M146" s="1">
        <f t="shared" si="2"/>
        <v>3.3026519824</v>
      </c>
    </row>
    <row r="147" spans="11:13" x14ac:dyDescent="0.15">
      <c r="K147" s="1">
        <v>0</v>
      </c>
      <c r="L147" s="1">
        <v>1.94028</v>
      </c>
      <c r="M147" s="1">
        <f t="shared" si="2"/>
        <v>3.7646864783999998</v>
      </c>
    </row>
    <row r="148" spans="11:13" x14ac:dyDescent="0.15">
      <c r="K148" s="1">
        <v>0</v>
      </c>
      <c r="L148" s="1">
        <v>2.1898300000000002</v>
      </c>
      <c r="M148" s="1">
        <f t="shared" si="2"/>
        <v>4.7953554289000007</v>
      </c>
    </row>
    <row r="149" spans="11:13" x14ac:dyDescent="0.15">
      <c r="K149" s="1">
        <v>0</v>
      </c>
      <c r="L149" s="1">
        <v>2.2551999999999999</v>
      </c>
      <c r="M149" s="1">
        <f t="shared" si="2"/>
        <v>5.0859270399999996</v>
      </c>
    </row>
    <row r="150" spans="11:13" x14ac:dyDescent="0.15">
      <c r="K150" s="1">
        <v>0</v>
      </c>
      <c r="L150" s="1">
        <v>2.1497700000000002</v>
      </c>
      <c r="M150" s="1">
        <f t="shared" si="2"/>
        <v>4.6215110529000007</v>
      </c>
    </row>
    <row r="151" spans="11:13" x14ac:dyDescent="0.15">
      <c r="K151" s="1">
        <v>0</v>
      </c>
      <c r="L151" s="1">
        <v>2.4226399999999999</v>
      </c>
      <c r="M151" s="1">
        <f t="shared" si="2"/>
        <v>5.8691845695999998</v>
      </c>
    </row>
    <row r="152" spans="11:13" x14ac:dyDescent="0.15">
      <c r="K152" s="1">
        <v>0</v>
      </c>
      <c r="L152" s="1">
        <v>2.0767500000000001</v>
      </c>
      <c r="M152" s="1">
        <f t="shared" si="2"/>
        <v>4.3128905625000007</v>
      </c>
    </row>
    <row r="153" spans="11:13" x14ac:dyDescent="0.15">
      <c r="K153" s="1">
        <v>0</v>
      </c>
      <c r="L153" s="1">
        <v>1.95773</v>
      </c>
      <c r="M153" s="1">
        <f t="shared" si="2"/>
        <v>3.8327067529000001</v>
      </c>
    </row>
    <row r="154" spans="11:13" x14ac:dyDescent="0.15">
      <c r="K154" s="1">
        <v>0</v>
      </c>
      <c r="L154" s="1">
        <v>1.8723799999999999</v>
      </c>
      <c r="M154" s="1">
        <f t="shared" si="2"/>
        <v>3.5058068643999998</v>
      </c>
    </row>
    <row r="155" spans="11:13" x14ac:dyDescent="0.15">
      <c r="K155" s="1">
        <v>0</v>
      </c>
      <c r="L155" s="1">
        <v>1.9578500000000001</v>
      </c>
      <c r="M155" s="1">
        <f t="shared" si="2"/>
        <v>3.8331766225000004</v>
      </c>
    </row>
    <row r="156" spans="11:13" x14ac:dyDescent="0.15">
      <c r="K156" s="1">
        <v>0</v>
      </c>
      <c r="L156" s="1">
        <v>2.4280200000000001</v>
      </c>
      <c r="M156" s="1">
        <f t="shared" si="2"/>
        <v>5.8952811204</v>
      </c>
    </row>
    <row r="157" spans="11:13" x14ac:dyDescent="0.15">
      <c r="K157" s="1">
        <v>0</v>
      </c>
      <c r="L157" s="1">
        <v>2.1440999999999999</v>
      </c>
      <c r="M157" s="1">
        <f t="shared" si="2"/>
        <v>4.5971648099999998</v>
      </c>
    </row>
    <row r="158" spans="11:13" x14ac:dyDescent="0.15">
      <c r="K158" s="1">
        <v>0</v>
      </c>
      <c r="L158" s="1">
        <v>1.91652</v>
      </c>
      <c r="M158" s="1">
        <f t="shared" si="2"/>
        <v>3.6730489103999999</v>
      </c>
    </row>
    <row r="159" spans="11:13" x14ac:dyDescent="0.15">
      <c r="K159" s="1">
        <v>0</v>
      </c>
      <c r="L159" s="1">
        <v>2.3376399999999999</v>
      </c>
      <c r="M159" s="1">
        <f t="shared" si="2"/>
        <v>5.4645607695999994</v>
      </c>
    </row>
    <row r="160" spans="11:13" x14ac:dyDescent="0.15">
      <c r="K160" s="1">
        <v>0</v>
      </c>
      <c r="L160" s="1">
        <v>2.1493500000000001</v>
      </c>
      <c r="M160" s="1">
        <f t="shared" si="2"/>
        <v>4.6197054225</v>
      </c>
    </row>
    <row r="161" spans="11:13" x14ac:dyDescent="0.15">
      <c r="K161" s="1">
        <v>0</v>
      </c>
      <c r="L161" s="1">
        <v>2.6132599999999999</v>
      </c>
      <c r="M161" s="1">
        <f t="shared" si="2"/>
        <v>6.8291278275999998</v>
      </c>
    </row>
    <row r="162" spans="11:13" x14ac:dyDescent="0.15">
      <c r="K162" s="1">
        <v>0</v>
      </c>
      <c r="L162" s="1">
        <v>1.92848</v>
      </c>
      <c r="M162" s="1">
        <f t="shared" si="2"/>
        <v>3.7190351103999997</v>
      </c>
    </row>
    <row r="163" spans="11:13" x14ac:dyDescent="0.15">
      <c r="K163" s="1">
        <v>0</v>
      </c>
      <c r="L163" s="1">
        <v>2.4836499999999999</v>
      </c>
      <c r="M163" s="1">
        <f t="shared" si="2"/>
        <v>6.1685173224999996</v>
      </c>
    </row>
    <row r="164" spans="11:13" x14ac:dyDescent="0.15">
      <c r="K164" s="1">
        <v>0</v>
      </c>
      <c r="L164" s="1">
        <v>2.0003799999999998</v>
      </c>
      <c r="M164" s="1">
        <f t="shared" si="2"/>
        <v>4.0015201443999997</v>
      </c>
    </row>
    <row r="165" spans="11:13" x14ac:dyDescent="0.15">
      <c r="K165" s="1">
        <v>0</v>
      </c>
      <c r="L165" s="1">
        <v>1.9183600000000001</v>
      </c>
      <c r="M165" s="1">
        <f t="shared" si="2"/>
        <v>3.6801050896</v>
      </c>
    </row>
    <row r="166" spans="11:13" x14ac:dyDescent="0.15">
      <c r="K166" s="1">
        <v>0</v>
      </c>
      <c r="L166" s="1">
        <v>1.8890100000000001</v>
      </c>
      <c r="M166" s="1">
        <f t="shared" si="2"/>
        <v>3.5683587801000005</v>
      </c>
    </row>
    <row r="167" spans="11:13" x14ac:dyDescent="0.15">
      <c r="K167" s="1">
        <v>0</v>
      </c>
      <c r="L167" s="1">
        <v>1.9395100000000001</v>
      </c>
      <c r="M167" s="1">
        <f t="shared" si="2"/>
        <v>3.7616990401000003</v>
      </c>
    </row>
    <row r="168" spans="11:13" x14ac:dyDescent="0.15">
      <c r="K168" s="1">
        <v>0</v>
      </c>
      <c r="L168" s="1">
        <v>1.9958899999999999</v>
      </c>
      <c r="M168" s="1">
        <f t="shared" si="2"/>
        <v>3.9835768920999999</v>
      </c>
    </row>
    <row r="169" spans="11:13" x14ac:dyDescent="0.15">
      <c r="K169" s="1">
        <v>0</v>
      </c>
      <c r="L169" s="1">
        <v>2.0992000000000002</v>
      </c>
      <c r="M169" s="1">
        <f t="shared" si="2"/>
        <v>4.4066406400000009</v>
      </c>
    </row>
    <row r="170" spans="11:13" x14ac:dyDescent="0.15">
      <c r="K170" s="1">
        <v>0</v>
      </c>
      <c r="L170" s="1">
        <v>2.1040700000000001</v>
      </c>
      <c r="M170" s="1">
        <f t="shared" si="2"/>
        <v>4.4271105649000004</v>
      </c>
    </row>
    <row r="171" spans="11:13" x14ac:dyDescent="0.15">
      <c r="K171" s="1">
        <v>0</v>
      </c>
      <c r="L171" s="1">
        <v>2.0424199999999999</v>
      </c>
      <c r="M171" s="1">
        <f t="shared" si="2"/>
        <v>4.1714794563999993</v>
      </c>
    </row>
    <row r="172" spans="11:13" x14ac:dyDescent="0.15">
      <c r="K172" s="1">
        <v>0</v>
      </c>
      <c r="L172" s="1">
        <v>2.21651</v>
      </c>
      <c r="M172" s="1">
        <f t="shared" si="2"/>
        <v>4.9129165801000001</v>
      </c>
    </row>
    <row r="173" spans="11:13" x14ac:dyDescent="0.15">
      <c r="K173" s="1">
        <v>0</v>
      </c>
      <c r="L173" s="1">
        <v>2.1682999999999999</v>
      </c>
      <c r="M173" s="1">
        <f t="shared" si="2"/>
        <v>4.70152489</v>
      </c>
    </row>
    <row r="174" spans="11:13" x14ac:dyDescent="0.15">
      <c r="K174" s="1">
        <v>0</v>
      </c>
      <c r="L174" s="1">
        <v>2.0373100000000002</v>
      </c>
      <c r="M174" s="1">
        <f t="shared" si="2"/>
        <v>4.1506320361000011</v>
      </c>
    </row>
    <row r="175" spans="11:13" x14ac:dyDescent="0.15">
      <c r="K175" s="1">
        <v>0</v>
      </c>
      <c r="L175" s="1">
        <v>1.7828599999999999</v>
      </c>
      <c r="M175" s="1">
        <f t="shared" si="2"/>
        <v>3.1785897795999998</v>
      </c>
    </row>
    <row r="176" spans="11:13" x14ac:dyDescent="0.15">
      <c r="K176" s="1">
        <v>0</v>
      </c>
      <c r="L176" s="1">
        <v>2.4655</v>
      </c>
      <c r="M176" s="1">
        <f t="shared" si="2"/>
        <v>6.0786902500000002</v>
      </c>
    </row>
    <row r="177" spans="11:13" x14ac:dyDescent="0.15">
      <c r="K177" s="1">
        <v>0</v>
      </c>
      <c r="L177" s="1">
        <v>2.29664</v>
      </c>
      <c r="M177" s="1">
        <f t="shared" si="2"/>
        <v>5.2745552896000003</v>
      </c>
    </row>
    <row r="178" spans="11:13" x14ac:dyDescent="0.15">
      <c r="K178" s="1">
        <v>0</v>
      </c>
      <c r="L178" s="1">
        <v>1.7577499999999999</v>
      </c>
      <c r="M178" s="1">
        <f t="shared" si="2"/>
        <v>3.0896850624999996</v>
      </c>
    </row>
    <row r="179" spans="11:13" x14ac:dyDescent="0.15">
      <c r="K179" s="1">
        <v>0</v>
      </c>
      <c r="L179" s="1">
        <v>2.0114299999999998</v>
      </c>
      <c r="M179" s="1">
        <f t="shared" si="2"/>
        <v>4.0458506448999989</v>
      </c>
    </row>
    <row r="180" spans="11:13" x14ac:dyDescent="0.15">
      <c r="K180" s="1">
        <v>0</v>
      </c>
      <c r="L180" s="1">
        <v>1.9837199999999999</v>
      </c>
      <c r="M180" s="1">
        <f t="shared" si="2"/>
        <v>3.9351450383999995</v>
      </c>
    </row>
    <row r="181" spans="11:13" x14ac:dyDescent="0.15">
      <c r="K181" s="1">
        <v>0</v>
      </c>
      <c r="L181" s="1">
        <v>2.04372</v>
      </c>
      <c r="M181" s="1">
        <f t="shared" si="2"/>
        <v>4.1767914383999996</v>
      </c>
    </row>
    <row r="182" spans="11:13" x14ac:dyDescent="0.15">
      <c r="K182" s="1">
        <v>0</v>
      </c>
      <c r="L182" s="1">
        <v>2.05667</v>
      </c>
      <c r="M182" s="1">
        <f t="shared" si="2"/>
        <v>4.2298914888999999</v>
      </c>
    </row>
    <row r="183" spans="11:13" x14ac:dyDescent="0.15">
      <c r="K183" s="1">
        <v>0</v>
      </c>
      <c r="L183" s="1">
        <v>2.1196100000000002</v>
      </c>
      <c r="M183" s="1">
        <f t="shared" si="2"/>
        <v>4.4927465521000007</v>
      </c>
    </row>
    <row r="184" spans="11:13" x14ac:dyDescent="0.15">
      <c r="K184" s="1">
        <v>0</v>
      </c>
      <c r="L184" s="1">
        <v>2.4771800000000002</v>
      </c>
      <c r="M184" s="1">
        <f t="shared" si="2"/>
        <v>6.1364207524000012</v>
      </c>
    </row>
    <row r="185" spans="11:13" x14ac:dyDescent="0.15">
      <c r="K185" s="1">
        <v>0</v>
      </c>
      <c r="L185" s="1">
        <v>1.9593</v>
      </c>
      <c r="M185" s="1">
        <f t="shared" si="2"/>
        <v>3.83885649</v>
      </c>
    </row>
    <row r="186" spans="11:13" x14ac:dyDescent="0.15">
      <c r="K186" s="1">
        <v>0</v>
      </c>
      <c r="L186" s="1">
        <v>2.2811900000000001</v>
      </c>
      <c r="M186" s="1">
        <f t="shared" si="2"/>
        <v>5.2038278161000004</v>
      </c>
    </row>
    <row r="187" spans="11:13" x14ac:dyDescent="0.15">
      <c r="K187" s="1">
        <v>0</v>
      </c>
      <c r="L187" s="1">
        <v>2.4289000000000001</v>
      </c>
      <c r="M187" s="1">
        <f t="shared" si="2"/>
        <v>5.8995552099999999</v>
      </c>
    </row>
    <row r="188" spans="11:13" x14ac:dyDescent="0.15">
      <c r="K188" s="1">
        <v>0</v>
      </c>
      <c r="L188" s="1">
        <v>2.0087100000000002</v>
      </c>
      <c r="M188" s="1">
        <f t="shared" si="2"/>
        <v>4.0349158641000011</v>
      </c>
    </row>
    <row r="189" spans="11:13" x14ac:dyDescent="0.15">
      <c r="K189" s="1">
        <v>0</v>
      </c>
      <c r="L189" s="1">
        <v>2.2592500000000002</v>
      </c>
      <c r="M189" s="1">
        <f t="shared" si="2"/>
        <v>5.1042105625000005</v>
      </c>
    </row>
    <row r="190" spans="11:13" x14ac:dyDescent="0.15">
      <c r="K190" s="1">
        <v>0</v>
      </c>
      <c r="L190" s="1">
        <v>2.2436099999999999</v>
      </c>
      <c r="M190" s="1">
        <f t="shared" si="2"/>
        <v>5.0337858320999995</v>
      </c>
    </row>
    <row r="191" spans="11:13" x14ac:dyDescent="0.15">
      <c r="K191" s="1">
        <v>0</v>
      </c>
      <c r="L191" s="1">
        <v>2.1064699999999998</v>
      </c>
      <c r="M191" s="1">
        <f t="shared" si="2"/>
        <v>4.4372158608999994</v>
      </c>
    </row>
    <row r="192" spans="11:13" x14ac:dyDescent="0.15">
      <c r="K192" s="1">
        <v>0</v>
      </c>
      <c r="L192" s="1">
        <v>2.29528</v>
      </c>
      <c r="M192" s="1">
        <f t="shared" si="2"/>
        <v>5.2683102783999995</v>
      </c>
    </row>
    <row r="193" spans="11:13" x14ac:dyDescent="0.15">
      <c r="K193" s="1">
        <v>0</v>
      </c>
      <c r="L193" s="1">
        <v>2.3940800000000002</v>
      </c>
      <c r="M193" s="1">
        <f t="shared" si="2"/>
        <v>5.7316190464000014</v>
      </c>
    </row>
    <row r="194" spans="11:13" x14ac:dyDescent="0.15">
      <c r="K194" s="1">
        <v>0</v>
      </c>
      <c r="L194" s="1">
        <v>2.0447899999999999</v>
      </c>
      <c r="M194" s="1">
        <f t="shared" si="2"/>
        <v>4.1811661440999996</v>
      </c>
    </row>
    <row r="195" spans="11:13" x14ac:dyDescent="0.15">
      <c r="K195" s="1">
        <v>0</v>
      </c>
      <c r="L195" s="1">
        <v>1.8766799999999999</v>
      </c>
      <c r="M195" s="1">
        <f t="shared" ref="M195:M258" si="3">L195^2</f>
        <v>3.5219278223999995</v>
      </c>
    </row>
    <row r="196" spans="11:13" x14ac:dyDescent="0.15">
      <c r="K196" s="1">
        <v>0</v>
      </c>
      <c r="L196" s="1">
        <v>2.41316</v>
      </c>
      <c r="M196" s="1">
        <f t="shared" si="3"/>
        <v>5.8233411855999995</v>
      </c>
    </row>
    <row r="197" spans="11:13" x14ac:dyDescent="0.15">
      <c r="K197" s="1">
        <v>0</v>
      </c>
      <c r="L197" s="1">
        <v>2.55436</v>
      </c>
      <c r="M197" s="1">
        <f t="shared" si="3"/>
        <v>6.5247550095999998</v>
      </c>
    </row>
    <row r="198" spans="11:13" x14ac:dyDescent="0.15">
      <c r="K198" s="1">
        <v>0</v>
      </c>
      <c r="L198" s="1">
        <v>2.1792099999999999</v>
      </c>
      <c r="M198" s="1">
        <f t="shared" si="3"/>
        <v>4.7489562240999996</v>
      </c>
    </row>
    <row r="199" spans="11:13" x14ac:dyDescent="0.15">
      <c r="K199" s="1">
        <v>0</v>
      </c>
      <c r="L199" s="1">
        <v>2.6103399999999999</v>
      </c>
      <c r="M199" s="1">
        <f t="shared" si="3"/>
        <v>6.8138749155999996</v>
      </c>
    </row>
    <row r="200" spans="11:13" x14ac:dyDescent="0.15">
      <c r="K200" s="1">
        <v>0</v>
      </c>
      <c r="L200" s="1">
        <v>2.5286499999999998</v>
      </c>
      <c r="M200" s="1">
        <f t="shared" si="3"/>
        <v>6.3940708224999989</v>
      </c>
    </row>
    <row r="201" spans="11:13" x14ac:dyDescent="0.15">
      <c r="K201" s="1">
        <v>0</v>
      </c>
      <c r="L201" s="1">
        <v>2.0015700000000001</v>
      </c>
      <c r="M201" s="1">
        <f t="shared" si="3"/>
        <v>4.0062824649</v>
      </c>
    </row>
    <row r="202" spans="11:13" x14ac:dyDescent="0.15">
      <c r="K202" s="1">
        <v>0</v>
      </c>
      <c r="L202" s="1">
        <v>2.2610000000000001</v>
      </c>
      <c r="M202" s="1">
        <f t="shared" si="3"/>
        <v>5.1121210000000001</v>
      </c>
    </row>
    <row r="203" spans="11:13" x14ac:dyDescent="0.15">
      <c r="K203" s="1">
        <v>0</v>
      </c>
      <c r="L203" s="1">
        <v>2.4150399999999999</v>
      </c>
      <c r="M203" s="1">
        <f t="shared" si="3"/>
        <v>5.8324182015999995</v>
      </c>
    </row>
    <row r="204" spans="11:13" x14ac:dyDescent="0.15">
      <c r="K204" s="1">
        <v>0</v>
      </c>
      <c r="L204" s="1">
        <v>2.2017799999999998</v>
      </c>
      <c r="M204" s="1">
        <f t="shared" si="3"/>
        <v>4.8478351683999996</v>
      </c>
    </row>
    <row r="205" spans="11:13" x14ac:dyDescent="0.15">
      <c r="K205" s="1">
        <v>0</v>
      </c>
      <c r="L205" s="1">
        <v>2.53396</v>
      </c>
      <c r="M205" s="1">
        <f t="shared" si="3"/>
        <v>6.4209532816000001</v>
      </c>
    </row>
    <row r="206" spans="11:13" x14ac:dyDescent="0.15">
      <c r="K206" s="1">
        <v>0</v>
      </c>
      <c r="L206" s="1">
        <v>2.1593100000000001</v>
      </c>
      <c r="M206" s="1">
        <f t="shared" si="3"/>
        <v>4.6626196761000003</v>
      </c>
    </row>
    <row r="207" spans="11:13" x14ac:dyDescent="0.15">
      <c r="K207" s="1">
        <v>0</v>
      </c>
      <c r="L207" s="1">
        <v>2.2696100000000001</v>
      </c>
      <c r="M207" s="1">
        <f t="shared" si="3"/>
        <v>5.1511295521000005</v>
      </c>
    </row>
    <row r="208" spans="11:13" x14ac:dyDescent="0.15">
      <c r="K208" s="1">
        <v>0</v>
      </c>
      <c r="L208" s="1">
        <v>2.4321799999999998</v>
      </c>
      <c r="M208" s="1">
        <f t="shared" si="3"/>
        <v>5.9154995523999991</v>
      </c>
    </row>
    <row r="209" spans="11:13" x14ac:dyDescent="0.15">
      <c r="K209" s="1">
        <v>0</v>
      </c>
      <c r="L209" s="1">
        <v>2.4177399999999998</v>
      </c>
      <c r="M209" s="1">
        <f t="shared" si="3"/>
        <v>5.8454667075999991</v>
      </c>
    </row>
    <row r="210" spans="11:13" x14ac:dyDescent="0.15">
      <c r="K210" s="1">
        <v>0</v>
      </c>
      <c r="L210" s="1">
        <v>2.39507</v>
      </c>
      <c r="M210" s="1">
        <f t="shared" si="3"/>
        <v>5.7363603048999998</v>
      </c>
    </row>
    <row r="211" spans="11:13" x14ac:dyDescent="0.15">
      <c r="K211" s="1">
        <v>0</v>
      </c>
      <c r="L211" s="1">
        <v>2.6295700000000002</v>
      </c>
      <c r="M211" s="1">
        <f t="shared" si="3"/>
        <v>6.9146383849000008</v>
      </c>
    </row>
    <row r="212" spans="11:13" x14ac:dyDescent="0.15">
      <c r="K212" s="1">
        <v>0</v>
      </c>
      <c r="L212" s="1">
        <v>2.3141500000000002</v>
      </c>
      <c r="M212" s="1">
        <f t="shared" si="3"/>
        <v>5.3552902225000008</v>
      </c>
    </row>
    <row r="213" spans="11:13" x14ac:dyDescent="0.15">
      <c r="K213" s="1">
        <v>0</v>
      </c>
      <c r="L213" s="1">
        <v>2.3983500000000002</v>
      </c>
      <c r="M213" s="1">
        <f t="shared" si="3"/>
        <v>5.7520827225000009</v>
      </c>
    </row>
    <row r="214" spans="11:13" x14ac:dyDescent="0.15">
      <c r="K214" s="1">
        <v>0</v>
      </c>
      <c r="L214" s="1">
        <v>2.1671200000000002</v>
      </c>
      <c r="M214" s="1">
        <f t="shared" si="3"/>
        <v>4.6964090944000008</v>
      </c>
    </row>
    <row r="215" spans="11:13" x14ac:dyDescent="0.15">
      <c r="K215" s="1">
        <v>0</v>
      </c>
      <c r="L215" s="1">
        <v>2.0600299999999998</v>
      </c>
      <c r="M215" s="1">
        <f t="shared" si="3"/>
        <v>4.2437236008999992</v>
      </c>
    </row>
    <row r="216" spans="11:13" x14ac:dyDescent="0.15">
      <c r="K216" s="1">
        <v>0</v>
      </c>
      <c r="L216" s="1">
        <v>2.1919499999999998</v>
      </c>
      <c r="M216" s="1">
        <f t="shared" si="3"/>
        <v>4.8046448024999995</v>
      </c>
    </row>
    <row r="217" spans="11:13" x14ac:dyDescent="0.15">
      <c r="K217" s="1">
        <v>0</v>
      </c>
      <c r="L217" s="1">
        <v>2.5131899999999998</v>
      </c>
      <c r="M217" s="1">
        <f t="shared" si="3"/>
        <v>6.3161239760999992</v>
      </c>
    </row>
    <row r="218" spans="11:13" x14ac:dyDescent="0.15">
      <c r="K218" s="1">
        <v>0</v>
      </c>
      <c r="L218" s="1">
        <v>2.6889799999999999</v>
      </c>
      <c r="M218" s="1">
        <f t="shared" si="3"/>
        <v>7.2306134404</v>
      </c>
    </row>
    <row r="219" spans="11:13" x14ac:dyDescent="0.15">
      <c r="K219" s="1">
        <v>0</v>
      </c>
      <c r="L219" s="1">
        <v>2.3031600000000001</v>
      </c>
      <c r="M219" s="1">
        <f t="shared" si="3"/>
        <v>5.3045459856000008</v>
      </c>
    </row>
    <row r="220" spans="11:13" x14ac:dyDescent="0.15">
      <c r="K220" s="1">
        <v>0</v>
      </c>
      <c r="L220" s="1">
        <v>2.6705999999999999</v>
      </c>
      <c r="M220" s="1">
        <f t="shared" si="3"/>
        <v>7.1321043599999996</v>
      </c>
    </row>
    <row r="221" spans="11:13" x14ac:dyDescent="0.15">
      <c r="K221" s="1">
        <v>0</v>
      </c>
      <c r="L221" s="1">
        <v>2.5037500000000001</v>
      </c>
      <c r="M221" s="1">
        <f t="shared" si="3"/>
        <v>6.2687640625000007</v>
      </c>
    </row>
    <row r="222" spans="11:13" x14ac:dyDescent="0.15">
      <c r="K222" s="1">
        <v>0</v>
      </c>
      <c r="L222" s="1">
        <v>2.65191</v>
      </c>
      <c r="M222" s="1">
        <f t="shared" si="3"/>
        <v>7.0326266480999999</v>
      </c>
    </row>
    <row r="223" spans="11:13" x14ac:dyDescent="0.15">
      <c r="K223" s="1">
        <v>0</v>
      </c>
      <c r="L223" s="1">
        <v>2.00692</v>
      </c>
      <c r="M223" s="1">
        <f t="shared" si="3"/>
        <v>4.0277278864000001</v>
      </c>
    </row>
    <row r="224" spans="11:13" x14ac:dyDescent="0.15">
      <c r="K224" s="1">
        <v>0</v>
      </c>
      <c r="L224" s="1">
        <v>2.2588699999999999</v>
      </c>
      <c r="M224" s="1">
        <f t="shared" si="3"/>
        <v>5.1024936769</v>
      </c>
    </row>
    <row r="225" spans="11:13" x14ac:dyDescent="0.15">
      <c r="K225" s="1">
        <v>0</v>
      </c>
      <c r="L225" s="1">
        <v>2.6063200000000002</v>
      </c>
      <c r="M225" s="1">
        <f t="shared" si="3"/>
        <v>6.7929039424000006</v>
      </c>
    </row>
    <row r="226" spans="11:13" x14ac:dyDescent="0.15">
      <c r="K226" s="1">
        <v>0</v>
      </c>
      <c r="L226" s="1">
        <v>2.4892300000000001</v>
      </c>
      <c r="M226" s="1">
        <f t="shared" si="3"/>
        <v>6.1962659928999999</v>
      </c>
    </row>
    <row r="227" spans="11:13" x14ac:dyDescent="0.15">
      <c r="K227" s="1">
        <v>0</v>
      </c>
      <c r="L227" s="1">
        <v>2.79386</v>
      </c>
      <c r="M227" s="1">
        <f t="shared" si="3"/>
        <v>7.8056536995999997</v>
      </c>
    </row>
    <row r="228" spans="11:13" x14ac:dyDescent="0.15">
      <c r="K228" s="1">
        <v>0</v>
      </c>
      <c r="L228" s="1">
        <v>2.47139</v>
      </c>
      <c r="M228" s="1">
        <f t="shared" si="3"/>
        <v>6.1077685320999997</v>
      </c>
    </row>
    <row r="229" spans="11:13" x14ac:dyDescent="0.15">
      <c r="K229" s="1">
        <v>0</v>
      </c>
      <c r="L229" s="1">
        <v>2.16919</v>
      </c>
      <c r="M229" s="1">
        <f t="shared" si="3"/>
        <v>4.7053852560999996</v>
      </c>
    </row>
    <row r="230" spans="11:13" x14ac:dyDescent="0.15">
      <c r="K230" s="1">
        <v>0</v>
      </c>
      <c r="L230" s="1">
        <v>2.10819</v>
      </c>
      <c r="M230" s="1">
        <f t="shared" si="3"/>
        <v>4.4444650761000002</v>
      </c>
    </row>
    <row r="231" spans="11:13" x14ac:dyDescent="0.15">
      <c r="K231" s="1">
        <v>0</v>
      </c>
      <c r="L231" s="1">
        <v>2.1005600000000002</v>
      </c>
      <c r="M231" s="1">
        <f t="shared" si="3"/>
        <v>4.4123523136000005</v>
      </c>
    </row>
    <row r="232" spans="11:13" x14ac:dyDescent="0.15">
      <c r="K232" s="1">
        <v>0</v>
      </c>
      <c r="L232" s="1">
        <v>2.2634799999999999</v>
      </c>
      <c r="M232" s="1">
        <f t="shared" si="3"/>
        <v>5.1233417104000001</v>
      </c>
    </row>
    <row r="233" spans="11:13" x14ac:dyDescent="0.15">
      <c r="K233" s="1">
        <v>0</v>
      </c>
      <c r="L233" s="1">
        <v>2.5402900000000002</v>
      </c>
      <c r="M233" s="1">
        <f t="shared" si="3"/>
        <v>6.4530732841000011</v>
      </c>
    </row>
    <row r="234" spans="11:13" x14ac:dyDescent="0.15">
      <c r="K234" s="1">
        <v>0</v>
      </c>
      <c r="L234" s="1">
        <v>2.5555099999999999</v>
      </c>
      <c r="M234" s="1">
        <f t="shared" si="3"/>
        <v>6.5306313601000001</v>
      </c>
    </row>
    <row r="235" spans="11:13" x14ac:dyDescent="0.15">
      <c r="K235" s="1">
        <v>0</v>
      </c>
      <c r="L235" s="1">
        <v>2.2879100000000001</v>
      </c>
      <c r="M235" s="1">
        <f t="shared" si="3"/>
        <v>5.2345321681000003</v>
      </c>
    </row>
    <row r="236" spans="11:13" x14ac:dyDescent="0.15">
      <c r="K236" s="1">
        <v>0</v>
      </c>
      <c r="L236" s="1">
        <v>2.4084699999999999</v>
      </c>
      <c r="M236" s="1">
        <f t="shared" si="3"/>
        <v>5.8007277408999993</v>
      </c>
    </row>
    <row r="237" spans="11:13" x14ac:dyDescent="0.15">
      <c r="K237" s="1">
        <v>0</v>
      </c>
      <c r="L237" s="1">
        <v>1.83405</v>
      </c>
      <c r="M237" s="1">
        <f t="shared" si="3"/>
        <v>3.3637394024999998</v>
      </c>
    </row>
    <row r="238" spans="11:13" x14ac:dyDescent="0.15">
      <c r="K238" s="1">
        <v>0</v>
      </c>
      <c r="L238" s="1">
        <v>2.4653499999999999</v>
      </c>
      <c r="M238" s="1">
        <f t="shared" si="3"/>
        <v>6.0779506224999995</v>
      </c>
    </row>
    <row r="239" spans="11:13" x14ac:dyDescent="0.15">
      <c r="K239" s="1">
        <v>0</v>
      </c>
      <c r="L239" s="1">
        <v>2.44977</v>
      </c>
      <c r="M239" s="1">
        <f t="shared" si="3"/>
        <v>6.0013730529</v>
      </c>
    </row>
    <row r="240" spans="11:13" x14ac:dyDescent="0.15">
      <c r="K240" s="1">
        <v>0</v>
      </c>
      <c r="L240" s="1">
        <v>2.6643599999999998</v>
      </c>
      <c r="M240" s="1">
        <f t="shared" si="3"/>
        <v>7.0988142095999995</v>
      </c>
    </row>
    <row r="241" spans="11:13" x14ac:dyDescent="0.15">
      <c r="K241" s="1">
        <v>0</v>
      </c>
      <c r="L241" s="1">
        <v>2.0990600000000001</v>
      </c>
      <c r="M241" s="1">
        <f t="shared" si="3"/>
        <v>4.406052883600001</v>
      </c>
    </row>
    <row r="242" spans="11:13" x14ac:dyDescent="0.15">
      <c r="K242" s="1">
        <v>0</v>
      </c>
      <c r="L242" s="1">
        <v>2.6537099999999998</v>
      </c>
      <c r="M242" s="1">
        <f t="shared" si="3"/>
        <v>7.0421767640999988</v>
      </c>
    </row>
    <row r="243" spans="11:13" x14ac:dyDescent="0.15">
      <c r="K243" s="1">
        <v>0</v>
      </c>
      <c r="L243" s="1">
        <v>2.5552800000000002</v>
      </c>
      <c r="M243" s="1">
        <f t="shared" si="3"/>
        <v>6.5294558784000012</v>
      </c>
    </row>
    <row r="244" spans="11:13" x14ac:dyDescent="0.15">
      <c r="K244" s="1">
        <v>0</v>
      </c>
      <c r="L244" s="1">
        <v>2.2081300000000001</v>
      </c>
      <c r="M244" s="1">
        <f t="shared" si="3"/>
        <v>4.8758380969000008</v>
      </c>
    </row>
    <row r="245" spans="11:13" x14ac:dyDescent="0.15">
      <c r="K245" s="1">
        <v>0</v>
      </c>
      <c r="L245" s="1">
        <v>2.3316300000000001</v>
      </c>
      <c r="M245" s="1">
        <f t="shared" si="3"/>
        <v>5.4364984569000008</v>
      </c>
    </row>
    <row r="246" spans="11:13" x14ac:dyDescent="0.15">
      <c r="K246" s="1">
        <v>0</v>
      </c>
      <c r="L246" s="1">
        <v>2.6070700000000002</v>
      </c>
      <c r="M246" s="1">
        <f t="shared" si="3"/>
        <v>6.7968139849000009</v>
      </c>
    </row>
    <row r="247" spans="11:13" x14ac:dyDescent="0.15">
      <c r="K247" s="1">
        <v>0</v>
      </c>
      <c r="L247" s="1">
        <v>2.5376099999999999</v>
      </c>
      <c r="M247" s="1">
        <f t="shared" si="3"/>
        <v>6.4394645120999998</v>
      </c>
    </row>
    <row r="248" spans="11:13" x14ac:dyDescent="0.15">
      <c r="K248" s="1">
        <v>0</v>
      </c>
      <c r="L248" s="1">
        <v>2.8028</v>
      </c>
      <c r="M248" s="1">
        <f t="shared" si="3"/>
        <v>7.8556878399999999</v>
      </c>
    </row>
    <row r="249" spans="11:13" x14ac:dyDescent="0.15">
      <c r="K249" s="1">
        <v>0</v>
      </c>
      <c r="L249" s="1">
        <v>2.4662500000000001</v>
      </c>
      <c r="M249" s="1">
        <f t="shared" si="3"/>
        <v>6.0823890624999999</v>
      </c>
    </row>
    <row r="250" spans="11:13" x14ac:dyDescent="0.15">
      <c r="K250" s="1">
        <v>0</v>
      </c>
      <c r="L250" s="1">
        <v>2.9452400000000001</v>
      </c>
      <c r="M250" s="1">
        <f t="shared" si="3"/>
        <v>8.6744386575999997</v>
      </c>
    </row>
    <row r="251" spans="11:13" x14ac:dyDescent="0.15">
      <c r="K251" s="1">
        <v>0</v>
      </c>
      <c r="L251" s="1">
        <v>2.3941300000000001</v>
      </c>
      <c r="M251" s="1">
        <f t="shared" si="3"/>
        <v>5.7318584569000004</v>
      </c>
    </row>
    <row r="252" spans="11:13" x14ac:dyDescent="0.15">
      <c r="K252" s="1">
        <v>0</v>
      </c>
      <c r="L252" s="1">
        <v>2.45932</v>
      </c>
      <c r="M252" s="1">
        <f t="shared" si="3"/>
        <v>6.0482548623999994</v>
      </c>
    </row>
    <row r="253" spans="11:13" x14ac:dyDescent="0.15">
      <c r="K253" s="1">
        <v>0</v>
      </c>
      <c r="L253" s="1">
        <v>2.4428999999999998</v>
      </c>
      <c r="M253" s="1">
        <f t="shared" si="3"/>
        <v>5.9677604099999995</v>
      </c>
    </row>
    <row r="254" spans="11:13" x14ac:dyDescent="0.15">
      <c r="K254" s="1">
        <v>0</v>
      </c>
      <c r="L254" s="1">
        <v>2.7755800000000002</v>
      </c>
      <c r="M254" s="1">
        <f t="shared" si="3"/>
        <v>7.7038443364000004</v>
      </c>
    </row>
    <row r="255" spans="11:13" x14ac:dyDescent="0.15">
      <c r="K255" s="1">
        <v>0</v>
      </c>
      <c r="L255" s="1">
        <v>2.50773</v>
      </c>
      <c r="M255" s="1">
        <f t="shared" si="3"/>
        <v>6.2887097529</v>
      </c>
    </row>
    <row r="256" spans="11:13" x14ac:dyDescent="0.15">
      <c r="K256" s="1">
        <v>0</v>
      </c>
      <c r="L256" s="1">
        <v>2.4190399999999999</v>
      </c>
      <c r="M256" s="1">
        <f t="shared" si="3"/>
        <v>5.8517545215999993</v>
      </c>
    </row>
    <row r="257" spans="11:13" x14ac:dyDescent="0.15">
      <c r="K257" s="1">
        <v>0</v>
      </c>
      <c r="L257" s="1">
        <v>2.7968899999999999</v>
      </c>
      <c r="M257" s="1">
        <f t="shared" si="3"/>
        <v>7.8225936720999991</v>
      </c>
    </row>
    <row r="258" spans="11:13" x14ac:dyDescent="0.15">
      <c r="K258" s="1">
        <v>0</v>
      </c>
      <c r="L258" s="1">
        <v>2.4866899999999998</v>
      </c>
      <c r="M258" s="1">
        <f t="shared" si="3"/>
        <v>6.1836271560999991</v>
      </c>
    </row>
    <row r="259" spans="11:13" x14ac:dyDescent="0.15">
      <c r="K259" s="1">
        <v>0</v>
      </c>
      <c r="L259" s="1">
        <v>2.50691</v>
      </c>
      <c r="M259" s="1">
        <f t="shared" ref="M259:M322" si="4">L259^2</f>
        <v>6.2845977480999995</v>
      </c>
    </row>
    <row r="260" spans="11:13" x14ac:dyDescent="0.15">
      <c r="K260" s="1">
        <v>0</v>
      </c>
      <c r="L260" s="1">
        <v>2.5523699999999998</v>
      </c>
      <c r="M260" s="1">
        <f t="shared" si="4"/>
        <v>6.514592616899999</v>
      </c>
    </row>
    <row r="261" spans="11:13" x14ac:dyDescent="0.15">
      <c r="K261" s="1">
        <v>0</v>
      </c>
      <c r="L261" s="1">
        <v>2.3053499999999998</v>
      </c>
      <c r="M261" s="1">
        <f t="shared" si="4"/>
        <v>5.3146386224999986</v>
      </c>
    </row>
    <row r="262" spans="11:13" x14ac:dyDescent="0.15">
      <c r="K262" s="1">
        <v>0</v>
      </c>
      <c r="L262" s="1">
        <v>2.8720699999999999</v>
      </c>
      <c r="M262" s="1">
        <f t="shared" si="4"/>
        <v>8.248786084899999</v>
      </c>
    </row>
    <row r="263" spans="11:13" x14ac:dyDescent="0.15">
      <c r="K263" s="1">
        <v>0</v>
      </c>
      <c r="L263" s="1">
        <v>2.6972299999999998</v>
      </c>
      <c r="M263" s="1">
        <f t="shared" si="4"/>
        <v>7.2750496728999989</v>
      </c>
    </row>
    <row r="264" spans="11:13" x14ac:dyDescent="0.15">
      <c r="K264" s="1">
        <v>0</v>
      </c>
      <c r="L264" s="1">
        <v>2.6415299999999999</v>
      </c>
      <c r="M264" s="1">
        <f t="shared" si="4"/>
        <v>6.9776807408999995</v>
      </c>
    </row>
    <row r="265" spans="11:13" x14ac:dyDescent="0.15">
      <c r="K265" s="1">
        <v>0</v>
      </c>
      <c r="L265" s="1">
        <v>2.6816800000000001</v>
      </c>
      <c r="M265" s="1">
        <f t="shared" si="4"/>
        <v>7.1914076224000008</v>
      </c>
    </row>
    <row r="266" spans="11:13" x14ac:dyDescent="0.15">
      <c r="K266" s="1">
        <v>0</v>
      </c>
      <c r="L266" s="1">
        <v>2.4940000000000002</v>
      </c>
      <c r="M266" s="1">
        <f t="shared" si="4"/>
        <v>6.2200360000000012</v>
      </c>
    </row>
    <row r="267" spans="11:13" x14ac:dyDescent="0.15">
      <c r="K267" s="1">
        <v>0</v>
      </c>
      <c r="L267" s="1">
        <v>2.83636</v>
      </c>
      <c r="M267" s="1">
        <f t="shared" si="4"/>
        <v>8.0449380496000007</v>
      </c>
    </row>
    <row r="268" spans="11:13" x14ac:dyDescent="0.15">
      <c r="K268" s="1">
        <v>0</v>
      </c>
      <c r="L268" s="1">
        <v>2.7777799999999999</v>
      </c>
      <c r="M268" s="1">
        <f t="shared" si="4"/>
        <v>7.7160617283999997</v>
      </c>
    </row>
    <row r="269" spans="11:13" x14ac:dyDescent="0.15">
      <c r="K269" s="1">
        <v>0</v>
      </c>
      <c r="L269" s="1">
        <v>2.5405600000000002</v>
      </c>
      <c r="M269" s="1">
        <f t="shared" si="4"/>
        <v>6.4544451136000012</v>
      </c>
    </row>
    <row r="270" spans="11:13" x14ac:dyDescent="0.15">
      <c r="K270" s="1">
        <v>0</v>
      </c>
      <c r="L270" s="1">
        <v>2.7686000000000002</v>
      </c>
      <c r="M270" s="1">
        <f t="shared" si="4"/>
        <v>7.6651459600000011</v>
      </c>
    </row>
    <row r="271" spans="11:13" x14ac:dyDescent="0.15">
      <c r="K271" s="1">
        <v>0</v>
      </c>
      <c r="L271" s="1">
        <v>2.9093599999999999</v>
      </c>
      <c r="M271" s="1">
        <f t="shared" si="4"/>
        <v>8.4643756095999994</v>
      </c>
    </row>
    <row r="272" spans="11:13" x14ac:dyDescent="0.15">
      <c r="K272" s="1">
        <v>0</v>
      </c>
      <c r="L272" s="1">
        <v>3.0581</v>
      </c>
      <c r="M272" s="1">
        <f t="shared" si="4"/>
        <v>9.3519756100000002</v>
      </c>
    </row>
    <row r="273" spans="11:13" x14ac:dyDescent="0.15">
      <c r="K273" s="1">
        <v>0</v>
      </c>
      <c r="L273" s="1">
        <v>2.7875700000000001</v>
      </c>
      <c r="M273" s="1">
        <f t="shared" si="4"/>
        <v>7.7705465049000004</v>
      </c>
    </row>
    <row r="274" spans="11:13" x14ac:dyDescent="0.15">
      <c r="K274" s="1">
        <v>0</v>
      </c>
      <c r="L274" s="1">
        <v>2.6894800000000001</v>
      </c>
      <c r="M274" s="1">
        <f t="shared" si="4"/>
        <v>7.2333026704000005</v>
      </c>
    </row>
    <row r="275" spans="11:13" x14ac:dyDescent="0.15">
      <c r="K275" s="1">
        <v>0</v>
      </c>
      <c r="L275" s="1">
        <v>2.7647900000000001</v>
      </c>
      <c r="M275" s="1">
        <f t="shared" si="4"/>
        <v>7.6440637441000003</v>
      </c>
    </row>
    <row r="276" spans="11:13" x14ac:dyDescent="0.15">
      <c r="K276" s="1">
        <v>0</v>
      </c>
      <c r="L276" s="1">
        <v>2.4182899999999998</v>
      </c>
      <c r="M276" s="1">
        <f t="shared" si="4"/>
        <v>5.8481265240999996</v>
      </c>
    </row>
    <row r="277" spans="11:13" x14ac:dyDescent="0.15">
      <c r="K277" s="1">
        <v>0</v>
      </c>
      <c r="L277" s="1">
        <v>2.4580099999999998</v>
      </c>
      <c r="M277" s="1">
        <f t="shared" si="4"/>
        <v>6.0418131600999994</v>
      </c>
    </row>
    <row r="278" spans="11:13" x14ac:dyDescent="0.15">
      <c r="K278" s="1">
        <v>0</v>
      </c>
      <c r="L278" s="1">
        <v>3.0859399999999999</v>
      </c>
      <c r="M278" s="1">
        <f t="shared" si="4"/>
        <v>9.5230256836000002</v>
      </c>
    </row>
    <row r="279" spans="11:13" x14ac:dyDescent="0.15">
      <c r="K279" s="1">
        <v>0</v>
      </c>
      <c r="L279" s="1">
        <v>2.7578900000000002</v>
      </c>
      <c r="M279" s="1">
        <f t="shared" si="4"/>
        <v>7.6059572521000014</v>
      </c>
    </row>
    <row r="280" spans="11:13" x14ac:dyDescent="0.15">
      <c r="K280" s="1">
        <v>0</v>
      </c>
      <c r="L280" s="1">
        <v>2.39263</v>
      </c>
      <c r="M280" s="1">
        <f t="shared" si="4"/>
        <v>5.7246783169000004</v>
      </c>
    </row>
    <row r="281" spans="11:13" x14ac:dyDescent="0.15">
      <c r="K281" s="1">
        <v>0</v>
      </c>
      <c r="L281" s="1">
        <v>2.9527999999999999</v>
      </c>
      <c r="M281" s="1">
        <f t="shared" si="4"/>
        <v>8.719027839999999</v>
      </c>
    </row>
    <row r="282" spans="11:13" x14ac:dyDescent="0.15">
      <c r="K282" s="1">
        <v>0</v>
      </c>
      <c r="L282" s="1">
        <v>2.75949</v>
      </c>
      <c r="M282" s="1">
        <f t="shared" si="4"/>
        <v>7.6147850601</v>
      </c>
    </row>
    <row r="283" spans="11:13" x14ac:dyDescent="0.15">
      <c r="K283" s="1">
        <v>0</v>
      </c>
      <c r="L283" s="1">
        <v>2.5701999999999998</v>
      </c>
      <c r="M283" s="1">
        <f t="shared" si="4"/>
        <v>6.6059280399999993</v>
      </c>
    </row>
    <row r="284" spans="11:13" x14ac:dyDescent="0.15">
      <c r="K284" s="1">
        <v>0</v>
      </c>
      <c r="L284" s="1">
        <v>2.4670700000000001</v>
      </c>
      <c r="M284" s="1">
        <f t="shared" si="4"/>
        <v>6.0864343849000004</v>
      </c>
    </row>
    <row r="285" spans="11:13" x14ac:dyDescent="0.15">
      <c r="K285" s="1">
        <v>0</v>
      </c>
      <c r="L285" s="1">
        <v>2.38212</v>
      </c>
      <c r="M285" s="1">
        <f t="shared" si="4"/>
        <v>5.6744956944</v>
      </c>
    </row>
    <row r="286" spans="11:13" x14ac:dyDescent="0.15">
      <c r="K286" s="1">
        <v>0</v>
      </c>
      <c r="L286" s="1">
        <v>2.4785499999999998</v>
      </c>
      <c r="M286" s="1">
        <f t="shared" si="4"/>
        <v>6.1432101024999994</v>
      </c>
    </row>
    <row r="287" spans="11:13" x14ac:dyDescent="0.15">
      <c r="K287" s="1">
        <v>0</v>
      </c>
      <c r="L287" s="1">
        <v>2.5549300000000001</v>
      </c>
      <c r="M287" s="1">
        <f t="shared" si="4"/>
        <v>6.5276673049000005</v>
      </c>
    </row>
    <row r="288" spans="11:13" x14ac:dyDescent="0.15">
      <c r="K288" s="1">
        <v>0</v>
      </c>
      <c r="L288" s="1">
        <v>2.6564899999999998</v>
      </c>
      <c r="M288" s="1">
        <f t="shared" si="4"/>
        <v>7.0569391200999991</v>
      </c>
    </row>
    <row r="289" spans="11:13" x14ac:dyDescent="0.15">
      <c r="K289" s="1">
        <v>0</v>
      </c>
      <c r="L289" s="1">
        <v>3.0144899999999999</v>
      </c>
      <c r="M289" s="1">
        <f t="shared" si="4"/>
        <v>9.0871499600999996</v>
      </c>
    </row>
    <row r="290" spans="11:13" x14ac:dyDescent="0.15">
      <c r="K290" s="1">
        <v>0</v>
      </c>
      <c r="L290" s="1">
        <v>2.7271899999999998</v>
      </c>
      <c r="M290" s="1">
        <f t="shared" si="4"/>
        <v>7.4375652960999989</v>
      </c>
    </row>
    <row r="291" spans="11:13" x14ac:dyDescent="0.15">
      <c r="K291" s="1">
        <v>0</v>
      </c>
      <c r="L291" s="1">
        <v>2.7357300000000002</v>
      </c>
      <c r="M291" s="1">
        <f t="shared" si="4"/>
        <v>7.4842186329000011</v>
      </c>
    </row>
    <row r="292" spans="11:13" x14ac:dyDescent="0.15">
      <c r="K292" s="1">
        <v>0</v>
      </c>
      <c r="L292" s="1">
        <v>2.8245399999999998</v>
      </c>
      <c r="M292" s="1">
        <f t="shared" si="4"/>
        <v>7.9780262115999987</v>
      </c>
    </row>
    <row r="293" spans="11:13" x14ac:dyDescent="0.15">
      <c r="K293" s="1">
        <v>0</v>
      </c>
      <c r="L293" s="1">
        <v>2.77678</v>
      </c>
      <c r="M293" s="1">
        <f t="shared" si="4"/>
        <v>7.7105071684000004</v>
      </c>
    </row>
    <row r="294" spans="11:13" x14ac:dyDescent="0.15">
      <c r="K294" s="1">
        <v>0</v>
      </c>
      <c r="L294" s="1">
        <v>2.7833000000000001</v>
      </c>
      <c r="M294" s="1">
        <f t="shared" si="4"/>
        <v>7.7467588900000006</v>
      </c>
    </row>
    <row r="295" spans="11:13" x14ac:dyDescent="0.15">
      <c r="K295" s="1">
        <v>0</v>
      </c>
      <c r="L295" s="1">
        <v>2.6638899999999999</v>
      </c>
      <c r="M295" s="1">
        <f t="shared" si="4"/>
        <v>7.0963099320999996</v>
      </c>
    </row>
    <row r="296" spans="11:13" x14ac:dyDescent="0.15">
      <c r="K296" s="1">
        <v>0</v>
      </c>
      <c r="L296" s="1">
        <v>3.1733600000000002</v>
      </c>
      <c r="M296" s="1">
        <f t="shared" si="4"/>
        <v>10.070213689600001</v>
      </c>
    </row>
    <row r="297" spans="11:13" x14ac:dyDescent="0.15">
      <c r="K297" s="1">
        <v>0</v>
      </c>
      <c r="L297" s="1">
        <v>2.5451700000000002</v>
      </c>
      <c r="M297" s="1">
        <f t="shared" si="4"/>
        <v>6.4778903289000009</v>
      </c>
    </row>
    <row r="298" spans="11:13" x14ac:dyDescent="0.15">
      <c r="K298" s="1">
        <v>0</v>
      </c>
      <c r="L298" s="1">
        <v>2.7492000000000001</v>
      </c>
      <c r="M298" s="1">
        <f t="shared" si="4"/>
        <v>7.5581006400000001</v>
      </c>
    </row>
    <row r="299" spans="11:13" x14ac:dyDescent="0.15">
      <c r="K299" s="1">
        <v>0</v>
      </c>
      <c r="L299" s="1">
        <v>3.1879</v>
      </c>
      <c r="M299" s="1">
        <f t="shared" si="4"/>
        <v>10.16270641</v>
      </c>
    </row>
    <row r="300" spans="11:13" x14ac:dyDescent="0.15">
      <c r="K300" s="1">
        <v>0</v>
      </c>
      <c r="L300" s="1">
        <v>2.9731200000000002</v>
      </c>
      <c r="M300" s="1">
        <f t="shared" si="4"/>
        <v>8.8394425344000016</v>
      </c>
    </row>
    <row r="301" spans="11:13" x14ac:dyDescent="0.15">
      <c r="K301" s="1">
        <v>0</v>
      </c>
      <c r="L301" s="1">
        <v>2.7734999999999999</v>
      </c>
      <c r="M301" s="1">
        <f t="shared" si="4"/>
        <v>7.6923022499999991</v>
      </c>
    </row>
    <row r="302" spans="11:13" x14ac:dyDescent="0.15">
      <c r="K302" s="1">
        <v>0</v>
      </c>
      <c r="L302" s="1">
        <v>2.6652999999999998</v>
      </c>
      <c r="M302" s="1">
        <f t="shared" si="4"/>
        <v>7.1038240899999989</v>
      </c>
    </row>
    <row r="303" spans="11:13" x14ac:dyDescent="0.15">
      <c r="K303" s="1">
        <v>0</v>
      </c>
      <c r="L303" s="1">
        <v>2.8065699999999998</v>
      </c>
      <c r="M303" s="1">
        <f t="shared" si="4"/>
        <v>7.8768351648999992</v>
      </c>
    </row>
    <row r="304" spans="11:13" x14ac:dyDescent="0.15">
      <c r="K304" s="1">
        <v>0</v>
      </c>
      <c r="L304" s="1">
        <v>2.1709399999999999</v>
      </c>
      <c r="M304" s="1">
        <f t="shared" si="4"/>
        <v>4.7129804835999991</v>
      </c>
    </row>
    <row r="305" spans="11:13" x14ac:dyDescent="0.15">
      <c r="K305" s="1">
        <v>0</v>
      </c>
      <c r="L305" s="1">
        <v>2.82558</v>
      </c>
      <c r="M305" s="1">
        <f t="shared" si="4"/>
        <v>7.9839023363999999</v>
      </c>
    </row>
    <row r="306" spans="11:13" x14ac:dyDescent="0.15">
      <c r="K306" s="1">
        <v>0</v>
      </c>
      <c r="L306" s="1">
        <v>2.55762</v>
      </c>
      <c r="M306" s="1">
        <f t="shared" si="4"/>
        <v>6.5414200644000005</v>
      </c>
    </row>
    <row r="307" spans="11:13" x14ac:dyDescent="0.15">
      <c r="K307" s="1">
        <v>0</v>
      </c>
      <c r="L307" s="1">
        <v>2.8998900000000001</v>
      </c>
      <c r="M307" s="1">
        <f t="shared" si="4"/>
        <v>8.4093620121000008</v>
      </c>
    </row>
    <row r="308" spans="11:13" x14ac:dyDescent="0.15">
      <c r="K308" s="1">
        <v>0</v>
      </c>
      <c r="L308" s="1">
        <v>2.35534</v>
      </c>
      <c r="M308" s="1">
        <f t="shared" si="4"/>
        <v>5.5476265156000002</v>
      </c>
    </row>
    <row r="309" spans="11:13" x14ac:dyDescent="0.15">
      <c r="K309" s="1">
        <v>0</v>
      </c>
      <c r="L309" s="1">
        <v>2.5859899999999998</v>
      </c>
      <c r="M309" s="1">
        <f t="shared" si="4"/>
        <v>6.6873442800999987</v>
      </c>
    </row>
    <row r="310" spans="11:13" x14ac:dyDescent="0.15">
      <c r="K310" s="1">
        <v>0</v>
      </c>
      <c r="L310" s="1">
        <v>2.36409</v>
      </c>
      <c r="M310" s="1">
        <f t="shared" si="4"/>
        <v>5.5889215281000002</v>
      </c>
    </row>
    <row r="311" spans="11:13" x14ac:dyDescent="0.15">
      <c r="K311" s="1">
        <v>0</v>
      </c>
      <c r="L311" s="1">
        <v>2.9994299999999998</v>
      </c>
      <c r="M311" s="1">
        <f t="shared" si="4"/>
        <v>8.9965803248999983</v>
      </c>
    </row>
    <row r="312" spans="11:13" x14ac:dyDescent="0.15">
      <c r="K312" s="1">
        <v>0</v>
      </c>
      <c r="L312" s="1">
        <v>2.8432499999999998</v>
      </c>
      <c r="M312" s="1">
        <f t="shared" si="4"/>
        <v>8.0840705624999991</v>
      </c>
    </row>
    <row r="313" spans="11:13" x14ac:dyDescent="0.15">
      <c r="K313" s="1">
        <v>0</v>
      </c>
      <c r="L313" s="1">
        <v>2.8214199999999998</v>
      </c>
      <c r="M313" s="1">
        <f t="shared" si="4"/>
        <v>7.9604108163999987</v>
      </c>
    </row>
    <row r="314" spans="11:13" x14ac:dyDescent="0.15">
      <c r="K314" s="1">
        <v>0</v>
      </c>
      <c r="L314" s="1">
        <v>2.7910599999999999</v>
      </c>
      <c r="M314" s="1">
        <f t="shared" si="4"/>
        <v>7.7900159235999995</v>
      </c>
    </row>
    <row r="315" spans="11:13" x14ac:dyDescent="0.15">
      <c r="K315" s="1">
        <v>0</v>
      </c>
      <c r="L315" s="1">
        <v>2.9014799999999998</v>
      </c>
      <c r="M315" s="1">
        <f t="shared" si="4"/>
        <v>8.4185861903999992</v>
      </c>
    </row>
    <row r="316" spans="11:13" x14ac:dyDescent="0.15">
      <c r="K316" s="1">
        <v>0</v>
      </c>
      <c r="L316" s="1">
        <v>2.9337800000000001</v>
      </c>
      <c r="M316" s="1">
        <f t="shared" si="4"/>
        <v>8.6070650884000006</v>
      </c>
    </row>
    <row r="317" spans="11:13" x14ac:dyDescent="0.15">
      <c r="K317" s="1">
        <v>0</v>
      </c>
      <c r="L317" s="1">
        <v>3.07911</v>
      </c>
      <c r="M317" s="1">
        <f t="shared" si="4"/>
        <v>9.4809183920999995</v>
      </c>
    </row>
    <row r="318" spans="11:13" x14ac:dyDescent="0.15">
      <c r="K318" s="1">
        <v>0</v>
      </c>
      <c r="L318" s="1">
        <v>2.43398</v>
      </c>
      <c r="M318" s="1">
        <f t="shared" si="4"/>
        <v>5.9242586403999997</v>
      </c>
    </row>
    <row r="319" spans="11:13" x14ac:dyDescent="0.15">
      <c r="K319" s="1">
        <v>0</v>
      </c>
      <c r="L319" s="1">
        <v>2.7737400000000001</v>
      </c>
      <c r="M319" s="1">
        <f t="shared" si="4"/>
        <v>7.6936335876000008</v>
      </c>
    </row>
    <row r="320" spans="11:13" x14ac:dyDescent="0.15">
      <c r="K320" s="1">
        <v>0</v>
      </c>
      <c r="L320" s="1">
        <v>2.9786600000000001</v>
      </c>
      <c r="M320" s="1">
        <f t="shared" si="4"/>
        <v>8.8724153956000009</v>
      </c>
    </row>
    <row r="321" spans="11:13" x14ac:dyDescent="0.15">
      <c r="K321" s="1">
        <v>0</v>
      </c>
      <c r="L321" s="1">
        <v>2.9011300000000002</v>
      </c>
      <c r="M321" s="1">
        <f t="shared" si="4"/>
        <v>8.4165552769000005</v>
      </c>
    </row>
    <row r="322" spans="11:13" x14ac:dyDescent="0.15">
      <c r="K322" s="1">
        <v>0</v>
      </c>
      <c r="L322" s="1">
        <v>2.8070599999999999</v>
      </c>
      <c r="M322" s="1">
        <f t="shared" si="4"/>
        <v>7.8795858435999993</v>
      </c>
    </row>
    <row r="323" spans="11:13" x14ac:dyDescent="0.15">
      <c r="K323" s="1">
        <v>0</v>
      </c>
      <c r="L323" s="1">
        <v>2.3957199999999998</v>
      </c>
      <c r="M323" s="1">
        <f t="shared" ref="M323:M386" si="5">L323^2</f>
        <v>5.7394743183999992</v>
      </c>
    </row>
    <row r="324" spans="11:13" x14ac:dyDescent="0.15">
      <c r="K324" s="1">
        <v>0</v>
      </c>
      <c r="L324" s="1">
        <v>3.2900299999999998</v>
      </c>
      <c r="M324" s="1">
        <f t="shared" si="5"/>
        <v>10.824297400899999</v>
      </c>
    </row>
    <row r="325" spans="11:13" x14ac:dyDescent="0.15">
      <c r="K325" s="1">
        <v>0</v>
      </c>
      <c r="L325" s="1">
        <v>3.3275700000000001</v>
      </c>
      <c r="M325" s="1">
        <f t="shared" si="5"/>
        <v>11.0727221049</v>
      </c>
    </row>
    <row r="326" spans="11:13" x14ac:dyDescent="0.15">
      <c r="K326" s="1">
        <v>0</v>
      </c>
      <c r="L326" s="1">
        <v>2.4825300000000001</v>
      </c>
      <c r="M326" s="1">
        <f t="shared" si="5"/>
        <v>6.1629552009000008</v>
      </c>
    </row>
    <row r="327" spans="11:13" x14ac:dyDescent="0.15">
      <c r="K327" s="1">
        <v>0</v>
      </c>
      <c r="L327" s="1">
        <v>2.7044700000000002</v>
      </c>
      <c r="M327" s="1">
        <f t="shared" si="5"/>
        <v>7.314157980900001</v>
      </c>
    </row>
    <row r="328" spans="11:13" x14ac:dyDescent="0.15">
      <c r="K328" s="1">
        <v>0</v>
      </c>
      <c r="L328" s="1">
        <v>2.7035</v>
      </c>
      <c r="M328" s="1">
        <f t="shared" si="5"/>
        <v>7.3089122499999997</v>
      </c>
    </row>
    <row r="329" spans="11:13" x14ac:dyDescent="0.15">
      <c r="K329" s="1">
        <v>0</v>
      </c>
      <c r="L329" s="1">
        <v>2.8967800000000001</v>
      </c>
      <c r="M329" s="1">
        <f t="shared" si="5"/>
        <v>8.3913343684000008</v>
      </c>
    </row>
    <row r="330" spans="11:13" x14ac:dyDescent="0.15">
      <c r="K330" s="1">
        <v>0</v>
      </c>
      <c r="L330" s="1">
        <v>3.25095</v>
      </c>
      <c r="M330" s="1">
        <f t="shared" si="5"/>
        <v>10.568675902500001</v>
      </c>
    </row>
    <row r="331" spans="11:13" x14ac:dyDescent="0.15">
      <c r="K331" s="1">
        <v>0</v>
      </c>
      <c r="L331" s="1">
        <v>2.8866499999999999</v>
      </c>
      <c r="M331" s="1">
        <f t="shared" si="5"/>
        <v>8.3327482224999994</v>
      </c>
    </row>
    <row r="332" spans="11:13" x14ac:dyDescent="0.15">
      <c r="K332" s="1">
        <v>0</v>
      </c>
      <c r="L332" s="1">
        <v>2.7302599999999999</v>
      </c>
      <c r="M332" s="1">
        <f t="shared" si="5"/>
        <v>7.4543196675999992</v>
      </c>
    </row>
    <row r="333" spans="11:13" x14ac:dyDescent="0.15">
      <c r="K333" s="1">
        <v>0</v>
      </c>
      <c r="L333" s="1">
        <v>2.9409000000000001</v>
      </c>
      <c r="M333" s="1">
        <f t="shared" si="5"/>
        <v>8.6488928099999995</v>
      </c>
    </row>
    <row r="334" spans="11:13" x14ac:dyDescent="0.15">
      <c r="K334" s="1">
        <v>0</v>
      </c>
      <c r="L334" s="1">
        <v>2.93296</v>
      </c>
      <c r="M334" s="1">
        <f t="shared" si="5"/>
        <v>8.6022543616</v>
      </c>
    </row>
    <row r="335" spans="11:13" x14ac:dyDescent="0.15">
      <c r="K335" s="1">
        <v>0</v>
      </c>
      <c r="L335" s="1">
        <v>2.6079300000000001</v>
      </c>
      <c r="M335" s="1">
        <f t="shared" si="5"/>
        <v>6.8012988849000005</v>
      </c>
    </row>
    <row r="336" spans="11:13" x14ac:dyDescent="0.15">
      <c r="K336" s="1">
        <v>0</v>
      </c>
      <c r="L336" s="1">
        <v>2.9493200000000002</v>
      </c>
      <c r="M336" s="1">
        <f t="shared" si="5"/>
        <v>8.6984884624000003</v>
      </c>
    </row>
    <row r="337" spans="11:13" x14ac:dyDescent="0.15">
      <c r="K337" s="1">
        <v>0</v>
      </c>
      <c r="L337" s="1">
        <v>2.9967199999999998</v>
      </c>
      <c r="M337" s="1">
        <f t="shared" si="5"/>
        <v>8.9803307583999992</v>
      </c>
    </row>
    <row r="338" spans="11:13" x14ac:dyDescent="0.15">
      <c r="K338" s="1">
        <v>0</v>
      </c>
      <c r="L338" s="1">
        <v>2.7439900000000002</v>
      </c>
      <c r="M338" s="1">
        <f t="shared" si="5"/>
        <v>7.5294811201000007</v>
      </c>
    </row>
    <row r="339" spans="11:13" x14ac:dyDescent="0.15">
      <c r="K339" s="1">
        <v>0</v>
      </c>
      <c r="L339" s="1">
        <v>2.5621200000000002</v>
      </c>
      <c r="M339" s="1">
        <f t="shared" si="5"/>
        <v>6.5644588944000013</v>
      </c>
    </row>
    <row r="340" spans="11:13" x14ac:dyDescent="0.15">
      <c r="K340" s="1">
        <v>0</v>
      </c>
      <c r="L340" s="1">
        <v>3.0558000000000001</v>
      </c>
      <c r="M340" s="1">
        <f t="shared" si="5"/>
        <v>9.33791364</v>
      </c>
    </row>
    <row r="341" spans="11:13" x14ac:dyDescent="0.15">
      <c r="K341" s="1">
        <v>0</v>
      </c>
      <c r="L341" s="1">
        <v>2.6577199999999999</v>
      </c>
      <c r="M341" s="1">
        <f t="shared" si="5"/>
        <v>7.0634755983999993</v>
      </c>
    </row>
    <row r="342" spans="11:13" x14ac:dyDescent="0.15">
      <c r="K342" s="1">
        <v>0</v>
      </c>
      <c r="L342" s="1">
        <v>2.7179000000000002</v>
      </c>
      <c r="M342" s="1">
        <f t="shared" si="5"/>
        <v>7.3869804100000014</v>
      </c>
    </row>
    <row r="343" spans="11:13" x14ac:dyDescent="0.15">
      <c r="K343" s="1">
        <v>0</v>
      </c>
      <c r="L343" s="1">
        <v>2.8640599999999998</v>
      </c>
      <c r="M343" s="1">
        <f t="shared" si="5"/>
        <v>8.2028396835999988</v>
      </c>
    </row>
    <row r="344" spans="11:13" x14ac:dyDescent="0.15">
      <c r="K344" s="1">
        <v>0</v>
      </c>
      <c r="L344" s="1">
        <v>3.3388599999999999</v>
      </c>
      <c r="M344" s="1">
        <f t="shared" si="5"/>
        <v>11.147986099599999</v>
      </c>
    </row>
    <row r="345" spans="11:13" x14ac:dyDescent="0.15">
      <c r="K345" s="1">
        <v>0</v>
      </c>
      <c r="L345" s="1">
        <v>2.94171</v>
      </c>
      <c r="M345" s="1">
        <f t="shared" si="5"/>
        <v>8.6536577241000003</v>
      </c>
    </row>
    <row r="346" spans="11:13" x14ac:dyDescent="0.15">
      <c r="K346" s="1">
        <v>0</v>
      </c>
      <c r="L346" s="1">
        <v>3.1007600000000002</v>
      </c>
      <c r="M346" s="1">
        <f t="shared" si="5"/>
        <v>9.6147125776000006</v>
      </c>
    </row>
    <row r="347" spans="11:13" x14ac:dyDescent="0.15">
      <c r="K347" s="1">
        <v>0</v>
      </c>
      <c r="L347" s="1">
        <v>2.7500200000000001</v>
      </c>
      <c r="M347" s="1">
        <f t="shared" si="5"/>
        <v>7.5626100004000003</v>
      </c>
    </row>
    <row r="348" spans="11:13" x14ac:dyDescent="0.15">
      <c r="K348" s="1">
        <v>0</v>
      </c>
      <c r="L348" s="1">
        <v>2.5680200000000002</v>
      </c>
      <c r="M348" s="1">
        <f t="shared" si="5"/>
        <v>6.5947267204000006</v>
      </c>
    </row>
    <row r="349" spans="11:13" x14ac:dyDescent="0.15">
      <c r="K349" s="1">
        <v>0</v>
      </c>
      <c r="L349" s="1">
        <v>2.5917599999999998</v>
      </c>
      <c r="M349" s="1">
        <f t="shared" si="5"/>
        <v>6.7172198975999988</v>
      </c>
    </row>
    <row r="350" spans="11:13" x14ac:dyDescent="0.15">
      <c r="K350" s="1">
        <v>0</v>
      </c>
      <c r="L350" s="1">
        <v>2.93838</v>
      </c>
      <c r="M350" s="1">
        <f t="shared" si="5"/>
        <v>8.6340770243999998</v>
      </c>
    </row>
    <row r="351" spans="11:13" x14ac:dyDescent="0.15">
      <c r="K351" s="1">
        <v>0</v>
      </c>
      <c r="L351" s="1">
        <v>2.6511300000000002</v>
      </c>
      <c r="M351" s="1">
        <f t="shared" si="5"/>
        <v>7.0284902769000013</v>
      </c>
    </row>
    <row r="352" spans="11:13" x14ac:dyDescent="0.15">
      <c r="K352" s="1">
        <v>0</v>
      </c>
      <c r="L352" s="1">
        <v>3.1930000000000001</v>
      </c>
      <c r="M352" s="1">
        <f t="shared" si="5"/>
        <v>10.195249</v>
      </c>
    </row>
    <row r="353" spans="11:13" x14ac:dyDescent="0.15">
      <c r="K353" s="1">
        <v>0</v>
      </c>
      <c r="L353" s="1">
        <v>3.0014500000000002</v>
      </c>
      <c r="M353" s="1">
        <f t="shared" si="5"/>
        <v>9.0087021025000009</v>
      </c>
    </row>
    <row r="354" spans="11:13" x14ac:dyDescent="0.15">
      <c r="K354" s="1">
        <v>0</v>
      </c>
      <c r="L354" s="1">
        <v>3.1135999999999999</v>
      </c>
      <c r="M354" s="1">
        <f t="shared" si="5"/>
        <v>9.6945049599999997</v>
      </c>
    </row>
    <row r="355" spans="11:13" x14ac:dyDescent="0.15">
      <c r="K355" s="1">
        <v>0</v>
      </c>
      <c r="L355" s="1">
        <v>2.93445</v>
      </c>
      <c r="M355" s="1">
        <f t="shared" si="5"/>
        <v>8.6109968025000008</v>
      </c>
    </row>
    <row r="356" spans="11:13" x14ac:dyDescent="0.15">
      <c r="K356" s="1">
        <v>0</v>
      </c>
      <c r="L356" s="1">
        <v>2.9501599999999999</v>
      </c>
      <c r="M356" s="1">
        <f t="shared" si="5"/>
        <v>8.7034440255999996</v>
      </c>
    </row>
    <row r="357" spans="11:13" x14ac:dyDescent="0.15">
      <c r="K357" s="1">
        <v>0</v>
      </c>
      <c r="L357" s="1">
        <v>2.5568200000000001</v>
      </c>
      <c r="M357" s="1">
        <f t="shared" si="5"/>
        <v>6.5373285124000002</v>
      </c>
    </row>
    <row r="358" spans="11:13" x14ac:dyDescent="0.15">
      <c r="K358" s="1">
        <v>0</v>
      </c>
      <c r="L358" s="1">
        <v>2.6566299999999998</v>
      </c>
      <c r="M358" s="1">
        <f t="shared" si="5"/>
        <v>7.057682956899999</v>
      </c>
    </row>
    <row r="359" spans="11:13" x14ac:dyDescent="0.15">
      <c r="K359" s="1">
        <v>0</v>
      </c>
      <c r="L359" s="1">
        <v>3.2260200000000001</v>
      </c>
      <c r="M359" s="1">
        <f t="shared" si="5"/>
        <v>10.407205040400001</v>
      </c>
    </row>
    <row r="360" spans="11:13" x14ac:dyDescent="0.15">
      <c r="K360" s="1">
        <v>0</v>
      </c>
      <c r="L360" s="1">
        <v>3.0498799999999999</v>
      </c>
      <c r="M360" s="1">
        <f t="shared" si="5"/>
        <v>9.3017680144000003</v>
      </c>
    </row>
    <row r="361" spans="11:13" x14ac:dyDescent="0.15">
      <c r="K361" s="1">
        <v>0</v>
      </c>
      <c r="L361" s="1">
        <v>2.9994999999999998</v>
      </c>
      <c r="M361" s="1">
        <f t="shared" si="5"/>
        <v>8.9970002499999993</v>
      </c>
    </row>
    <row r="362" spans="11:13" x14ac:dyDescent="0.15">
      <c r="K362" s="1">
        <v>0</v>
      </c>
      <c r="L362" s="1">
        <v>3.2577500000000001</v>
      </c>
      <c r="M362" s="1">
        <f t="shared" si="5"/>
        <v>10.6129350625</v>
      </c>
    </row>
    <row r="363" spans="11:13" x14ac:dyDescent="0.15">
      <c r="K363" s="1">
        <v>0</v>
      </c>
      <c r="L363" s="1">
        <v>2.80972</v>
      </c>
      <c r="M363" s="1">
        <f t="shared" si="5"/>
        <v>7.8945264783999995</v>
      </c>
    </row>
    <row r="364" spans="11:13" x14ac:dyDescent="0.15">
      <c r="K364" s="1">
        <v>0</v>
      </c>
      <c r="L364" s="1">
        <v>3.34613</v>
      </c>
      <c r="M364" s="1">
        <f t="shared" si="5"/>
        <v>11.1965859769</v>
      </c>
    </row>
    <row r="365" spans="11:13" x14ac:dyDescent="0.15">
      <c r="K365" s="1">
        <v>0</v>
      </c>
      <c r="L365" s="1">
        <v>2.9200900000000001</v>
      </c>
      <c r="M365" s="1">
        <f t="shared" si="5"/>
        <v>8.5269256081000009</v>
      </c>
    </row>
    <row r="366" spans="11:13" x14ac:dyDescent="0.15">
      <c r="K366" s="1">
        <v>0</v>
      </c>
      <c r="L366" s="1">
        <v>2.8454000000000002</v>
      </c>
      <c r="M366" s="1">
        <f t="shared" si="5"/>
        <v>8.0963011600000012</v>
      </c>
    </row>
    <row r="367" spans="11:13" x14ac:dyDescent="0.15">
      <c r="K367" s="1">
        <v>0</v>
      </c>
      <c r="L367" s="1">
        <v>2.7430300000000001</v>
      </c>
      <c r="M367" s="1">
        <f t="shared" si="5"/>
        <v>7.5242135809000006</v>
      </c>
    </row>
    <row r="368" spans="11:13" x14ac:dyDescent="0.15">
      <c r="K368" s="1">
        <v>0</v>
      </c>
      <c r="L368" s="1">
        <v>2.7980900000000002</v>
      </c>
      <c r="M368" s="1">
        <f t="shared" si="5"/>
        <v>7.8293076481000012</v>
      </c>
    </row>
    <row r="369" spans="11:13" x14ac:dyDescent="0.15">
      <c r="K369" s="1">
        <v>0</v>
      </c>
      <c r="L369" s="1">
        <v>3.1577299999999999</v>
      </c>
      <c r="M369" s="1">
        <f t="shared" si="5"/>
        <v>9.971258752899999</v>
      </c>
    </row>
    <row r="370" spans="11:13" x14ac:dyDescent="0.15">
      <c r="K370" s="1">
        <v>0</v>
      </c>
      <c r="L370" s="1">
        <v>3.1718600000000001</v>
      </c>
      <c r="M370" s="1">
        <f t="shared" si="5"/>
        <v>10.060695859600001</v>
      </c>
    </row>
    <row r="371" spans="11:13" x14ac:dyDescent="0.15">
      <c r="K371" s="1">
        <v>0</v>
      </c>
      <c r="L371" s="1">
        <v>2.8473299999999999</v>
      </c>
      <c r="M371" s="1">
        <f t="shared" si="5"/>
        <v>8.1072881288999987</v>
      </c>
    </row>
    <row r="372" spans="11:13" x14ac:dyDescent="0.15">
      <c r="K372" s="1">
        <v>0</v>
      </c>
      <c r="L372" s="1">
        <v>2.5731799999999998</v>
      </c>
      <c r="M372" s="1">
        <f t="shared" si="5"/>
        <v>6.6212553123999989</v>
      </c>
    </row>
    <row r="373" spans="11:13" x14ac:dyDescent="0.15">
      <c r="K373" s="1">
        <v>0</v>
      </c>
      <c r="L373" s="1">
        <v>3.1418400000000002</v>
      </c>
      <c r="M373" s="1">
        <f t="shared" si="5"/>
        <v>9.8711585856000017</v>
      </c>
    </row>
    <row r="374" spans="11:13" x14ac:dyDescent="0.15">
      <c r="K374" s="1">
        <v>0</v>
      </c>
      <c r="L374" s="1">
        <v>3.0291999999999999</v>
      </c>
      <c r="M374" s="1">
        <f t="shared" si="5"/>
        <v>9.17605264</v>
      </c>
    </row>
    <row r="375" spans="11:13" x14ac:dyDescent="0.15">
      <c r="K375" s="1">
        <v>0</v>
      </c>
      <c r="L375" s="1">
        <v>2.6225200000000002</v>
      </c>
      <c r="M375" s="1">
        <f t="shared" si="5"/>
        <v>6.8776111504000008</v>
      </c>
    </row>
    <row r="376" spans="11:13" x14ac:dyDescent="0.15">
      <c r="K376" s="1">
        <v>0</v>
      </c>
      <c r="L376" s="1">
        <v>3.2106300000000001</v>
      </c>
      <c r="M376" s="1">
        <f t="shared" si="5"/>
        <v>10.308144996900001</v>
      </c>
    </row>
    <row r="377" spans="11:13" x14ac:dyDescent="0.15">
      <c r="K377" s="1">
        <v>0</v>
      </c>
      <c r="L377" s="1">
        <v>2.8896700000000002</v>
      </c>
      <c r="M377" s="1">
        <f t="shared" si="5"/>
        <v>8.3501927089000016</v>
      </c>
    </row>
    <row r="378" spans="11:13" x14ac:dyDescent="0.15">
      <c r="K378" s="1">
        <v>0</v>
      </c>
      <c r="L378" s="1">
        <v>3.2012</v>
      </c>
      <c r="M378" s="1">
        <f t="shared" si="5"/>
        <v>10.247681440000001</v>
      </c>
    </row>
    <row r="379" spans="11:13" x14ac:dyDescent="0.15">
      <c r="K379" s="1">
        <v>0</v>
      </c>
      <c r="L379" s="1">
        <v>2.8707600000000002</v>
      </c>
      <c r="M379" s="1">
        <f t="shared" si="5"/>
        <v>8.2412629776000017</v>
      </c>
    </row>
    <row r="380" spans="11:13" x14ac:dyDescent="0.15">
      <c r="K380" s="1">
        <v>0</v>
      </c>
      <c r="L380" s="1">
        <v>3.27935</v>
      </c>
      <c r="M380" s="1">
        <f t="shared" si="5"/>
        <v>10.7541364225</v>
      </c>
    </row>
    <row r="381" spans="11:13" x14ac:dyDescent="0.15">
      <c r="K381" s="1">
        <v>0</v>
      </c>
      <c r="L381" s="1">
        <v>3.27569</v>
      </c>
      <c r="M381" s="1">
        <f t="shared" si="5"/>
        <v>10.7301449761</v>
      </c>
    </row>
    <row r="382" spans="11:13" x14ac:dyDescent="0.15">
      <c r="K382" s="1">
        <v>0</v>
      </c>
      <c r="L382" s="1">
        <v>2.8148</v>
      </c>
      <c r="M382" s="1">
        <f t="shared" si="5"/>
        <v>7.9230990399999994</v>
      </c>
    </row>
    <row r="383" spans="11:13" x14ac:dyDescent="0.15">
      <c r="K383" s="1">
        <v>0</v>
      </c>
      <c r="L383" s="1">
        <v>2.9464199999999998</v>
      </c>
      <c r="M383" s="1">
        <f t="shared" si="5"/>
        <v>8.6813908163999987</v>
      </c>
    </row>
    <row r="384" spans="11:13" x14ac:dyDescent="0.15">
      <c r="K384" s="1">
        <v>0</v>
      </c>
      <c r="L384" s="1">
        <v>3.0338599999999998</v>
      </c>
      <c r="M384" s="1">
        <f t="shared" si="5"/>
        <v>9.2043064995999995</v>
      </c>
    </row>
    <row r="385" spans="11:13" x14ac:dyDescent="0.15">
      <c r="K385" s="1">
        <v>0</v>
      </c>
      <c r="L385" s="1">
        <v>2.9112499999999999</v>
      </c>
      <c r="M385" s="1">
        <f t="shared" si="5"/>
        <v>8.4753765624999993</v>
      </c>
    </row>
    <row r="386" spans="11:13" x14ac:dyDescent="0.15">
      <c r="K386" s="1">
        <v>0</v>
      </c>
      <c r="L386" s="1">
        <v>3.0986199999999999</v>
      </c>
      <c r="M386" s="1">
        <f t="shared" si="5"/>
        <v>9.6014459044000002</v>
      </c>
    </row>
    <row r="387" spans="11:13" x14ac:dyDescent="0.15">
      <c r="K387" s="1">
        <v>0</v>
      </c>
      <c r="L387" s="1">
        <v>2.9780500000000001</v>
      </c>
      <c r="M387" s="1">
        <f t="shared" ref="M387:M450" si="6">L387^2</f>
        <v>8.8687818025000009</v>
      </c>
    </row>
    <row r="388" spans="11:13" x14ac:dyDescent="0.15">
      <c r="K388" s="1">
        <v>0</v>
      </c>
      <c r="L388" s="1">
        <v>2.75</v>
      </c>
      <c r="M388" s="1">
        <f t="shared" si="6"/>
        <v>7.5625</v>
      </c>
    </row>
    <row r="389" spans="11:13" x14ac:dyDescent="0.15">
      <c r="K389" s="1">
        <v>0</v>
      </c>
      <c r="L389" s="1">
        <v>3.1993900000000002</v>
      </c>
      <c r="M389" s="1">
        <f t="shared" si="6"/>
        <v>10.2360963721</v>
      </c>
    </row>
    <row r="390" spans="11:13" x14ac:dyDescent="0.15">
      <c r="K390" s="1">
        <v>0</v>
      </c>
      <c r="L390" s="1">
        <v>2.6344699999999999</v>
      </c>
      <c r="M390" s="1">
        <f t="shared" si="6"/>
        <v>6.9404321808999994</v>
      </c>
    </row>
    <row r="391" spans="11:13" x14ac:dyDescent="0.15">
      <c r="K391" s="1">
        <v>0</v>
      </c>
      <c r="L391" s="1">
        <v>3.05844</v>
      </c>
      <c r="M391" s="1">
        <f t="shared" si="6"/>
        <v>9.3540552336000005</v>
      </c>
    </row>
    <row r="392" spans="11:13" x14ac:dyDescent="0.15">
      <c r="K392" s="1">
        <v>0</v>
      </c>
      <c r="L392" s="1">
        <v>2.6926999999999999</v>
      </c>
      <c r="M392" s="1">
        <f t="shared" si="6"/>
        <v>7.2506332899999997</v>
      </c>
    </row>
    <row r="393" spans="11:13" x14ac:dyDescent="0.15">
      <c r="K393" s="1">
        <v>0</v>
      </c>
      <c r="L393" s="1">
        <v>3.4942899999999999</v>
      </c>
      <c r="M393" s="1">
        <f t="shared" si="6"/>
        <v>12.210062604099999</v>
      </c>
    </row>
    <row r="394" spans="11:13" x14ac:dyDescent="0.15">
      <c r="K394" s="1">
        <v>0</v>
      </c>
      <c r="L394" s="1">
        <v>2.8362099999999999</v>
      </c>
      <c r="M394" s="1">
        <f t="shared" si="6"/>
        <v>8.0440871640999987</v>
      </c>
    </row>
    <row r="395" spans="11:13" x14ac:dyDescent="0.15">
      <c r="K395" s="1">
        <v>0</v>
      </c>
      <c r="L395" s="1">
        <v>3.20207</v>
      </c>
      <c r="M395" s="1">
        <f t="shared" si="6"/>
        <v>10.2532522849</v>
      </c>
    </row>
    <row r="396" spans="11:13" x14ac:dyDescent="0.15">
      <c r="K396" s="1">
        <v>0</v>
      </c>
      <c r="L396" s="1">
        <v>2.9659599999999999</v>
      </c>
      <c r="M396" s="1">
        <f t="shared" si="6"/>
        <v>8.7969187215999991</v>
      </c>
    </row>
    <row r="397" spans="11:13" x14ac:dyDescent="0.15">
      <c r="K397" s="1">
        <v>0</v>
      </c>
      <c r="L397" s="1">
        <v>3.2719999999999998</v>
      </c>
      <c r="M397" s="1">
        <f t="shared" si="6"/>
        <v>10.705983999999999</v>
      </c>
    </row>
    <row r="398" spans="11:13" x14ac:dyDescent="0.15">
      <c r="K398" s="1">
        <v>0</v>
      </c>
      <c r="L398" s="1">
        <v>3.1948699999999999</v>
      </c>
      <c r="M398" s="1">
        <f t="shared" si="6"/>
        <v>10.207194316899999</v>
      </c>
    </row>
    <row r="399" spans="11:13" x14ac:dyDescent="0.15">
      <c r="K399" s="1">
        <v>0</v>
      </c>
      <c r="L399" s="1">
        <v>3.1650299999999998</v>
      </c>
      <c r="M399" s="1">
        <f t="shared" si="6"/>
        <v>10.017414900899999</v>
      </c>
    </row>
    <row r="400" spans="11:13" x14ac:dyDescent="0.15">
      <c r="K400" s="1">
        <v>0</v>
      </c>
      <c r="L400" s="1">
        <v>3.1315300000000001</v>
      </c>
      <c r="M400" s="1">
        <f t="shared" si="6"/>
        <v>9.8064801409000015</v>
      </c>
    </row>
    <row r="401" spans="11:13" x14ac:dyDescent="0.15">
      <c r="K401" s="1">
        <v>0</v>
      </c>
      <c r="L401" s="1">
        <v>3.1333299999999999</v>
      </c>
      <c r="M401" s="1">
        <f t="shared" si="6"/>
        <v>9.8177568889</v>
      </c>
    </row>
    <row r="402" spans="11:13" x14ac:dyDescent="0.15">
      <c r="K402" s="1">
        <v>0</v>
      </c>
      <c r="L402" s="1">
        <v>3.3932199999999999</v>
      </c>
      <c r="M402" s="1">
        <f t="shared" si="6"/>
        <v>11.513941968399999</v>
      </c>
    </row>
    <row r="403" spans="11:13" x14ac:dyDescent="0.15">
      <c r="K403" s="1">
        <v>0</v>
      </c>
      <c r="L403" s="1">
        <v>3.1394700000000002</v>
      </c>
      <c r="M403" s="1">
        <f t="shared" si="6"/>
        <v>9.8562718809000014</v>
      </c>
    </row>
    <row r="404" spans="11:13" x14ac:dyDescent="0.15">
      <c r="K404" s="1">
        <v>0</v>
      </c>
      <c r="L404" s="1">
        <v>3.3091300000000001</v>
      </c>
      <c r="M404" s="1">
        <f t="shared" si="6"/>
        <v>10.950341356900001</v>
      </c>
    </row>
    <row r="405" spans="11:13" x14ac:dyDescent="0.15">
      <c r="K405" s="1">
        <v>0</v>
      </c>
      <c r="L405" s="1">
        <v>3.0264899999999999</v>
      </c>
      <c r="M405" s="1">
        <f t="shared" si="6"/>
        <v>9.1596417200999998</v>
      </c>
    </row>
    <row r="406" spans="11:13" x14ac:dyDescent="0.15">
      <c r="K406" s="1">
        <v>0</v>
      </c>
      <c r="L406" s="1">
        <v>3.0528300000000002</v>
      </c>
      <c r="M406" s="1">
        <f t="shared" si="6"/>
        <v>9.3197710089000001</v>
      </c>
    </row>
    <row r="407" spans="11:13" x14ac:dyDescent="0.15">
      <c r="K407" s="1">
        <v>0</v>
      </c>
      <c r="L407" s="1">
        <v>3.1648399999999999</v>
      </c>
      <c r="M407" s="1">
        <f t="shared" si="6"/>
        <v>10.016212225599999</v>
      </c>
    </row>
    <row r="408" spans="11:13" x14ac:dyDescent="0.15">
      <c r="K408" s="1">
        <v>0</v>
      </c>
      <c r="L408" s="1">
        <v>3.1728100000000001</v>
      </c>
      <c r="M408" s="1">
        <f t="shared" si="6"/>
        <v>10.066723296100001</v>
      </c>
    </row>
    <row r="409" spans="11:13" x14ac:dyDescent="0.15">
      <c r="K409" s="1">
        <v>0</v>
      </c>
      <c r="L409" s="1">
        <v>3.0862500000000002</v>
      </c>
      <c r="M409" s="1">
        <f t="shared" si="6"/>
        <v>9.5249390625000014</v>
      </c>
    </row>
    <row r="410" spans="11:13" x14ac:dyDescent="0.15">
      <c r="K410" s="1">
        <v>0</v>
      </c>
      <c r="L410" s="1">
        <v>3.2206999999999999</v>
      </c>
      <c r="M410" s="1">
        <f t="shared" si="6"/>
        <v>10.372908489999999</v>
      </c>
    </row>
    <row r="411" spans="11:13" x14ac:dyDescent="0.15">
      <c r="K411" s="1">
        <v>0</v>
      </c>
      <c r="L411" s="1">
        <v>3.1909999999999998</v>
      </c>
      <c r="M411" s="1">
        <f t="shared" si="6"/>
        <v>10.182480999999999</v>
      </c>
    </row>
    <row r="412" spans="11:13" x14ac:dyDescent="0.15">
      <c r="K412" s="1">
        <v>0</v>
      </c>
      <c r="L412" s="1">
        <v>3.0025200000000001</v>
      </c>
      <c r="M412" s="1">
        <f t="shared" si="6"/>
        <v>9.015126350400001</v>
      </c>
    </row>
    <row r="413" spans="11:13" x14ac:dyDescent="0.15">
      <c r="K413" s="1">
        <v>0</v>
      </c>
      <c r="L413" s="1">
        <v>3.1823899999999998</v>
      </c>
      <c r="M413" s="1">
        <f t="shared" si="6"/>
        <v>10.127606112099999</v>
      </c>
    </row>
    <row r="414" spans="11:13" x14ac:dyDescent="0.15">
      <c r="K414" s="1">
        <v>0</v>
      </c>
      <c r="L414" s="1">
        <v>3.1031300000000002</v>
      </c>
      <c r="M414" s="1">
        <f t="shared" si="6"/>
        <v>9.6294157969000018</v>
      </c>
    </row>
    <row r="415" spans="11:13" x14ac:dyDescent="0.15">
      <c r="K415" s="1">
        <v>0</v>
      </c>
      <c r="L415" s="1">
        <v>3.2307000000000001</v>
      </c>
      <c r="M415" s="1">
        <f t="shared" si="6"/>
        <v>10.437422490000001</v>
      </c>
    </row>
    <row r="416" spans="11:13" x14ac:dyDescent="0.15">
      <c r="K416" s="1">
        <v>0</v>
      </c>
      <c r="L416" s="1">
        <v>2.74438</v>
      </c>
      <c r="M416" s="1">
        <f t="shared" si="6"/>
        <v>7.5316215843999998</v>
      </c>
    </row>
    <row r="417" spans="11:13" x14ac:dyDescent="0.15">
      <c r="K417" s="1">
        <v>0</v>
      </c>
      <c r="L417" s="1">
        <v>3.5633900000000001</v>
      </c>
      <c r="M417" s="1">
        <f t="shared" si="6"/>
        <v>12.6977482921</v>
      </c>
    </row>
    <row r="418" spans="11:13" x14ac:dyDescent="0.15">
      <c r="K418" s="1">
        <v>0</v>
      </c>
      <c r="L418" s="1">
        <v>2.5179800000000001</v>
      </c>
      <c r="M418" s="1">
        <f t="shared" si="6"/>
        <v>6.3402232804000009</v>
      </c>
    </row>
    <row r="419" spans="11:13" x14ac:dyDescent="0.15">
      <c r="K419" s="1">
        <v>0</v>
      </c>
      <c r="L419" s="1">
        <v>3.0772599999999999</v>
      </c>
      <c r="M419" s="1">
        <f t="shared" si="6"/>
        <v>9.4695291075999997</v>
      </c>
    </row>
    <row r="420" spans="11:13" x14ac:dyDescent="0.15">
      <c r="K420" s="1">
        <v>0</v>
      </c>
      <c r="L420" s="1">
        <v>2.9206699999999999</v>
      </c>
      <c r="M420" s="1">
        <f t="shared" si="6"/>
        <v>8.5303132488999989</v>
      </c>
    </row>
    <row r="421" spans="11:13" x14ac:dyDescent="0.15">
      <c r="K421" s="1">
        <v>0</v>
      </c>
      <c r="L421" s="1">
        <v>3.081</v>
      </c>
      <c r="M421" s="1">
        <f t="shared" si="6"/>
        <v>9.4925610000000002</v>
      </c>
    </row>
    <row r="422" spans="11:13" x14ac:dyDescent="0.15">
      <c r="K422" s="1">
        <v>0</v>
      </c>
      <c r="L422" s="1">
        <v>3.1488800000000001</v>
      </c>
      <c r="M422" s="1">
        <f t="shared" si="6"/>
        <v>9.9154452544000016</v>
      </c>
    </row>
    <row r="423" spans="11:13" x14ac:dyDescent="0.15">
      <c r="K423" s="1">
        <v>0</v>
      </c>
      <c r="L423" s="1">
        <v>3.3273999999999999</v>
      </c>
      <c r="M423" s="1">
        <f t="shared" si="6"/>
        <v>11.071590759999999</v>
      </c>
    </row>
    <row r="424" spans="11:13" x14ac:dyDescent="0.15">
      <c r="K424" s="1">
        <v>0</v>
      </c>
      <c r="L424" s="1">
        <v>3.0223</v>
      </c>
      <c r="M424" s="1">
        <f t="shared" si="6"/>
        <v>9.1342972899999992</v>
      </c>
    </row>
    <row r="425" spans="11:13" x14ac:dyDescent="0.15">
      <c r="K425" s="1">
        <v>0</v>
      </c>
      <c r="L425" s="1">
        <v>3.0549900000000001</v>
      </c>
      <c r="M425" s="1">
        <f t="shared" si="6"/>
        <v>9.3329639001000011</v>
      </c>
    </row>
    <row r="426" spans="11:13" x14ac:dyDescent="0.15">
      <c r="K426" s="1">
        <v>0</v>
      </c>
      <c r="L426" s="1">
        <v>3.0321500000000001</v>
      </c>
      <c r="M426" s="1">
        <f t="shared" si="6"/>
        <v>9.1939336225000012</v>
      </c>
    </row>
    <row r="427" spans="11:13" x14ac:dyDescent="0.15">
      <c r="K427" s="1">
        <v>0</v>
      </c>
      <c r="L427" s="1">
        <v>3.1533199999999999</v>
      </c>
      <c r="M427" s="1">
        <f t="shared" si="6"/>
        <v>9.9434270223999999</v>
      </c>
    </row>
    <row r="428" spans="11:13" x14ac:dyDescent="0.15">
      <c r="K428" s="1">
        <v>0</v>
      </c>
      <c r="L428" s="1">
        <v>3.14012</v>
      </c>
      <c r="M428" s="1">
        <f t="shared" si="6"/>
        <v>9.860353614400001</v>
      </c>
    </row>
    <row r="429" spans="11:13" x14ac:dyDescent="0.15">
      <c r="K429" s="1">
        <v>0</v>
      </c>
      <c r="L429" s="1">
        <v>3.2629899999999998</v>
      </c>
      <c r="M429" s="1">
        <f t="shared" si="6"/>
        <v>10.647103740099999</v>
      </c>
    </row>
    <row r="430" spans="11:13" x14ac:dyDescent="0.15">
      <c r="K430" s="1">
        <v>0</v>
      </c>
      <c r="L430" s="1">
        <v>2.9195899999999999</v>
      </c>
      <c r="M430" s="1">
        <f t="shared" si="6"/>
        <v>8.5240057681000003</v>
      </c>
    </row>
    <row r="431" spans="11:13" x14ac:dyDescent="0.15">
      <c r="K431" s="1">
        <v>0</v>
      </c>
      <c r="L431" s="1">
        <v>3.4394999999999998</v>
      </c>
      <c r="M431" s="1">
        <f t="shared" si="6"/>
        <v>11.830160249999999</v>
      </c>
    </row>
    <row r="432" spans="11:13" x14ac:dyDescent="0.15">
      <c r="K432" s="1">
        <v>0</v>
      </c>
      <c r="L432" s="1">
        <v>2.7821199999999999</v>
      </c>
      <c r="M432" s="1">
        <f t="shared" si="6"/>
        <v>7.7401916944</v>
      </c>
    </row>
    <row r="433" spans="11:13" x14ac:dyDescent="0.15">
      <c r="K433" s="1">
        <v>0</v>
      </c>
      <c r="L433" s="1">
        <v>3.13524</v>
      </c>
      <c r="M433" s="1">
        <f t="shared" si="6"/>
        <v>9.8297298576000003</v>
      </c>
    </row>
    <row r="434" spans="11:13" x14ac:dyDescent="0.15">
      <c r="K434" s="1">
        <v>0</v>
      </c>
      <c r="L434" s="1">
        <v>2.90787</v>
      </c>
      <c r="M434" s="1">
        <f t="shared" si="6"/>
        <v>8.4557079368999997</v>
      </c>
    </row>
    <row r="435" spans="11:13" x14ac:dyDescent="0.15">
      <c r="K435" s="1">
        <v>0</v>
      </c>
      <c r="L435" s="1">
        <v>3.0525000000000002</v>
      </c>
      <c r="M435" s="1">
        <f t="shared" si="6"/>
        <v>9.3177562500000022</v>
      </c>
    </row>
    <row r="436" spans="11:13" x14ac:dyDescent="0.15">
      <c r="K436" s="1">
        <v>0</v>
      </c>
      <c r="L436" s="1">
        <v>2.7865899999999999</v>
      </c>
      <c r="M436" s="1">
        <f t="shared" si="6"/>
        <v>7.7650838280999999</v>
      </c>
    </row>
    <row r="437" spans="11:13" x14ac:dyDescent="0.15">
      <c r="K437" s="1">
        <v>0</v>
      </c>
      <c r="L437" s="1">
        <v>3.27399</v>
      </c>
      <c r="M437" s="1">
        <f t="shared" si="6"/>
        <v>10.719010520099999</v>
      </c>
    </row>
    <row r="438" spans="11:13" x14ac:dyDescent="0.15">
      <c r="K438" s="1">
        <v>0</v>
      </c>
      <c r="L438" s="1">
        <v>3.2529300000000001</v>
      </c>
      <c r="M438" s="1">
        <f t="shared" si="6"/>
        <v>10.5815535849</v>
      </c>
    </row>
    <row r="439" spans="11:13" x14ac:dyDescent="0.15">
      <c r="K439" s="1">
        <v>0</v>
      </c>
      <c r="L439" s="1">
        <v>3.32118</v>
      </c>
      <c r="M439" s="1">
        <f t="shared" si="6"/>
        <v>11.0302365924</v>
      </c>
    </row>
    <row r="440" spans="11:13" x14ac:dyDescent="0.15">
      <c r="K440" s="1">
        <v>0</v>
      </c>
      <c r="L440" s="1">
        <v>2.97187</v>
      </c>
      <c r="M440" s="1">
        <f t="shared" si="6"/>
        <v>8.8320112968999993</v>
      </c>
    </row>
    <row r="441" spans="11:13" x14ac:dyDescent="0.15">
      <c r="K441" s="1">
        <v>0</v>
      </c>
      <c r="L441" s="1">
        <v>3.3170000000000002</v>
      </c>
      <c r="M441" s="1">
        <f t="shared" si="6"/>
        <v>11.002489000000001</v>
      </c>
    </row>
    <row r="442" spans="11:13" x14ac:dyDescent="0.15">
      <c r="K442" s="1">
        <v>0</v>
      </c>
      <c r="L442" s="1">
        <v>3.2046999999999999</v>
      </c>
      <c r="M442" s="1">
        <f t="shared" si="6"/>
        <v>10.27010209</v>
      </c>
    </row>
    <row r="443" spans="11:13" x14ac:dyDescent="0.15">
      <c r="K443" s="1">
        <v>0</v>
      </c>
      <c r="L443" s="1">
        <v>2.6430199999999999</v>
      </c>
      <c r="M443" s="1">
        <f t="shared" si="6"/>
        <v>6.9855547203999997</v>
      </c>
    </row>
    <row r="444" spans="11:13" x14ac:dyDescent="0.15">
      <c r="K444" s="1">
        <v>0</v>
      </c>
      <c r="L444" s="1">
        <v>3.0851000000000002</v>
      </c>
      <c r="M444" s="1">
        <f t="shared" si="6"/>
        <v>9.5178420100000007</v>
      </c>
    </row>
    <row r="445" spans="11:13" x14ac:dyDescent="0.15">
      <c r="K445" s="1">
        <v>0</v>
      </c>
      <c r="L445" s="1">
        <v>3.1279499999999998</v>
      </c>
      <c r="M445" s="1">
        <f t="shared" si="6"/>
        <v>9.7840712024999981</v>
      </c>
    </row>
    <row r="446" spans="11:13" x14ac:dyDescent="0.15">
      <c r="K446" s="1">
        <v>0</v>
      </c>
      <c r="L446" s="1">
        <v>3.2364899999999999</v>
      </c>
      <c r="M446" s="1">
        <f t="shared" si="6"/>
        <v>10.474867520099998</v>
      </c>
    </row>
    <row r="447" spans="11:13" x14ac:dyDescent="0.15">
      <c r="K447" s="1">
        <v>0</v>
      </c>
      <c r="L447" s="1">
        <v>3.4605100000000002</v>
      </c>
      <c r="M447" s="1">
        <f t="shared" si="6"/>
        <v>11.975129460100002</v>
      </c>
    </row>
    <row r="448" spans="11:13" x14ac:dyDescent="0.15">
      <c r="K448" s="1">
        <v>0</v>
      </c>
      <c r="L448" s="1">
        <v>3.0828899999999999</v>
      </c>
      <c r="M448" s="1">
        <f t="shared" si="6"/>
        <v>9.5042107520999988</v>
      </c>
    </row>
    <row r="449" spans="11:13" x14ac:dyDescent="0.15">
      <c r="K449" s="1">
        <v>0</v>
      </c>
      <c r="L449" s="1">
        <v>2.8250700000000002</v>
      </c>
      <c r="M449" s="1">
        <f t="shared" si="6"/>
        <v>7.9810205049000009</v>
      </c>
    </row>
    <row r="450" spans="11:13" x14ac:dyDescent="0.15">
      <c r="K450" s="1">
        <v>0</v>
      </c>
      <c r="L450" s="1">
        <v>2.9728500000000002</v>
      </c>
      <c r="M450" s="1">
        <f t="shared" si="6"/>
        <v>8.8378371225000016</v>
      </c>
    </row>
    <row r="451" spans="11:13" x14ac:dyDescent="0.15">
      <c r="K451" s="1">
        <v>0</v>
      </c>
      <c r="L451" s="1">
        <v>3.2004899999999998</v>
      </c>
      <c r="M451" s="1">
        <f t="shared" ref="M451:M501" si="7">L451^2</f>
        <v>10.243136240099998</v>
      </c>
    </row>
    <row r="452" spans="11:13" x14ac:dyDescent="0.15">
      <c r="K452" s="1">
        <v>0</v>
      </c>
      <c r="L452" s="1">
        <v>3.0411700000000002</v>
      </c>
      <c r="M452" s="1">
        <f t="shared" si="7"/>
        <v>9.2487149689000017</v>
      </c>
    </row>
    <row r="453" spans="11:13" x14ac:dyDescent="0.15">
      <c r="K453" s="1">
        <v>0</v>
      </c>
      <c r="L453" s="1">
        <v>3.0657399999999999</v>
      </c>
      <c r="M453" s="1">
        <f t="shared" si="7"/>
        <v>9.3987617476</v>
      </c>
    </row>
    <row r="454" spans="11:13" x14ac:dyDescent="0.15">
      <c r="K454" s="1">
        <v>0</v>
      </c>
      <c r="L454" s="1">
        <v>3.2027800000000002</v>
      </c>
      <c r="M454" s="1">
        <f t="shared" si="7"/>
        <v>10.257799728400002</v>
      </c>
    </row>
    <row r="455" spans="11:13" x14ac:dyDescent="0.15">
      <c r="K455" s="1">
        <v>0</v>
      </c>
      <c r="L455" s="1">
        <v>2.96651</v>
      </c>
      <c r="M455" s="1">
        <f t="shared" si="7"/>
        <v>8.8001815801000003</v>
      </c>
    </row>
    <row r="456" spans="11:13" x14ac:dyDescent="0.15">
      <c r="K456" s="1">
        <v>0</v>
      </c>
      <c r="L456" s="1">
        <v>3.41473</v>
      </c>
      <c r="M456" s="1">
        <f t="shared" si="7"/>
        <v>11.660380972900001</v>
      </c>
    </row>
    <row r="457" spans="11:13" x14ac:dyDescent="0.15">
      <c r="K457" s="1">
        <v>0</v>
      </c>
      <c r="L457" s="1">
        <v>2.9622999999999999</v>
      </c>
      <c r="M457" s="1">
        <f t="shared" si="7"/>
        <v>8.7752212899999993</v>
      </c>
    </row>
    <row r="458" spans="11:13" x14ac:dyDescent="0.15">
      <c r="K458" s="1">
        <v>0</v>
      </c>
      <c r="L458" s="1">
        <v>3.49526</v>
      </c>
      <c r="M458" s="1">
        <f t="shared" si="7"/>
        <v>12.216842467599999</v>
      </c>
    </row>
    <row r="459" spans="11:13" x14ac:dyDescent="0.15">
      <c r="K459" s="1">
        <v>0</v>
      </c>
      <c r="L459" s="1">
        <v>3.6074600000000001</v>
      </c>
      <c r="M459" s="1">
        <f t="shared" si="7"/>
        <v>13.0137676516</v>
      </c>
    </row>
    <row r="460" spans="11:13" x14ac:dyDescent="0.15">
      <c r="K460" s="1">
        <v>0</v>
      </c>
      <c r="L460" s="1">
        <v>3.0678899999999998</v>
      </c>
      <c r="M460" s="1">
        <f t="shared" si="7"/>
        <v>9.4119490520999989</v>
      </c>
    </row>
    <row r="461" spans="11:13" x14ac:dyDescent="0.15">
      <c r="K461" s="1">
        <v>0</v>
      </c>
      <c r="L461" s="1">
        <v>2.88103</v>
      </c>
      <c r="M461" s="1">
        <f t="shared" si="7"/>
        <v>8.3003338609000004</v>
      </c>
    </row>
    <row r="462" spans="11:13" x14ac:dyDescent="0.15">
      <c r="K462" s="1">
        <v>0</v>
      </c>
      <c r="L462" s="1">
        <v>3.2097799999999999</v>
      </c>
      <c r="M462" s="1">
        <f t="shared" si="7"/>
        <v>10.302687648399999</v>
      </c>
    </row>
    <row r="463" spans="11:13" x14ac:dyDescent="0.15">
      <c r="K463" s="1">
        <v>0</v>
      </c>
      <c r="L463" s="1">
        <v>2.8144300000000002</v>
      </c>
      <c r="M463" s="1">
        <f t="shared" si="7"/>
        <v>7.9210162249000016</v>
      </c>
    </row>
    <row r="464" spans="11:13" x14ac:dyDescent="0.15">
      <c r="K464" s="1">
        <v>0</v>
      </c>
      <c r="L464" s="1">
        <v>3.1393800000000001</v>
      </c>
      <c r="M464" s="1">
        <f t="shared" si="7"/>
        <v>9.8557067844000006</v>
      </c>
    </row>
    <row r="465" spans="11:13" x14ac:dyDescent="0.15">
      <c r="K465" s="1">
        <v>0</v>
      </c>
      <c r="L465" s="1">
        <v>3.31399</v>
      </c>
      <c r="M465" s="1">
        <f t="shared" si="7"/>
        <v>10.982529720100001</v>
      </c>
    </row>
    <row r="466" spans="11:13" x14ac:dyDescent="0.15">
      <c r="K466" s="1">
        <v>0</v>
      </c>
      <c r="L466" s="1">
        <v>3.0562800000000001</v>
      </c>
      <c r="M466" s="1">
        <f t="shared" si="7"/>
        <v>9.3408474384000009</v>
      </c>
    </row>
    <row r="467" spans="11:13" x14ac:dyDescent="0.15">
      <c r="K467" s="1">
        <v>0</v>
      </c>
      <c r="L467" s="1">
        <v>3.48333</v>
      </c>
      <c r="M467" s="1">
        <f t="shared" si="7"/>
        <v>12.133587888900001</v>
      </c>
    </row>
    <row r="468" spans="11:13" x14ac:dyDescent="0.15">
      <c r="K468" s="1">
        <v>0</v>
      </c>
      <c r="L468" s="1">
        <v>3.3552200000000001</v>
      </c>
      <c r="M468" s="1">
        <f t="shared" si="7"/>
        <v>11.257501248400001</v>
      </c>
    </row>
    <row r="469" spans="11:13" x14ac:dyDescent="0.15">
      <c r="K469" s="1">
        <v>0</v>
      </c>
      <c r="L469" s="1">
        <v>2.86063</v>
      </c>
      <c r="M469" s="1">
        <f t="shared" si="7"/>
        <v>8.1832039968999997</v>
      </c>
    </row>
    <row r="470" spans="11:13" x14ac:dyDescent="0.15">
      <c r="K470" s="1">
        <v>0</v>
      </c>
      <c r="L470" s="1">
        <v>3.3934000000000002</v>
      </c>
      <c r="M470" s="1">
        <f t="shared" si="7"/>
        <v>11.515163560000001</v>
      </c>
    </row>
    <row r="471" spans="11:13" x14ac:dyDescent="0.15">
      <c r="K471" s="1">
        <v>0</v>
      </c>
      <c r="L471" s="1">
        <v>3.09307</v>
      </c>
      <c r="M471" s="1">
        <f t="shared" si="7"/>
        <v>9.5670820248999995</v>
      </c>
    </row>
    <row r="472" spans="11:13" x14ac:dyDescent="0.15">
      <c r="K472" s="1">
        <v>0</v>
      </c>
      <c r="L472" s="1">
        <v>3.1871900000000002</v>
      </c>
      <c r="M472" s="1">
        <f t="shared" si="7"/>
        <v>10.158180096100001</v>
      </c>
    </row>
    <row r="473" spans="11:13" x14ac:dyDescent="0.15">
      <c r="K473" s="1">
        <v>0</v>
      </c>
      <c r="L473" s="1">
        <v>3.1701800000000002</v>
      </c>
      <c r="M473" s="1">
        <f t="shared" si="7"/>
        <v>10.050041232400002</v>
      </c>
    </row>
    <row r="474" spans="11:13" x14ac:dyDescent="0.15">
      <c r="K474" s="1">
        <v>0</v>
      </c>
      <c r="L474" s="1">
        <v>3.3155600000000001</v>
      </c>
      <c r="M474" s="1">
        <f t="shared" si="7"/>
        <v>10.992938113600001</v>
      </c>
    </row>
    <row r="475" spans="11:13" x14ac:dyDescent="0.15">
      <c r="K475" s="1">
        <v>0</v>
      </c>
      <c r="L475" s="1">
        <v>3.2051799999999999</v>
      </c>
      <c r="M475" s="1">
        <f t="shared" si="7"/>
        <v>10.273178832399999</v>
      </c>
    </row>
    <row r="476" spans="11:13" x14ac:dyDescent="0.15">
      <c r="K476" s="1">
        <v>0</v>
      </c>
      <c r="L476" s="1">
        <v>3.2415400000000001</v>
      </c>
      <c r="M476" s="1">
        <f t="shared" si="7"/>
        <v>10.507581571600001</v>
      </c>
    </row>
    <row r="477" spans="11:13" x14ac:dyDescent="0.15">
      <c r="K477" s="1">
        <v>0</v>
      </c>
      <c r="L477" s="1">
        <v>2.9892500000000002</v>
      </c>
      <c r="M477" s="1">
        <f t="shared" si="7"/>
        <v>8.9356155625000007</v>
      </c>
    </row>
    <row r="478" spans="11:13" x14ac:dyDescent="0.15">
      <c r="K478" s="1">
        <v>0</v>
      </c>
      <c r="L478" s="1">
        <v>3.1156600000000001</v>
      </c>
      <c r="M478" s="1">
        <f t="shared" si="7"/>
        <v>9.7073372356000007</v>
      </c>
    </row>
    <row r="479" spans="11:13" x14ac:dyDescent="0.15">
      <c r="K479" s="1">
        <v>0</v>
      </c>
      <c r="L479" s="1">
        <v>3.3235000000000001</v>
      </c>
      <c r="M479" s="1">
        <f t="shared" si="7"/>
        <v>11.045652250000002</v>
      </c>
    </row>
    <row r="480" spans="11:13" x14ac:dyDescent="0.15">
      <c r="K480" s="1">
        <v>0</v>
      </c>
      <c r="L480" s="1">
        <v>3.0764300000000002</v>
      </c>
      <c r="M480" s="1">
        <f t="shared" si="7"/>
        <v>9.4644215449000022</v>
      </c>
    </row>
    <row r="481" spans="11:13" x14ac:dyDescent="0.15">
      <c r="K481" s="1">
        <v>0</v>
      </c>
      <c r="L481" s="1">
        <v>2.9422700000000002</v>
      </c>
      <c r="M481" s="1">
        <f t="shared" si="7"/>
        <v>8.6569527529000005</v>
      </c>
    </row>
    <row r="482" spans="11:13" x14ac:dyDescent="0.15">
      <c r="K482" s="1">
        <v>0</v>
      </c>
      <c r="L482" s="1">
        <v>3.4544199999999998</v>
      </c>
      <c r="M482" s="1">
        <f t="shared" si="7"/>
        <v>11.9330175364</v>
      </c>
    </row>
    <row r="483" spans="11:13" x14ac:dyDescent="0.15">
      <c r="K483" s="1">
        <v>0</v>
      </c>
      <c r="L483" s="1">
        <v>2.8535499999999998</v>
      </c>
      <c r="M483" s="1">
        <f t="shared" si="7"/>
        <v>8.1427476024999983</v>
      </c>
    </row>
    <row r="484" spans="11:13" x14ac:dyDescent="0.15">
      <c r="K484" s="1">
        <v>0</v>
      </c>
      <c r="L484" s="1">
        <v>2.8593000000000002</v>
      </c>
      <c r="M484" s="1">
        <f t="shared" si="7"/>
        <v>8.1755964900000002</v>
      </c>
    </row>
    <row r="485" spans="11:13" x14ac:dyDescent="0.15">
      <c r="K485" s="1">
        <v>0</v>
      </c>
      <c r="L485" s="1">
        <v>2.9663400000000002</v>
      </c>
      <c r="M485" s="1">
        <f t="shared" si="7"/>
        <v>8.7991729956000011</v>
      </c>
    </row>
    <row r="486" spans="11:13" x14ac:dyDescent="0.15">
      <c r="K486" s="1">
        <v>0</v>
      </c>
      <c r="L486" s="1">
        <v>3.1063000000000001</v>
      </c>
      <c r="M486" s="1">
        <f t="shared" si="7"/>
        <v>9.6490996899999999</v>
      </c>
    </row>
    <row r="487" spans="11:13" x14ac:dyDescent="0.15">
      <c r="K487" s="1">
        <v>0</v>
      </c>
      <c r="L487" s="1">
        <v>3.3765299999999998</v>
      </c>
      <c r="M487" s="1">
        <f t="shared" si="7"/>
        <v>11.400954840899999</v>
      </c>
    </row>
    <row r="488" spans="11:13" x14ac:dyDescent="0.15">
      <c r="K488" s="1">
        <v>0</v>
      </c>
      <c r="L488" s="1">
        <v>3.06629</v>
      </c>
      <c r="M488" s="1">
        <f t="shared" si="7"/>
        <v>9.4021343641000001</v>
      </c>
    </row>
    <row r="489" spans="11:13" x14ac:dyDescent="0.15">
      <c r="K489" s="1">
        <v>0</v>
      </c>
      <c r="L489" s="1">
        <v>3.0603099999999999</v>
      </c>
      <c r="M489" s="1">
        <f t="shared" si="7"/>
        <v>9.3654972960999991</v>
      </c>
    </row>
    <row r="490" spans="11:13" x14ac:dyDescent="0.15">
      <c r="K490" s="1">
        <v>0</v>
      </c>
      <c r="L490" s="1">
        <v>3.4092199999999999</v>
      </c>
      <c r="M490" s="1">
        <f t="shared" si="7"/>
        <v>11.622781008399999</v>
      </c>
    </row>
    <row r="491" spans="11:13" x14ac:dyDescent="0.15">
      <c r="K491" s="1">
        <v>0</v>
      </c>
      <c r="L491" s="1">
        <v>2.7338200000000001</v>
      </c>
      <c r="M491" s="1">
        <f t="shared" si="7"/>
        <v>7.4737717924000009</v>
      </c>
    </row>
    <row r="492" spans="11:13" x14ac:dyDescent="0.15">
      <c r="K492" s="1">
        <v>0</v>
      </c>
      <c r="L492" s="1">
        <v>3.1234899999999999</v>
      </c>
      <c r="M492" s="1">
        <f t="shared" si="7"/>
        <v>9.7561897800999997</v>
      </c>
    </row>
    <row r="493" spans="11:13" x14ac:dyDescent="0.15">
      <c r="K493" s="1">
        <v>0</v>
      </c>
      <c r="L493" s="1">
        <v>3.77115</v>
      </c>
      <c r="M493" s="1">
        <f t="shared" si="7"/>
        <v>14.2215723225</v>
      </c>
    </row>
    <row r="494" spans="11:13" x14ac:dyDescent="0.15">
      <c r="K494" s="1">
        <v>0</v>
      </c>
      <c r="L494" s="1">
        <v>2.9974500000000002</v>
      </c>
      <c r="M494" s="1">
        <f t="shared" si="7"/>
        <v>8.9847065025000017</v>
      </c>
    </row>
    <row r="495" spans="11:13" x14ac:dyDescent="0.15">
      <c r="K495" s="1">
        <v>0</v>
      </c>
      <c r="L495" s="1">
        <v>3.0769099999999998</v>
      </c>
      <c r="M495" s="1">
        <f t="shared" si="7"/>
        <v>9.4673751480999986</v>
      </c>
    </row>
    <row r="496" spans="11:13" x14ac:dyDescent="0.15">
      <c r="K496" s="1">
        <v>0</v>
      </c>
      <c r="L496" s="1">
        <v>3.3772899999999999</v>
      </c>
      <c r="M496" s="1">
        <f t="shared" si="7"/>
        <v>11.406087744099999</v>
      </c>
    </row>
    <row r="497" spans="11:13" x14ac:dyDescent="0.15">
      <c r="K497" s="1">
        <v>0</v>
      </c>
      <c r="L497" s="1">
        <v>3.3386999999999998</v>
      </c>
      <c r="M497" s="1">
        <f t="shared" si="7"/>
        <v>11.146917689999999</v>
      </c>
    </row>
    <row r="498" spans="11:13" x14ac:dyDescent="0.15">
      <c r="K498" s="1">
        <v>0</v>
      </c>
      <c r="L498" s="1">
        <v>3.1603699999999999</v>
      </c>
      <c r="M498" s="1">
        <f t="shared" si="7"/>
        <v>9.9879385368999998</v>
      </c>
    </row>
    <row r="499" spans="11:13" x14ac:dyDescent="0.15">
      <c r="K499" s="1">
        <v>0</v>
      </c>
      <c r="L499" s="1">
        <v>3.15272</v>
      </c>
      <c r="M499" s="1">
        <f t="shared" si="7"/>
        <v>9.9396433983999994</v>
      </c>
    </row>
    <row r="500" spans="11:13" x14ac:dyDescent="0.15">
      <c r="K500" s="1">
        <v>0</v>
      </c>
      <c r="L500" s="1">
        <v>3.2543600000000001</v>
      </c>
      <c r="M500" s="1">
        <f t="shared" si="7"/>
        <v>10.590859009600001</v>
      </c>
    </row>
    <row r="501" spans="11:13" x14ac:dyDescent="0.15">
      <c r="K501" s="1">
        <v>0</v>
      </c>
      <c r="L501" s="1">
        <v>3.2679200000000002</v>
      </c>
      <c r="M501" s="1">
        <f t="shared" si="7"/>
        <v>10.6793011264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CC839-830A-4FD1-8D3D-EC453947CE68}">
  <dimension ref="A1:G500"/>
  <sheetViews>
    <sheetView zoomScale="85" zoomScaleNormal="85" workbookViewId="0">
      <selection activeCell="Z13" sqref="Z13"/>
    </sheetView>
  </sheetViews>
  <sheetFormatPr defaultRowHeight="16.5" x14ac:dyDescent="0.15"/>
  <cols>
    <col min="1" max="16384" width="9" style="1"/>
  </cols>
  <sheetData>
    <row r="1" spans="1:7" x14ac:dyDescent="0.15">
      <c r="A1" s="1" cm="1">
        <f t="array" ref="A1:A500">x</f>
        <v>0.1206</v>
      </c>
      <c r="B1" s="1" cm="1">
        <f t="array" ref="B1:B500">y</f>
        <v>-2.10284</v>
      </c>
      <c r="C1" s="1">
        <f>(B3-B2)/(A3-A2)</f>
        <v>9.3207524271844662</v>
      </c>
      <c r="D1" s="1">
        <f>(C3-C2)/(A4-A2)</f>
        <v>-454.1339497114223</v>
      </c>
      <c r="E1" s="1">
        <f xml:space="preserve"> (D3-D2)/(A5-A2)</f>
        <v>-6.3493751150680033</v>
      </c>
      <c r="G1" s="1">
        <f xml:space="preserve"> B2 + C2*(A2-A2) + D2*(A2-A2)*(A2-A3) + E2*(A2-A2)*(A2-A3)*(A2-A4)</f>
        <v>-2.0302600000000002</v>
      </c>
    </row>
    <row r="2" spans="1:7" x14ac:dyDescent="0.15">
      <c r="A2" s="1">
        <v>0.17858499999999999</v>
      </c>
      <c r="B2" s="1">
        <v>-2.0302600000000002</v>
      </c>
      <c r="C2" s="1">
        <f t="shared" ref="C2:C65" si="0">(B4-B3)/(A4-A3)</f>
        <v>41.145852836547576</v>
      </c>
      <c r="D2" s="1">
        <f t="shared" ref="D2:D65" si="1">(C4-C3)/(A5-A3)</f>
        <v>8.4739813582616321</v>
      </c>
      <c r="E2" s="1">
        <f t="shared" ref="E2:E65" si="2" xml:space="preserve"> (D4-D3)/(A6-A3)</f>
        <v>-88.465891485588116</v>
      </c>
      <c r="G2" s="1">
        <f t="shared" ref="G2:G65" si="3" xml:space="preserve"> B3 + C3*(A3-A3) + D3*(A3-A3)*(A3-A4) + E3*(A3-A3)*(A3-A4)*(A3-A5)</f>
        <v>-1.26223</v>
      </c>
    </row>
    <row r="3" spans="1:7" x14ac:dyDescent="0.15">
      <c r="A3" s="1">
        <v>0.26098500000000002</v>
      </c>
      <c r="B3" s="1">
        <v>-1.26223</v>
      </c>
      <c r="C3" s="1">
        <f t="shared" si="0"/>
        <v>1.2996859549176605</v>
      </c>
      <c r="D3" s="1">
        <f t="shared" si="1"/>
        <v>6.9383278423063999</v>
      </c>
      <c r="E3" s="1">
        <f t="shared" si="2"/>
        <v>-282.61121882383458</v>
      </c>
      <c r="G3" s="1">
        <f t="shared" si="3"/>
        <v>-1.04247</v>
      </c>
    </row>
    <row r="4" spans="1:7" x14ac:dyDescent="0.15">
      <c r="A4" s="1">
        <v>0.26632600000000001</v>
      </c>
      <c r="B4" s="1">
        <v>-1.04247</v>
      </c>
      <c r="C4" s="1">
        <f t="shared" si="0"/>
        <v>2.6509385483247017</v>
      </c>
      <c r="D4" s="1">
        <f t="shared" si="1"/>
        <v>-22.490027892157453</v>
      </c>
      <c r="E4" s="1">
        <f t="shared" si="2"/>
        <v>1252.8010037074087</v>
      </c>
      <c r="G4" s="1">
        <f t="shared" si="3"/>
        <v>-0.84216500000000005</v>
      </c>
    </row>
    <row r="5" spans="1:7" x14ac:dyDescent="0.15">
      <c r="A5" s="1">
        <v>0.42044399999999998</v>
      </c>
      <c r="B5" s="1">
        <v>-0.84216500000000005</v>
      </c>
      <c r="C5" s="1">
        <f t="shared" si="0"/>
        <v>4.9219295727178514</v>
      </c>
      <c r="D5" s="1">
        <f t="shared" si="1"/>
        <v>-137.63205588780178</v>
      </c>
      <c r="E5" s="1">
        <f t="shared" si="2"/>
        <v>-561.25828187626246</v>
      </c>
      <c r="G5" s="1">
        <f t="shared" si="3"/>
        <v>-0.38304100000000002</v>
      </c>
    </row>
    <row r="6" spans="1:7" x14ac:dyDescent="0.15">
      <c r="A6" s="1">
        <v>0.59363699999999997</v>
      </c>
      <c r="B6" s="1">
        <v>-0.38304100000000002</v>
      </c>
      <c r="C6" s="1">
        <f t="shared" si="0"/>
        <v>-0.77488445247720072</v>
      </c>
      <c r="D6" s="1">
        <f t="shared" si="1"/>
        <v>270.51171910501637</v>
      </c>
      <c r="E6" s="1">
        <f t="shared" si="2"/>
        <v>-1934.6566305846707</v>
      </c>
      <c r="G6" s="1">
        <f t="shared" si="3"/>
        <v>1.1259699999999999E-2</v>
      </c>
    </row>
    <row r="7" spans="1:7" x14ac:dyDescent="0.15">
      <c r="A7" s="1">
        <v>0.67374800000000001</v>
      </c>
      <c r="B7" s="1">
        <v>1.1259699999999999E-2</v>
      </c>
      <c r="C7" s="1">
        <f t="shared" si="0"/>
        <v>-21.776435124508659</v>
      </c>
      <c r="D7" s="1">
        <f t="shared" si="1"/>
        <v>178.4445943208799</v>
      </c>
      <c r="E7" s="1">
        <f t="shared" si="2"/>
        <v>1779.1460177032823</v>
      </c>
      <c r="G7" s="1">
        <f t="shared" si="3"/>
        <v>-4.4904699999999999E-2</v>
      </c>
    </row>
    <row r="8" spans="1:7" x14ac:dyDescent="0.15">
      <c r="A8" s="1">
        <v>0.74622900000000003</v>
      </c>
      <c r="B8" s="1">
        <v>-4.4904699999999999E-2</v>
      </c>
      <c r="C8" s="1">
        <f t="shared" si="0"/>
        <v>0.9265314130989285</v>
      </c>
      <c r="D8" s="1">
        <f t="shared" si="1"/>
        <v>-230.427672643515</v>
      </c>
      <c r="E8" s="1">
        <f t="shared" si="2"/>
        <v>1056.1082229858018</v>
      </c>
      <c r="G8" s="1">
        <f t="shared" si="3"/>
        <v>-0.29413600000000001</v>
      </c>
    </row>
    <row r="9" spans="1:7" x14ac:dyDescent="0.15">
      <c r="A9" s="1">
        <v>0.75767399999999996</v>
      </c>
      <c r="B9" s="1">
        <v>-0.29413600000000001</v>
      </c>
      <c r="C9" s="1">
        <f t="shared" si="0"/>
        <v>25.705347780496307</v>
      </c>
      <c r="D9" s="1">
        <f t="shared" si="1"/>
        <v>36.98509040135913</v>
      </c>
      <c r="E9" s="1">
        <f t="shared" si="2"/>
        <v>-5162.5882905679491</v>
      </c>
      <c r="G9" s="1">
        <f t="shared" si="3"/>
        <v>-0.17608199999999999</v>
      </c>
    </row>
    <row r="10" spans="1:7" x14ac:dyDescent="0.15">
      <c r="A10" s="1">
        <v>0.88508900000000001</v>
      </c>
      <c r="B10" s="1">
        <v>-0.17608199999999999</v>
      </c>
      <c r="C10" s="1">
        <f t="shared" si="0"/>
        <v>-6.2916084151095575</v>
      </c>
      <c r="D10" s="1">
        <f t="shared" si="1"/>
        <v>215.06077842011021</v>
      </c>
      <c r="E10" s="1">
        <f t="shared" si="2"/>
        <v>28183.315687036335</v>
      </c>
      <c r="G10" s="1">
        <f t="shared" si="3"/>
        <v>0.11809</v>
      </c>
    </row>
    <row r="11" spans="1:7" x14ac:dyDescent="0.15">
      <c r="A11" s="1">
        <v>0.89653300000000002</v>
      </c>
      <c r="B11" s="1">
        <v>0.11809</v>
      </c>
      <c r="C11" s="1">
        <f t="shared" si="0"/>
        <v>-4.7678226905735608</v>
      </c>
      <c r="D11" s="1">
        <f t="shared" si="1"/>
        <v>-194.58027725987532</v>
      </c>
      <c r="E11" s="1">
        <f t="shared" si="2"/>
        <v>-92869.649041895114</v>
      </c>
      <c r="G11" s="1">
        <f t="shared" si="3"/>
        <v>-6.9123100000000007E-2</v>
      </c>
    </row>
    <row r="12" spans="1:7" x14ac:dyDescent="0.15">
      <c r="A12" s="1">
        <v>0.92628900000000003</v>
      </c>
      <c r="B12" s="1">
        <v>-6.9123100000000007E-2</v>
      </c>
      <c r="C12" s="1">
        <f t="shared" si="0"/>
        <v>9.8356644072655968</v>
      </c>
      <c r="D12" s="1">
        <f t="shared" si="1"/>
        <v>3095.4554460976815</v>
      </c>
      <c r="E12" s="1">
        <f t="shared" si="2"/>
        <v>98284.382949558159</v>
      </c>
      <c r="G12" s="1">
        <f t="shared" si="3"/>
        <v>-0.25100600000000001</v>
      </c>
    </row>
    <row r="13" spans="1:7" x14ac:dyDescent="0.15">
      <c r="A13" s="1">
        <v>0.96443699999999999</v>
      </c>
      <c r="B13" s="1">
        <v>-0.25100600000000001</v>
      </c>
      <c r="C13" s="1">
        <f t="shared" si="0"/>
        <v>-7.0891226890755918</v>
      </c>
      <c r="D13" s="1">
        <f t="shared" si="1"/>
        <v>-7745.3115562117791</v>
      </c>
      <c r="E13" s="1">
        <f t="shared" si="2"/>
        <v>-1974.7056531634639</v>
      </c>
      <c r="G13" s="1">
        <f t="shared" si="3"/>
        <v>0.229299</v>
      </c>
    </row>
    <row r="14" spans="1:7" x14ac:dyDescent="0.15">
      <c r="A14" s="1">
        <v>1.0132699999999999</v>
      </c>
      <c r="B14" s="1">
        <v>0.229299</v>
      </c>
      <c r="C14" s="1">
        <f t="shared" si="0"/>
        <v>236.16105263161873</v>
      </c>
      <c r="D14" s="1">
        <f t="shared" si="1"/>
        <v>52.866240155008576</v>
      </c>
      <c r="E14" s="1">
        <f t="shared" si="2"/>
        <v>104771.375588361</v>
      </c>
      <c r="G14" s="1">
        <f t="shared" si="3"/>
        <v>1.83976E-2</v>
      </c>
    </row>
    <row r="15" spans="1:7" x14ac:dyDescent="0.15">
      <c r="A15" s="1">
        <v>1.0430200000000001</v>
      </c>
      <c r="B15" s="1">
        <v>1.83976E-2</v>
      </c>
      <c r="C15" s="1">
        <f t="shared" si="0"/>
        <v>-0.14840294840294727</v>
      </c>
      <c r="D15" s="1">
        <f t="shared" si="1"/>
        <v>-55.604341373260787</v>
      </c>
      <c r="E15" s="1">
        <f t="shared" si="2"/>
        <v>-133094.49764573039</v>
      </c>
      <c r="G15" s="1">
        <f t="shared" si="3"/>
        <v>0.19788</v>
      </c>
    </row>
    <row r="16" spans="1:7" x14ac:dyDescent="0.15">
      <c r="A16" s="1">
        <v>1.0437799999999999</v>
      </c>
      <c r="B16" s="1">
        <v>0.19788</v>
      </c>
      <c r="C16" s="1">
        <f t="shared" si="0"/>
        <v>1.1827689787001676</v>
      </c>
      <c r="D16" s="1">
        <f t="shared" si="1"/>
        <v>6419.2666699874344</v>
      </c>
      <c r="E16" s="1">
        <f t="shared" si="2"/>
        <v>113513.21710148858</v>
      </c>
      <c r="G16" s="1">
        <f t="shared" si="3"/>
        <v>0.19425600000000001</v>
      </c>
    </row>
    <row r="17" spans="1:7" x14ac:dyDescent="0.15">
      <c r="A17" s="1">
        <v>1.0682</v>
      </c>
      <c r="B17" s="1">
        <v>0.19425600000000001</v>
      </c>
      <c r="C17" s="1">
        <f t="shared" si="0"/>
        <v>-2.2113200187236703</v>
      </c>
      <c r="D17" s="1">
        <f t="shared" si="1"/>
        <v>-10234.847820422801</v>
      </c>
      <c r="E17" s="1">
        <f t="shared" si="2"/>
        <v>-21606.143163377848</v>
      </c>
      <c r="G17" s="1">
        <f t="shared" si="3"/>
        <v>0.237569</v>
      </c>
    </row>
    <row r="18" spans="1:7" x14ac:dyDescent="0.15">
      <c r="A18" s="1">
        <v>1.1048199999999999</v>
      </c>
      <c r="B18" s="1">
        <v>0.237569</v>
      </c>
      <c r="C18" s="1">
        <f t="shared" si="0"/>
        <v>644.2730263157099</v>
      </c>
      <c r="D18" s="1">
        <f t="shared" si="1"/>
        <v>1283.338318865239</v>
      </c>
      <c r="E18" s="1">
        <f t="shared" si="2"/>
        <v>18894.827399071299</v>
      </c>
      <c r="G18" s="1">
        <f t="shared" si="3"/>
        <v>9.58455E-2</v>
      </c>
    </row>
    <row r="19" spans="1:7" x14ac:dyDescent="0.15">
      <c r="A19" s="1">
        <v>1.1689099999999999</v>
      </c>
      <c r="B19" s="1">
        <v>9.58455E-2</v>
      </c>
      <c r="C19" s="1">
        <f t="shared" si="0"/>
        <v>-19.456854838709599</v>
      </c>
      <c r="D19" s="1">
        <f t="shared" si="1"/>
        <v>-546.48594564123448</v>
      </c>
      <c r="E19" s="1">
        <f t="shared" si="2"/>
        <v>-6224.7311502172242</v>
      </c>
      <c r="G19" s="1">
        <f t="shared" si="3"/>
        <v>0.58549300000000004</v>
      </c>
    </row>
    <row r="20" spans="1:7" x14ac:dyDescent="0.15">
      <c r="A20" s="1">
        <v>1.16967</v>
      </c>
      <c r="B20" s="1">
        <v>0.58549300000000004</v>
      </c>
      <c r="C20" s="1">
        <f t="shared" si="0"/>
        <v>6.9799145299145486</v>
      </c>
      <c r="D20" s="1">
        <f t="shared" si="1"/>
        <v>505.95594048703845</v>
      </c>
      <c r="E20" s="1">
        <f t="shared" si="2"/>
        <v>-18895.113161505247</v>
      </c>
      <c r="G20" s="1">
        <f t="shared" si="3"/>
        <v>0.19946900000000001</v>
      </c>
    </row>
    <row r="21" spans="1:7" x14ac:dyDescent="0.15">
      <c r="A21" s="1">
        <v>1.1895100000000001</v>
      </c>
      <c r="B21" s="1">
        <v>0.19946900000000001</v>
      </c>
      <c r="C21" s="1">
        <f t="shared" si="0"/>
        <v>-23.044023323614866</v>
      </c>
      <c r="D21" s="1">
        <f t="shared" si="1"/>
        <v>121.26755540361351</v>
      </c>
      <c r="E21" s="1">
        <f t="shared" si="2"/>
        <v>84465.278745966498</v>
      </c>
      <c r="G21" s="1">
        <f t="shared" si="3"/>
        <v>0.44446400000000003</v>
      </c>
    </row>
    <row r="22" spans="1:7" x14ac:dyDescent="0.15">
      <c r="A22" s="1">
        <v>1.22461</v>
      </c>
      <c r="B22" s="1">
        <v>0.44446400000000003</v>
      </c>
      <c r="C22" s="1">
        <f t="shared" si="0"/>
        <v>-1.8141120607787324</v>
      </c>
      <c r="D22" s="1">
        <f t="shared" si="1"/>
        <v>-1666.3991008063954</v>
      </c>
      <c r="E22" s="1">
        <f t="shared" si="2"/>
        <v>-67081.364943187175</v>
      </c>
      <c r="G22" s="1">
        <f t="shared" si="3"/>
        <v>0.28638200000000003</v>
      </c>
    </row>
    <row r="23" spans="1:7" x14ac:dyDescent="0.15">
      <c r="A23" s="1">
        <v>1.2314700000000001</v>
      </c>
      <c r="B23" s="1">
        <v>0.28638200000000003</v>
      </c>
      <c r="C23" s="1">
        <f t="shared" si="0"/>
        <v>5.4025201612903011</v>
      </c>
      <c r="D23" s="1">
        <f t="shared" si="1"/>
        <v>5035.9207676860487</v>
      </c>
      <c r="E23" s="1">
        <f t="shared" si="2"/>
        <v>499.26215233680131</v>
      </c>
      <c r="G23" s="1">
        <f t="shared" si="3"/>
        <v>0.19086900000000001</v>
      </c>
    </row>
    <row r="24" spans="1:7" x14ac:dyDescent="0.15">
      <c r="A24" s="1">
        <v>1.2841199999999999</v>
      </c>
      <c r="B24" s="1">
        <v>0.19086900000000001</v>
      </c>
      <c r="C24" s="1">
        <f t="shared" si="0"/>
        <v>-115.39475065616521</v>
      </c>
      <c r="D24" s="1">
        <f t="shared" si="1"/>
        <v>-82.387377479134528</v>
      </c>
      <c r="E24" s="1">
        <f t="shared" si="2"/>
        <v>19882.526304032355</v>
      </c>
      <c r="G24" s="1">
        <f t="shared" si="3"/>
        <v>0.29805500000000001</v>
      </c>
    </row>
    <row r="25" spans="1:7" x14ac:dyDescent="0.15">
      <c r="A25" s="1">
        <v>1.30396</v>
      </c>
      <c r="B25" s="1">
        <v>0.29805500000000001</v>
      </c>
      <c r="C25" s="1">
        <f t="shared" si="0"/>
        <v>3.7047754996106979</v>
      </c>
      <c r="D25" s="1">
        <f t="shared" si="1"/>
        <v>6.3664553417786331</v>
      </c>
      <c r="E25" s="1">
        <f t="shared" si="2"/>
        <v>-57503.378408427932</v>
      </c>
      <c r="G25" s="1">
        <f t="shared" si="3"/>
        <v>-0.141599</v>
      </c>
    </row>
    <row r="26" spans="1:7" x14ac:dyDescent="0.15">
      <c r="A26" s="1">
        <v>1.3077700000000001</v>
      </c>
      <c r="B26" s="1">
        <v>-0.141599</v>
      </c>
      <c r="C26" s="1">
        <f t="shared" si="0"/>
        <v>-9.3066630256690104</v>
      </c>
      <c r="D26" s="1">
        <f t="shared" si="1"/>
        <v>3510.4628911644395</v>
      </c>
      <c r="E26" s="1">
        <f t="shared" si="2"/>
        <v>222920.51488705876</v>
      </c>
      <c r="G26" s="1">
        <f t="shared" si="3"/>
        <v>0.42938100000000001</v>
      </c>
    </row>
    <row r="27" spans="1:7" x14ac:dyDescent="0.15">
      <c r="A27" s="1">
        <v>1.4618899999999999</v>
      </c>
      <c r="B27" s="1">
        <v>0.42938100000000001</v>
      </c>
      <c r="C27" s="1">
        <f t="shared" si="0"/>
        <v>-8.2088951310861216</v>
      </c>
      <c r="D27" s="1">
        <f t="shared" si="1"/>
        <v>-7018.9807292027926</v>
      </c>
      <c r="E27" s="1">
        <f t="shared" si="2"/>
        <v>-5648.7551561132223</v>
      </c>
      <c r="G27" s="1">
        <f t="shared" si="3"/>
        <v>0.25897599999999998</v>
      </c>
    </row>
    <row r="28" spans="1:7" x14ac:dyDescent="0.15">
      <c r="A28" s="1">
        <v>1.4802</v>
      </c>
      <c r="B28" s="1">
        <v>0.25897599999999998</v>
      </c>
      <c r="C28" s="1">
        <f t="shared" si="0"/>
        <v>93.559424083771233</v>
      </c>
      <c r="D28" s="1">
        <f t="shared" si="1"/>
        <v>295.04136424160686</v>
      </c>
      <c r="E28" s="1">
        <f t="shared" si="2"/>
        <v>-3616.3563759814488</v>
      </c>
      <c r="G28" s="1">
        <f t="shared" si="3"/>
        <v>0.17130500000000001</v>
      </c>
    </row>
    <row r="29" spans="1:7" x14ac:dyDescent="0.15">
      <c r="A29" s="1">
        <v>1.49088</v>
      </c>
      <c r="B29" s="1">
        <v>0.17130500000000001</v>
      </c>
      <c r="C29" s="1">
        <f t="shared" si="0"/>
        <v>-8.2157964896689641</v>
      </c>
      <c r="D29" s="1">
        <f t="shared" si="1"/>
        <v>-41.116055098690723</v>
      </c>
      <c r="E29" s="1">
        <f t="shared" si="2"/>
        <v>3957.7343959294217</v>
      </c>
      <c r="G29" s="1">
        <f t="shared" si="3"/>
        <v>0.52870200000000001</v>
      </c>
    </row>
    <row r="30" spans="1:7" x14ac:dyDescent="0.15">
      <c r="A30" s="1">
        <v>1.4946999999999999</v>
      </c>
      <c r="B30" s="1">
        <v>0.52870200000000001</v>
      </c>
      <c r="C30" s="1">
        <f t="shared" si="0"/>
        <v>6.1910733262486772</v>
      </c>
      <c r="D30" s="1">
        <f t="shared" si="1"/>
        <v>-319.79247743182083</v>
      </c>
      <c r="E30" s="1">
        <f t="shared" si="2"/>
        <v>-1823.4828586315257</v>
      </c>
      <c r="G30" s="1">
        <f t="shared" si="3"/>
        <v>0.15890899999999999</v>
      </c>
    </row>
    <row r="31" spans="1:7" x14ac:dyDescent="0.15">
      <c r="A31" s="1">
        <v>1.5397099999999999</v>
      </c>
      <c r="B31" s="1">
        <v>0.15890899999999999</v>
      </c>
      <c r="C31" s="1">
        <f t="shared" si="0"/>
        <v>3.1797334508205699</v>
      </c>
      <c r="D31" s="1">
        <f t="shared" si="1"/>
        <v>329.39469553248267</v>
      </c>
      <c r="E31" s="1">
        <f t="shared" si="2"/>
        <v>-541.37339634921682</v>
      </c>
      <c r="G31" s="1">
        <f t="shared" si="3"/>
        <v>0.33368300000000001</v>
      </c>
    </row>
    <row r="32" spans="1:7" x14ac:dyDescent="0.15">
      <c r="A32" s="1">
        <v>1.5679399999999999</v>
      </c>
      <c r="B32" s="1">
        <v>0.33368300000000001</v>
      </c>
      <c r="C32" s="1">
        <f t="shared" si="0"/>
        <v>-34.881967213114784</v>
      </c>
      <c r="D32" s="1">
        <f t="shared" si="1"/>
        <v>106.8021429793321</v>
      </c>
      <c r="E32" s="1">
        <f t="shared" si="2"/>
        <v>-548.48264326661729</v>
      </c>
      <c r="G32" s="1">
        <f t="shared" si="3"/>
        <v>0.62237100000000001</v>
      </c>
    </row>
    <row r="33" spans="1:7" x14ac:dyDescent="0.15">
      <c r="A33" s="1">
        <v>1.65873</v>
      </c>
      <c r="B33" s="1">
        <v>0.62237100000000001</v>
      </c>
      <c r="C33" s="1">
        <f t="shared" si="0"/>
        <v>-3.9715689843465607</v>
      </c>
      <c r="D33" s="1">
        <f t="shared" si="1"/>
        <v>26.256609070495557</v>
      </c>
      <c r="E33" s="1">
        <f t="shared" si="2"/>
        <v>-5028.4440174992133</v>
      </c>
      <c r="G33" s="1">
        <f t="shared" si="3"/>
        <v>0.51598100000000002</v>
      </c>
    </row>
    <row r="34" spans="1:7" x14ac:dyDescent="0.15">
      <c r="A34" s="1">
        <v>1.66178</v>
      </c>
      <c r="B34" s="1">
        <v>0.51598100000000002</v>
      </c>
      <c r="C34" s="1">
        <f t="shared" si="0"/>
        <v>2.2218872870249067</v>
      </c>
      <c r="D34" s="1">
        <f t="shared" si="1"/>
        <v>-26.474512253156977</v>
      </c>
      <c r="E34" s="1">
        <f t="shared" si="2"/>
        <v>9956.0227641726106</v>
      </c>
      <c r="G34" s="1">
        <f t="shared" si="3"/>
        <v>0.29778300000000002</v>
      </c>
    </row>
    <row r="35" spans="1:7" x14ac:dyDescent="0.15">
      <c r="A35" s="1">
        <v>1.71672</v>
      </c>
      <c r="B35" s="1">
        <v>0.29778300000000002</v>
      </c>
      <c r="C35" s="1">
        <f t="shared" si="0"/>
        <v>4.6661150253973354</v>
      </c>
      <c r="D35" s="1">
        <f t="shared" si="1"/>
        <v>-801.45830423013592</v>
      </c>
      <c r="E35" s="1">
        <f t="shared" si="2"/>
        <v>-9724.8149771425633</v>
      </c>
      <c r="G35" s="1">
        <f t="shared" si="3"/>
        <v>0.382548</v>
      </c>
    </row>
    <row r="36" spans="1:7" x14ac:dyDescent="0.15">
      <c r="A36" s="1">
        <v>1.7548699999999999</v>
      </c>
      <c r="B36" s="1">
        <v>0.382548</v>
      </c>
      <c r="C36" s="1">
        <f t="shared" si="0"/>
        <v>2.040372900129225</v>
      </c>
      <c r="D36" s="1">
        <f t="shared" si="1"/>
        <v>1264.6155397909636</v>
      </c>
      <c r="E36" s="1">
        <f t="shared" si="2"/>
        <v>3107.3542947570872</v>
      </c>
      <c r="G36" s="1">
        <f t="shared" si="3"/>
        <v>0.66732100000000005</v>
      </c>
    </row>
    <row r="37" spans="1:7" x14ac:dyDescent="0.15">
      <c r="A37" s="1">
        <v>1.8159000000000001</v>
      </c>
      <c r="B37" s="1">
        <v>0.66732100000000005</v>
      </c>
      <c r="C37" s="1">
        <f t="shared" si="0"/>
        <v>-133.70262008732891</v>
      </c>
      <c r="D37" s="1">
        <f t="shared" si="1"/>
        <v>-404.74619918533028</v>
      </c>
      <c r="E37" s="1">
        <f t="shared" si="2"/>
        <v>2190.0080333374663</v>
      </c>
      <c r="G37" s="1">
        <f t="shared" si="3"/>
        <v>0.88837500000000003</v>
      </c>
    </row>
    <row r="38" spans="1:7" x14ac:dyDescent="0.15">
      <c r="A38" s="1">
        <v>1.92424</v>
      </c>
      <c r="B38" s="1">
        <v>0.88837500000000003</v>
      </c>
      <c r="C38" s="1">
        <f t="shared" si="0"/>
        <v>6.2017970797454094</v>
      </c>
      <c r="D38" s="1">
        <f t="shared" si="1"/>
        <v>22.017839656608142</v>
      </c>
      <c r="E38" s="1">
        <f t="shared" si="2"/>
        <v>-4123.9912780309469</v>
      </c>
      <c r="G38" s="1">
        <f t="shared" si="3"/>
        <v>0.58219600000000005</v>
      </c>
    </row>
    <row r="39" spans="1:7" x14ac:dyDescent="0.15">
      <c r="A39" s="1">
        <v>1.9265300000000001</v>
      </c>
      <c r="B39" s="1">
        <v>0.58219600000000005</v>
      </c>
      <c r="C39" s="1">
        <f t="shared" si="0"/>
        <v>-5.5358426966292242</v>
      </c>
      <c r="D39" s="1">
        <f t="shared" si="1"/>
        <v>202.47450160361544</v>
      </c>
      <c r="E39" s="1">
        <f t="shared" si="2"/>
        <v>2190.5286262670847</v>
      </c>
      <c r="G39" s="1">
        <f t="shared" si="3"/>
        <v>0.74784600000000001</v>
      </c>
    </row>
    <row r="40" spans="1:7" x14ac:dyDescent="0.15">
      <c r="A40" s="1">
        <v>1.9532400000000001</v>
      </c>
      <c r="B40" s="1">
        <v>0.74784600000000001</v>
      </c>
      <c r="C40" s="1">
        <f t="shared" si="0"/>
        <v>-3.771993561738348</v>
      </c>
      <c r="D40" s="1">
        <f t="shared" si="1"/>
        <v>-307.25082036100838</v>
      </c>
      <c r="E40" s="1">
        <f t="shared" si="2"/>
        <v>2928.3122729057295</v>
      </c>
      <c r="G40" s="1">
        <f t="shared" si="3"/>
        <v>0.45223200000000002</v>
      </c>
    </row>
    <row r="41" spans="1:7" x14ac:dyDescent="0.15">
      <c r="A41" s="1">
        <v>2.00664</v>
      </c>
      <c r="B41" s="1">
        <v>0.45223200000000002</v>
      </c>
      <c r="C41" s="1">
        <f t="shared" si="0"/>
        <v>15.845760898635891</v>
      </c>
      <c r="D41" s="1">
        <f t="shared" si="1"/>
        <v>-13.106636425864329</v>
      </c>
      <c r="E41" s="1">
        <f t="shared" si="2"/>
        <v>-2195.0438077013796</v>
      </c>
      <c r="G41" s="1">
        <f t="shared" si="3"/>
        <v>0.288188</v>
      </c>
    </row>
    <row r="42" spans="1:7" x14ac:dyDescent="0.15">
      <c r="A42" s="1">
        <v>2.0501299999999998</v>
      </c>
      <c r="B42" s="1">
        <v>0.288188</v>
      </c>
      <c r="C42" s="1">
        <f t="shared" si="0"/>
        <v>-9.0046854521624873</v>
      </c>
      <c r="D42" s="1">
        <f t="shared" si="1"/>
        <v>313.10735077583439</v>
      </c>
      <c r="E42" s="1">
        <f t="shared" si="2"/>
        <v>-2786.5006239492527</v>
      </c>
      <c r="G42" s="1">
        <f t="shared" si="3"/>
        <v>0.88066100000000003</v>
      </c>
    </row>
    <row r="43" spans="1:7" x14ac:dyDescent="0.15">
      <c r="A43" s="1">
        <v>2.08752</v>
      </c>
      <c r="B43" s="1">
        <v>0.88066100000000003</v>
      </c>
      <c r="C43" s="1">
        <f t="shared" si="0"/>
        <v>-9.8947571318429386</v>
      </c>
      <c r="D43" s="1">
        <f t="shared" si="1"/>
        <v>135.57220760894666</v>
      </c>
      <c r="E43" s="1">
        <f t="shared" si="2"/>
        <v>1459.8779685028646</v>
      </c>
      <c r="G43" s="1">
        <f t="shared" si="3"/>
        <v>0.60583799999999999</v>
      </c>
    </row>
    <row r="44" spans="1:7" x14ac:dyDescent="0.15">
      <c r="A44" s="1">
        <v>2.1180400000000001</v>
      </c>
      <c r="B44" s="1">
        <v>0.60583799999999999</v>
      </c>
      <c r="C44" s="1">
        <f t="shared" si="0"/>
        <v>3.7222815533980391</v>
      </c>
      <c r="D44" s="1">
        <f t="shared" si="1"/>
        <v>-157.81844308667047</v>
      </c>
      <c r="E44" s="1">
        <f t="shared" si="2"/>
        <v>132.84876967766243</v>
      </c>
      <c r="G44" s="1">
        <f t="shared" si="3"/>
        <v>0.47750300000000001</v>
      </c>
    </row>
    <row r="45" spans="1:7" x14ac:dyDescent="0.15">
      <c r="A45" s="1">
        <v>2.1310099999999998</v>
      </c>
      <c r="B45" s="1">
        <v>0.47750300000000001</v>
      </c>
      <c r="C45" s="1">
        <f t="shared" si="0"/>
        <v>13.859015516318982</v>
      </c>
      <c r="D45" s="1">
        <f t="shared" si="1"/>
        <v>5.9068710809254403</v>
      </c>
      <c r="E45" s="1">
        <f t="shared" si="2"/>
        <v>-376.62011095751762</v>
      </c>
      <c r="G45" s="1">
        <f t="shared" si="3"/>
        <v>0.70753999999999995</v>
      </c>
    </row>
    <row r="46" spans="1:7" x14ac:dyDescent="0.15">
      <c r="A46" s="1">
        <v>2.1928100000000001</v>
      </c>
      <c r="B46" s="1">
        <v>0.70753999999999995</v>
      </c>
      <c r="C46" s="1">
        <f t="shared" si="0"/>
        <v>-1.7934176690170027</v>
      </c>
      <c r="D46" s="1">
        <f t="shared" si="1"/>
        <v>51.11265042684046</v>
      </c>
      <c r="E46" s="1">
        <f t="shared" si="2"/>
        <v>-659.48869769239741</v>
      </c>
      <c r="G46" s="1">
        <f t="shared" si="3"/>
        <v>1.22559</v>
      </c>
    </row>
    <row r="47" spans="1:7" x14ac:dyDescent="0.15">
      <c r="A47" s="1">
        <v>2.2301899999999999</v>
      </c>
      <c r="B47" s="1">
        <v>1.22559</v>
      </c>
      <c r="C47" s="1">
        <f t="shared" si="0"/>
        <v>-0.14847221040088576</v>
      </c>
      <c r="D47" s="1">
        <f t="shared" si="1"/>
        <v>-98.017614909007676</v>
      </c>
      <c r="E47" s="1">
        <f t="shared" si="2"/>
        <v>3661.2625089972735</v>
      </c>
      <c r="G47" s="1">
        <f t="shared" si="3"/>
        <v>0.79319700000000004</v>
      </c>
    </row>
    <row r="48" spans="1:7" x14ac:dyDescent="0.15">
      <c r="A48" s="1">
        <v>2.4712900000000002</v>
      </c>
      <c r="B48" s="1">
        <v>0.79319700000000004</v>
      </c>
      <c r="C48" s="1">
        <f t="shared" si="0"/>
        <v>18.180013106159834</v>
      </c>
      <c r="D48" s="1">
        <f t="shared" si="1"/>
        <v>-344.56746454131047</v>
      </c>
      <c r="E48" s="1">
        <f t="shared" si="2"/>
        <v>-7791.0424513440375</v>
      </c>
      <c r="G48" s="1">
        <f t="shared" si="3"/>
        <v>0.77575300000000003</v>
      </c>
    </row>
    <row r="49" spans="1:7" x14ac:dyDescent="0.15">
      <c r="A49" s="1">
        <v>2.5887799999999999</v>
      </c>
      <c r="B49" s="1">
        <v>0.77575300000000003</v>
      </c>
      <c r="C49" s="1">
        <f t="shared" si="0"/>
        <v>5.1681747269890943</v>
      </c>
      <c r="D49" s="1">
        <f t="shared" si="1"/>
        <v>258.80859694143874</v>
      </c>
      <c r="E49" s="1">
        <f t="shared" si="2"/>
        <v>4182.5475832371967</v>
      </c>
      <c r="G49" s="1">
        <f t="shared" si="3"/>
        <v>1.05318</v>
      </c>
    </row>
    <row r="50" spans="1:7" x14ac:dyDescent="0.15">
      <c r="A50" s="1">
        <v>2.6040399999999999</v>
      </c>
      <c r="B50" s="1">
        <v>1.05318</v>
      </c>
      <c r="C50" s="1">
        <f t="shared" si="0"/>
        <v>-11.13331202046029</v>
      </c>
      <c r="D50" s="1">
        <f t="shared" si="1"/>
        <v>-353.48942930969037</v>
      </c>
      <c r="E50" s="1">
        <f t="shared" si="2"/>
        <v>24107.618694926809</v>
      </c>
      <c r="G50" s="1">
        <f t="shared" si="3"/>
        <v>1.21882</v>
      </c>
    </row>
    <row r="51" spans="1:7" x14ac:dyDescent="0.15">
      <c r="A51" s="1">
        <v>2.6360899999999998</v>
      </c>
      <c r="B51" s="1">
        <v>1.21882</v>
      </c>
      <c r="C51" s="1">
        <f t="shared" si="0"/>
        <v>5.2570364238410532</v>
      </c>
      <c r="D51" s="1">
        <f t="shared" si="1"/>
        <v>214.54235796975419</v>
      </c>
      <c r="E51" s="1">
        <f t="shared" si="2"/>
        <v>-94888.15469031845</v>
      </c>
      <c r="G51" s="1">
        <f t="shared" si="3"/>
        <v>0.87056999999999995</v>
      </c>
    </row>
    <row r="52" spans="1:7" x14ac:dyDescent="0.15">
      <c r="A52" s="1">
        <v>2.66737</v>
      </c>
      <c r="B52" s="1">
        <v>0.87056999999999995</v>
      </c>
      <c r="C52" s="1">
        <f t="shared" si="0"/>
        <v>-31.421026761332524</v>
      </c>
      <c r="D52" s="1">
        <f t="shared" si="1"/>
        <v>3157.3593720594777</v>
      </c>
      <c r="E52" s="1">
        <f t="shared" si="2"/>
        <v>212395.6856717917</v>
      </c>
      <c r="G52" s="1">
        <f t="shared" si="3"/>
        <v>1.2516</v>
      </c>
    </row>
    <row r="53" spans="1:7" x14ac:dyDescent="0.15">
      <c r="A53" s="1">
        <v>2.7398500000000001</v>
      </c>
      <c r="B53" s="1">
        <v>1.2516</v>
      </c>
      <c r="C53" s="1">
        <f t="shared" si="0"/>
        <v>-11.942726081258508</v>
      </c>
      <c r="D53" s="1">
        <f t="shared" si="1"/>
        <v>-6181.5328125616597</v>
      </c>
      <c r="E53" s="1">
        <f t="shared" si="2"/>
        <v>-49501.210048886911</v>
      </c>
      <c r="G53" s="1">
        <f t="shared" si="3"/>
        <v>0.67628100000000002</v>
      </c>
    </row>
    <row r="54" spans="1:7" x14ac:dyDescent="0.15">
      <c r="A54" s="1">
        <v>2.7581600000000002</v>
      </c>
      <c r="B54" s="1">
        <v>0.67628100000000002</v>
      </c>
      <c r="C54" s="1">
        <f t="shared" si="0"/>
        <v>69.959176029963871</v>
      </c>
      <c r="D54" s="1">
        <f t="shared" si="1"/>
        <v>462.20423525193166</v>
      </c>
      <c r="E54" s="1">
        <f t="shared" si="2"/>
        <v>14854.465780999115</v>
      </c>
      <c r="G54" s="1">
        <f t="shared" si="3"/>
        <v>0.58515799999999996</v>
      </c>
    </row>
    <row r="55" spans="1:7" x14ac:dyDescent="0.15">
      <c r="A55" s="1">
        <v>2.76579</v>
      </c>
      <c r="B55" s="1">
        <v>0.58515799999999996</v>
      </c>
      <c r="C55" s="1">
        <f t="shared" si="0"/>
        <v>-10.21530454895902</v>
      </c>
      <c r="D55" s="1">
        <f t="shared" si="1"/>
        <v>-1463.8878477502578</v>
      </c>
      <c r="E55" s="1">
        <f t="shared" si="2"/>
        <v>-7101.6592534874972</v>
      </c>
      <c r="G55" s="1">
        <f t="shared" si="3"/>
        <v>0.95874000000000004</v>
      </c>
    </row>
    <row r="56" spans="1:7" x14ac:dyDescent="0.15">
      <c r="A56" s="1">
        <v>2.7711299999999999</v>
      </c>
      <c r="B56" s="1">
        <v>0.95874000000000004</v>
      </c>
      <c r="C56" s="1">
        <f t="shared" si="0"/>
        <v>4.2424439297214924</v>
      </c>
      <c r="D56" s="1">
        <f t="shared" si="1"/>
        <v>1630.1488297740457</v>
      </c>
      <c r="E56" s="1">
        <f t="shared" si="2"/>
        <v>-828.68458893599518</v>
      </c>
      <c r="G56" s="1">
        <f t="shared" si="3"/>
        <v>0.69375500000000001</v>
      </c>
    </row>
    <row r="57" spans="1:7" x14ac:dyDescent="0.15">
      <c r="A57" s="1">
        <v>2.7970700000000002</v>
      </c>
      <c r="B57" s="1">
        <v>0.69375500000000001</v>
      </c>
      <c r="C57" s="1">
        <f t="shared" si="0"/>
        <v>-292.85359477119329</v>
      </c>
      <c r="D57" s="1">
        <f t="shared" si="1"/>
        <v>178.00154562092064</v>
      </c>
      <c r="E57" s="1">
        <f t="shared" si="2"/>
        <v>-2381.7172862595935</v>
      </c>
      <c r="G57" s="1">
        <f t="shared" si="3"/>
        <v>1.4447099999999999</v>
      </c>
    </row>
    <row r="58" spans="1:7" x14ac:dyDescent="0.15">
      <c r="A58" s="1">
        <v>2.9740799999999998</v>
      </c>
      <c r="B58" s="1">
        <v>1.4447099999999999</v>
      </c>
      <c r="C58" s="1">
        <f t="shared" si="0"/>
        <v>-1.8068227033352879</v>
      </c>
      <c r="D58" s="1">
        <f t="shared" si="1"/>
        <v>-40.762899012292515</v>
      </c>
      <c r="E58" s="1">
        <f t="shared" si="2"/>
        <v>2479.9279196416646</v>
      </c>
      <c r="G58" s="1">
        <f t="shared" si="3"/>
        <v>0.99664399999999997</v>
      </c>
    </row>
    <row r="59" spans="1:7" x14ac:dyDescent="0.15">
      <c r="A59" s="1">
        <v>2.9756100000000001</v>
      </c>
      <c r="B59" s="1">
        <v>0.99664399999999997</v>
      </c>
      <c r="C59" s="1">
        <f t="shared" si="0"/>
        <v>13.675751734772399</v>
      </c>
      <c r="D59" s="1">
        <f t="shared" si="1"/>
        <v>-309.70641497672665</v>
      </c>
      <c r="E59" s="1">
        <f t="shared" si="2"/>
        <v>732.73821795440404</v>
      </c>
      <c r="G59" s="1">
        <f t="shared" si="3"/>
        <v>0.84225099999999997</v>
      </c>
    </row>
    <row r="60" spans="1:7" x14ac:dyDescent="0.15">
      <c r="A60" s="1">
        <v>3.0610599999999999</v>
      </c>
      <c r="B60" s="1">
        <v>0.84225099999999997</v>
      </c>
      <c r="C60" s="1">
        <f t="shared" si="0"/>
        <v>9.1351724137931321</v>
      </c>
      <c r="D60" s="1">
        <f t="shared" si="1"/>
        <v>2.4917108269626662</v>
      </c>
      <c r="E60" s="1">
        <f t="shared" si="2"/>
        <v>-4550.8883791787248</v>
      </c>
      <c r="G60" s="1">
        <f t="shared" si="3"/>
        <v>1.1970000000000001</v>
      </c>
    </row>
    <row r="61" spans="1:7" x14ac:dyDescent="0.15">
      <c r="A61" s="1">
        <v>3.0870000000000002</v>
      </c>
      <c r="B61" s="1">
        <v>1.1970000000000001</v>
      </c>
      <c r="C61" s="1">
        <f t="shared" si="0"/>
        <v>-3.3893550078657717</v>
      </c>
      <c r="D61" s="1">
        <f t="shared" si="1"/>
        <v>60.070279993819803</v>
      </c>
      <c r="E61" s="1">
        <f t="shared" si="2"/>
        <v>3259.0635125520412</v>
      </c>
      <c r="G61" s="1">
        <f t="shared" si="3"/>
        <v>1.3294600000000001</v>
      </c>
    </row>
    <row r="62" spans="1:7" x14ac:dyDescent="0.15">
      <c r="A62" s="1">
        <v>3.1015000000000001</v>
      </c>
      <c r="B62" s="1">
        <v>1.3294600000000001</v>
      </c>
      <c r="C62" s="1">
        <f t="shared" si="0"/>
        <v>-3.2581913499344575</v>
      </c>
      <c r="D62" s="1">
        <f t="shared" si="1"/>
        <v>-248.93504095241494</v>
      </c>
      <c r="E62" s="1">
        <f t="shared" si="2"/>
        <v>-2507.8349443772217</v>
      </c>
      <c r="G62" s="1">
        <f t="shared" si="3"/>
        <v>1.2001900000000001</v>
      </c>
    </row>
    <row r="63" spans="1:7" x14ac:dyDescent="0.15">
      <c r="A63" s="1">
        <v>3.13964</v>
      </c>
      <c r="B63" s="1">
        <v>1.2001900000000001</v>
      </c>
      <c r="C63" s="1">
        <f t="shared" si="0"/>
        <v>-5.0438398264486491E-2</v>
      </c>
      <c r="D63" s="1">
        <f t="shared" si="1"/>
        <v>285.64914701149604</v>
      </c>
      <c r="E63" s="1">
        <f t="shared" si="2"/>
        <v>368.76228721003378</v>
      </c>
      <c r="G63" s="1">
        <f t="shared" si="3"/>
        <v>1.1504700000000001</v>
      </c>
    </row>
    <row r="64" spans="1:7" x14ac:dyDescent="0.15">
      <c r="A64" s="1">
        <v>3.1549</v>
      </c>
      <c r="B64" s="1">
        <v>1.1504700000000001</v>
      </c>
      <c r="C64" s="1">
        <f t="shared" si="0"/>
        <v>-31.388870703764017</v>
      </c>
      <c r="D64" s="1">
        <f t="shared" si="1"/>
        <v>-45.385065646297527</v>
      </c>
      <c r="E64" s="1">
        <f t="shared" si="2"/>
        <v>62.953684755834573</v>
      </c>
      <c r="G64" s="1">
        <f t="shared" si="3"/>
        <v>1.14489</v>
      </c>
    </row>
    <row r="65" spans="1:7" x14ac:dyDescent="0.15">
      <c r="A65" s="1">
        <v>3.26553</v>
      </c>
      <c r="B65" s="1">
        <v>1.14489</v>
      </c>
      <c r="C65" s="1">
        <f t="shared" si="0"/>
        <v>1.9578107183580533</v>
      </c>
      <c r="D65" s="1">
        <f t="shared" si="1"/>
        <v>4.1323342802657947</v>
      </c>
      <c r="E65" s="1">
        <f t="shared" si="2"/>
        <v>-158.21963764989388</v>
      </c>
      <c r="G65" s="1">
        <f t="shared" si="3"/>
        <v>0.95310399999999995</v>
      </c>
    </row>
    <row r="66" spans="1:7" x14ac:dyDescent="0.15">
      <c r="A66" s="1">
        <v>3.2716400000000001</v>
      </c>
      <c r="B66" s="1">
        <v>0.95310399999999995</v>
      </c>
      <c r="C66" s="1">
        <f t="shared" ref="C66:C129" si="4">(B68-B67)/(A68-A67)</f>
        <v>0.88445391582311905</v>
      </c>
      <c r="D66" s="1">
        <f t="shared" ref="D66:D129" si="5">(C68-C67)/(A69-A67)</f>
        <v>11.529392239076367</v>
      </c>
      <c r="E66" s="1">
        <f t="shared" ref="E66:E129" si="6" xml:space="preserve"> (D68-D67)/(A70-A67)</f>
        <v>238.12863484874816</v>
      </c>
      <c r="G66" s="1" t="e">
        <f t="shared" ref="G66:G129" si="7" xml:space="preserve"> B67 + C67*(A67-A67) + D67*(A67-A67)*(A67-A68) + E67*(A67-A67)*(A67-A68)*(A67-A69)</f>
        <v>#DIV/0!</v>
      </c>
    </row>
    <row r="67" spans="1:7" x14ac:dyDescent="0.15">
      <c r="A67" s="1">
        <v>3.28918</v>
      </c>
      <c r="B67" s="1">
        <v>0.98744399999999999</v>
      </c>
      <c r="C67" s="1">
        <f t="shared" si="4"/>
        <v>1.3447546313019263</v>
      </c>
      <c r="D67" s="1">
        <f t="shared" si="5"/>
        <v>-36.756076778918249</v>
      </c>
      <c r="E67" s="1" t="e">
        <f t="shared" si="6"/>
        <v>#DIV/0!</v>
      </c>
      <c r="G67" s="1" t="e">
        <f t="shared" si="7"/>
        <v>#DIV/0!</v>
      </c>
    </row>
    <row r="68" spans="1:7" x14ac:dyDescent="0.15">
      <c r="A68" s="1">
        <v>3.3830300000000002</v>
      </c>
      <c r="B68" s="1">
        <v>1.0704499999999999</v>
      </c>
      <c r="C68" s="1">
        <f t="shared" si="4"/>
        <v>4.6610690149498542</v>
      </c>
      <c r="D68" s="1">
        <f t="shared" si="5"/>
        <v>43.367064988639996</v>
      </c>
      <c r="E68" s="1" t="e">
        <f t="shared" si="6"/>
        <v>#DIV/0!</v>
      </c>
      <c r="G68" s="1" t="e">
        <f t="shared" si="7"/>
        <v>#DIV/0!</v>
      </c>
    </row>
    <row r="69" spans="1:7" x14ac:dyDescent="0.15">
      <c r="A69" s="1">
        <v>3.5768200000000001</v>
      </c>
      <c r="B69" s="1">
        <v>1.3310500000000001</v>
      </c>
      <c r="C69" s="1">
        <f t="shared" si="4"/>
        <v>-4.2566903331512789</v>
      </c>
      <c r="D69" s="1" t="e">
        <f t="shared" si="5"/>
        <v>#DIV/0!</v>
      </c>
      <c r="E69" s="1" t="e">
        <f t="shared" si="6"/>
        <v>#DIV/0!</v>
      </c>
      <c r="G69" s="1" t="e">
        <f t="shared" si="7"/>
        <v>#DIV/0!</v>
      </c>
    </row>
    <row r="70" spans="1:7" x14ac:dyDescent="0.15">
      <c r="A70" s="1">
        <v>3.6256499999999998</v>
      </c>
      <c r="B70" s="1">
        <v>1.5586500000000001</v>
      </c>
      <c r="C70" s="1">
        <f t="shared" si="4"/>
        <v>-1.345025589814</v>
      </c>
      <c r="D70" s="1" t="e">
        <f t="shared" si="5"/>
        <v>#DIV/0!</v>
      </c>
      <c r="E70" s="1">
        <f t="shared" si="6"/>
        <v>-2325479.7098632888</v>
      </c>
      <c r="G70" s="1" t="e">
        <f t="shared" si="7"/>
        <v>#DIV/0!</v>
      </c>
    </row>
    <row r="71" spans="1:7" x14ac:dyDescent="0.15">
      <c r="A71" s="1">
        <v>3.6439599999999999</v>
      </c>
      <c r="B71" s="1">
        <v>1.48071</v>
      </c>
      <c r="C71" s="1" t="e">
        <f t="shared" si="4"/>
        <v>#DIV/0!</v>
      </c>
      <c r="D71" s="1">
        <f t="shared" si="5"/>
        <v>103000.4263214126</v>
      </c>
      <c r="E71" s="1">
        <f t="shared" si="6"/>
        <v>22418883.231390797</v>
      </c>
      <c r="G71" s="1">
        <f t="shared" si="7"/>
        <v>1.37296</v>
      </c>
    </row>
    <row r="72" spans="1:7" x14ac:dyDescent="0.15">
      <c r="A72" s="1">
        <v>3.7240700000000002</v>
      </c>
      <c r="B72" s="1">
        <v>1.37296</v>
      </c>
      <c r="C72" s="1">
        <f t="shared" si="4"/>
        <v>-30.29057591623264</v>
      </c>
      <c r="D72" s="1">
        <f t="shared" si="5"/>
        <v>-92177.085727413374</v>
      </c>
      <c r="E72" s="1">
        <f t="shared" si="6"/>
        <v>-1034666.5040692789</v>
      </c>
      <c r="G72" s="1">
        <f t="shared" si="7"/>
        <v>1.37985</v>
      </c>
    </row>
    <row r="73" spans="1:7" x14ac:dyDescent="0.15">
      <c r="A73" s="1">
        <v>3.7240700000000002</v>
      </c>
      <c r="B73" s="1">
        <v>1.37985</v>
      </c>
      <c r="C73" s="1">
        <f t="shared" si="4"/>
        <v>363.17105263153388</v>
      </c>
      <c r="D73" s="1">
        <f t="shared" si="5"/>
        <v>10501.399472352134</v>
      </c>
      <c r="E73" s="1">
        <f t="shared" si="6"/>
        <v>150066.36336141758</v>
      </c>
      <c r="G73" s="1">
        <f t="shared" si="7"/>
        <v>1.26414</v>
      </c>
    </row>
    <row r="74" spans="1:7" x14ac:dyDescent="0.15">
      <c r="A74" s="1">
        <v>3.7278899999999999</v>
      </c>
      <c r="B74" s="1">
        <v>1.26414</v>
      </c>
      <c r="C74" s="1">
        <f t="shared" si="4"/>
        <v>-59.000000000001513</v>
      </c>
      <c r="D74" s="1">
        <f t="shared" si="5"/>
        <v>-2131.8785423333584</v>
      </c>
      <c r="E74" s="1">
        <f t="shared" si="6"/>
        <v>1127.6694828887441</v>
      </c>
      <c r="G74" s="1">
        <f t="shared" si="7"/>
        <v>1.5401499999999999</v>
      </c>
    </row>
    <row r="75" spans="1:7" x14ac:dyDescent="0.15">
      <c r="A75" s="1">
        <v>3.72865</v>
      </c>
      <c r="B75" s="1">
        <v>1.5401499999999999</v>
      </c>
      <c r="C75" s="1">
        <f t="shared" si="4"/>
        <v>29.106741573031822</v>
      </c>
      <c r="D75" s="1">
        <f t="shared" si="5"/>
        <v>-71.467373381058508</v>
      </c>
      <c r="E75" s="1">
        <f t="shared" si="6"/>
        <v>264.79375698653138</v>
      </c>
      <c r="G75" s="1">
        <f t="shared" si="7"/>
        <v>1.0899799999999999</v>
      </c>
    </row>
    <row r="76" spans="1:7" x14ac:dyDescent="0.15">
      <c r="A76" s="1">
        <v>3.7362799999999998</v>
      </c>
      <c r="B76" s="1">
        <v>1.0899799999999999</v>
      </c>
      <c r="C76" s="1">
        <f t="shared" si="4"/>
        <v>1.45627687896785</v>
      </c>
      <c r="D76" s="1">
        <f t="shared" si="5"/>
        <v>53.286701510923265</v>
      </c>
      <c r="E76" s="1">
        <f t="shared" si="6"/>
        <v>-5271.3518224110676</v>
      </c>
      <c r="G76" s="1">
        <f t="shared" si="7"/>
        <v>1.2454099999999999</v>
      </c>
    </row>
    <row r="77" spans="1:7" x14ac:dyDescent="0.15">
      <c r="A77" s="1">
        <v>3.7416200000000002</v>
      </c>
      <c r="B77" s="1">
        <v>1.2454099999999999</v>
      </c>
      <c r="C77" s="1">
        <f t="shared" si="4"/>
        <v>-5.9048625792811897</v>
      </c>
      <c r="D77" s="1">
        <f t="shared" si="5"/>
        <v>86.822830833267503</v>
      </c>
      <c r="E77" s="1">
        <f t="shared" si="6"/>
        <v>22009.544209549997</v>
      </c>
      <c r="G77" s="1">
        <f t="shared" si="7"/>
        <v>1.3876299999999999</v>
      </c>
    </row>
    <row r="78" spans="1:7" x14ac:dyDescent="0.15">
      <c r="A78" s="1">
        <v>3.83928</v>
      </c>
      <c r="B78" s="1">
        <v>1.3876299999999999</v>
      </c>
      <c r="C78" s="1">
        <f t="shared" si="4"/>
        <v>0.55934718100890102</v>
      </c>
      <c r="D78" s="1">
        <f t="shared" si="5"/>
        <v>-978.99179414002572</v>
      </c>
      <c r="E78" s="1">
        <f t="shared" si="6"/>
        <v>-14205.142614911623</v>
      </c>
      <c r="G78" s="1">
        <f t="shared" si="7"/>
        <v>1.2479800000000001</v>
      </c>
    </row>
    <row r="79" spans="1:7" x14ac:dyDescent="0.15">
      <c r="A79" s="1">
        <v>3.86293</v>
      </c>
      <c r="B79" s="1">
        <v>1.2479800000000001</v>
      </c>
      <c r="C79" s="1">
        <f t="shared" si="4"/>
        <v>9.6349376880103534</v>
      </c>
      <c r="D79" s="1">
        <f t="shared" si="5"/>
        <v>2345.9900495966881</v>
      </c>
      <c r="E79" s="1">
        <f t="shared" si="6"/>
        <v>-5801.8944758599991</v>
      </c>
      <c r="G79" s="1">
        <f t="shared" si="7"/>
        <v>1.29322</v>
      </c>
    </row>
    <row r="80" spans="1:7" x14ac:dyDescent="0.15">
      <c r="A80" s="1">
        <v>3.94381</v>
      </c>
      <c r="B80" s="1">
        <v>1.29322</v>
      </c>
      <c r="C80" s="1">
        <f t="shared" si="4"/>
        <v>-115.1081967213116</v>
      </c>
      <c r="D80" s="1">
        <f t="shared" si="5"/>
        <v>492.64509262917039</v>
      </c>
      <c r="E80" s="1">
        <f t="shared" si="6"/>
        <v>4054.320130627892</v>
      </c>
      <c r="G80" s="1">
        <f t="shared" si="7"/>
        <v>1.74163</v>
      </c>
    </row>
    <row r="81" spans="1:7" x14ac:dyDescent="0.15">
      <c r="A81" s="1">
        <v>3.9903499999999998</v>
      </c>
      <c r="B81" s="1">
        <v>1.74163</v>
      </c>
      <c r="C81" s="1">
        <f t="shared" si="4"/>
        <v>1.2294498381877015</v>
      </c>
      <c r="D81" s="1">
        <f t="shared" si="5"/>
        <v>-512.18501164502266</v>
      </c>
      <c r="E81" s="1">
        <f t="shared" si="6"/>
        <v>294.340113784452</v>
      </c>
      <c r="G81" s="1">
        <f t="shared" si="7"/>
        <v>1.39055</v>
      </c>
    </row>
    <row r="82" spans="1:7" x14ac:dyDescent="0.15">
      <c r="A82" s="1">
        <v>3.9933999999999998</v>
      </c>
      <c r="B82" s="1">
        <v>1.39055</v>
      </c>
      <c r="C82" s="1">
        <f t="shared" si="4"/>
        <v>63.622950819672212</v>
      </c>
      <c r="D82" s="1">
        <f t="shared" si="5"/>
        <v>13.660309297415548</v>
      </c>
      <c r="E82" s="1">
        <f t="shared" si="6"/>
        <v>-23959.66236430846</v>
      </c>
      <c r="G82" s="1">
        <f t="shared" si="7"/>
        <v>1.54251</v>
      </c>
    </row>
    <row r="83" spans="1:7" x14ac:dyDescent="0.15">
      <c r="A83" s="1">
        <v>4.117</v>
      </c>
      <c r="B83" s="1">
        <v>1.54251</v>
      </c>
      <c r="C83" s="1">
        <f t="shared" si="4"/>
        <v>-1.2452809051699978</v>
      </c>
      <c r="D83" s="1">
        <f t="shared" si="5"/>
        <v>103.48702522215474</v>
      </c>
      <c r="E83" s="1">
        <f t="shared" si="6"/>
        <v>45825.498536543404</v>
      </c>
      <c r="G83" s="1">
        <f t="shared" si="7"/>
        <v>1.7365600000000001</v>
      </c>
    </row>
    <row r="84" spans="1:7" x14ac:dyDescent="0.15">
      <c r="A84" s="1">
        <v>4.12005</v>
      </c>
      <c r="B84" s="1">
        <v>1.7365600000000001</v>
      </c>
      <c r="C84" s="1">
        <f t="shared" si="4"/>
        <v>1.2351580570547216</v>
      </c>
      <c r="D84" s="1">
        <f t="shared" si="5"/>
        <v>-4557.8652877540671</v>
      </c>
      <c r="E84" s="1">
        <f t="shared" si="6"/>
        <v>-133033.31949462314</v>
      </c>
      <c r="G84" s="1">
        <f t="shared" si="7"/>
        <v>1.51424</v>
      </c>
    </row>
    <row r="85" spans="1:7" x14ac:dyDescent="0.15">
      <c r="A85" s="1">
        <v>4.2985800000000003</v>
      </c>
      <c r="B85" s="1">
        <v>1.51424</v>
      </c>
      <c r="C85" s="1">
        <f t="shared" si="4"/>
        <v>21.052923387097401</v>
      </c>
      <c r="D85" s="1">
        <f t="shared" si="5"/>
        <v>5126.8955729590098</v>
      </c>
      <c r="E85" s="1">
        <f t="shared" si="6"/>
        <v>-139.28884889086572</v>
      </c>
      <c r="G85" s="1">
        <f t="shared" si="7"/>
        <v>1.53026</v>
      </c>
    </row>
    <row r="86" spans="1:7" x14ac:dyDescent="0.15">
      <c r="A86" s="1">
        <v>4.3115500000000004</v>
      </c>
      <c r="B86" s="1">
        <v>1.53026</v>
      </c>
      <c r="C86" s="1">
        <f t="shared" si="4"/>
        <v>-128.49063670411155</v>
      </c>
      <c r="D86" s="1">
        <f t="shared" si="5"/>
        <v>51.674434239149711</v>
      </c>
      <c r="E86" s="1">
        <f t="shared" si="6"/>
        <v>-2615.6407404704696</v>
      </c>
      <c r="G86" s="1">
        <f t="shared" si="7"/>
        <v>1.9479500000000001</v>
      </c>
    </row>
    <row r="87" spans="1:7" x14ac:dyDescent="0.15">
      <c r="A87" s="1">
        <v>4.3313899999999999</v>
      </c>
      <c r="B87" s="1">
        <v>1.9479500000000001</v>
      </c>
      <c r="C87" s="1">
        <f t="shared" si="4"/>
        <v>0.60459382299507181</v>
      </c>
      <c r="D87" s="1">
        <f t="shared" si="5"/>
        <v>37.433542328547709</v>
      </c>
      <c r="E87" s="1">
        <f t="shared" si="6"/>
        <v>-2411.9826235666242</v>
      </c>
      <c r="G87" s="1">
        <f t="shared" si="7"/>
        <v>1.2618100000000001</v>
      </c>
    </row>
    <row r="88" spans="1:7" x14ac:dyDescent="0.15">
      <c r="A88" s="1">
        <v>4.3367300000000002</v>
      </c>
      <c r="B88" s="1">
        <v>1.2618100000000001</v>
      </c>
      <c r="C88" s="1">
        <f t="shared" si="4"/>
        <v>4.8625672043009978</v>
      </c>
      <c r="D88" s="1">
        <f t="shared" si="5"/>
        <v>-255.93672312262086</v>
      </c>
      <c r="E88" s="1">
        <f t="shared" si="6"/>
        <v>16330.244816759056</v>
      </c>
      <c r="G88" s="1">
        <f t="shared" si="7"/>
        <v>1.3084</v>
      </c>
    </row>
    <row r="89" spans="1:7" x14ac:dyDescent="0.15">
      <c r="A89" s="1">
        <v>4.4137899999999997</v>
      </c>
      <c r="B89" s="1">
        <v>1.3084</v>
      </c>
      <c r="C89" s="1">
        <f t="shared" si="4"/>
        <v>8.8612181958364609</v>
      </c>
      <c r="D89" s="1">
        <f t="shared" si="5"/>
        <v>-544.86812159966689</v>
      </c>
      <c r="E89" s="1">
        <f t="shared" si="6"/>
        <v>69180.003288527063</v>
      </c>
      <c r="G89" s="1">
        <f t="shared" si="7"/>
        <v>1.4531099999999999</v>
      </c>
    </row>
    <row r="90" spans="1:7" x14ac:dyDescent="0.15">
      <c r="A90" s="1">
        <v>4.4435500000000001</v>
      </c>
      <c r="B90" s="1">
        <v>1.4531099999999999</v>
      </c>
      <c r="C90" s="1">
        <f t="shared" si="4"/>
        <v>-2.0749579831932832</v>
      </c>
      <c r="D90" s="1">
        <f t="shared" si="5"/>
        <v>638.74802271903832</v>
      </c>
      <c r="E90" s="1">
        <f t="shared" si="6"/>
        <v>-84895.804129598386</v>
      </c>
      <c r="G90" s="1">
        <f t="shared" si="7"/>
        <v>1.5680400000000001</v>
      </c>
    </row>
    <row r="91" spans="1:7" x14ac:dyDescent="0.15">
      <c r="A91" s="1">
        <v>4.4565200000000003</v>
      </c>
      <c r="B91" s="1">
        <v>1.5680400000000001</v>
      </c>
      <c r="C91" s="1">
        <f t="shared" si="4"/>
        <v>-25.351724137931104</v>
      </c>
      <c r="D91" s="1">
        <f t="shared" si="5"/>
        <v>4597.2278108885603</v>
      </c>
      <c r="E91" s="1">
        <f t="shared" si="6"/>
        <v>80890.049848703638</v>
      </c>
      <c r="G91" s="1">
        <f t="shared" si="7"/>
        <v>1.50631</v>
      </c>
    </row>
    <row r="92" spans="1:7" x14ac:dyDescent="0.15">
      <c r="A92" s="1">
        <v>4.4862700000000002</v>
      </c>
      <c r="B92" s="1">
        <v>1.50631</v>
      </c>
      <c r="C92" s="1">
        <f t="shared" si="4"/>
        <v>2.9128758673862758</v>
      </c>
      <c r="D92" s="1">
        <f t="shared" si="5"/>
        <v>-5766.0029992115069</v>
      </c>
      <c r="E92" s="1">
        <f t="shared" si="6"/>
        <v>-19173.28279113186</v>
      </c>
      <c r="G92" s="1">
        <f t="shared" si="7"/>
        <v>1.1387100000000001</v>
      </c>
    </row>
    <row r="93" spans="1:7" x14ac:dyDescent="0.15">
      <c r="A93" s="1">
        <v>4.5007700000000002</v>
      </c>
      <c r="B93" s="1">
        <v>1.1387100000000001</v>
      </c>
      <c r="C93" s="1">
        <f t="shared" si="4"/>
        <v>427.32894736861795</v>
      </c>
      <c r="D93" s="1">
        <f t="shared" si="5"/>
        <v>1763.2428407057964</v>
      </c>
      <c r="E93" s="1">
        <f t="shared" si="6"/>
        <v>644.08170172875771</v>
      </c>
      <c r="G93" s="1">
        <f t="shared" si="7"/>
        <v>1.3653900000000001</v>
      </c>
    </row>
    <row r="94" spans="1:7" x14ac:dyDescent="0.15">
      <c r="A94" s="1">
        <v>4.5785900000000002</v>
      </c>
      <c r="B94" s="1">
        <v>1.3653900000000001</v>
      </c>
      <c r="C94" s="1">
        <f t="shared" si="4"/>
        <v>-25.763568309420226</v>
      </c>
      <c r="D94" s="1">
        <f t="shared" si="5"/>
        <v>-50.741444163177761</v>
      </c>
      <c r="E94" s="1">
        <f t="shared" si="6"/>
        <v>-10.479128128205193</v>
      </c>
      <c r="G94" s="1">
        <f t="shared" si="7"/>
        <v>1.6901600000000001</v>
      </c>
    </row>
    <row r="95" spans="1:7" x14ac:dyDescent="0.15">
      <c r="A95" s="1">
        <v>4.5793499999999998</v>
      </c>
      <c r="B95" s="1">
        <v>1.6901600000000001</v>
      </c>
      <c r="C95" s="1">
        <f t="shared" si="4"/>
        <v>3.8412789860290659</v>
      </c>
      <c r="D95" s="1">
        <f t="shared" si="5"/>
        <v>4.7912801598757015</v>
      </c>
      <c r="E95" s="1">
        <f t="shared" si="6"/>
        <v>-19.050514443447856</v>
      </c>
      <c r="G95" s="1">
        <f t="shared" si="7"/>
        <v>1.2771699999999999</v>
      </c>
    </row>
    <row r="96" spans="1:7" x14ac:dyDescent="0.15">
      <c r="A96" s="1">
        <v>4.5953799999999996</v>
      </c>
      <c r="B96" s="1">
        <v>1.2771699999999999</v>
      </c>
      <c r="C96" s="1">
        <f t="shared" si="4"/>
        <v>-0.49508483215612203</v>
      </c>
      <c r="D96" s="1">
        <f t="shared" si="5"/>
        <v>2.4566352041928683</v>
      </c>
      <c r="E96" s="1">
        <f t="shared" si="6"/>
        <v>-48.516103077301047</v>
      </c>
      <c r="G96" s="1">
        <f t="shared" si="7"/>
        <v>1.5438700000000001</v>
      </c>
    </row>
    <row r="97" spans="1:7" x14ac:dyDescent="0.15">
      <c r="A97" s="1">
        <v>4.6648100000000001</v>
      </c>
      <c r="B97" s="1">
        <v>1.5438700000000001</v>
      </c>
      <c r="C97" s="1">
        <f t="shared" si="4"/>
        <v>0.49556025369977835</v>
      </c>
      <c r="D97" s="1">
        <f t="shared" si="5"/>
        <v>-2.38333849530951</v>
      </c>
      <c r="E97" s="1">
        <f t="shared" si="6"/>
        <v>350.00692222211404</v>
      </c>
      <c r="G97" s="1">
        <f t="shared" si="7"/>
        <v>1.4758800000000001</v>
      </c>
    </row>
    <row r="98" spans="1:7" x14ac:dyDescent="0.15">
      <c r="A98" s="1">
        <v>4.8021399999999996</v>
      </c>
      <c r="B98" s="1">
        <v>1.4758800000000001</v>
      </c>
      <c r="C98" s="1">
        <f t="shared" si="4"/>
        <v>0.94912881144990835</v>
      </c>
      <c r="D98" s="1">
        <f t="shared" si="5"/>
        <v>-23.815327029707241</v>
      </c>
      <c r="E98" s="1">
        <f t="shared" si="6"/>
        <v>-2639.0455033600847</v>
      </c>
      <c r="G98" s="1">
        <f t="shared" si="7"/>
        <v>1.49932</v>
      </c>
    </row>
    <row r="99" spans="1:7" x14ac:dyDescent="0.15">
      <c r="A99" s="1">
        <v>4.8494400000000004</v>
      </c>
      <c r="B99" s="1">
        <v>1.49932</v>
      </c>
      <c r="C99" s="1">
        <f t="shared" si="4"/>
        <v>0.22359290670778645</v>
      </c>
      <c r="D99" s="1">
        <f t="shared" si="5"/>
        <v>123.59008826413637</v>
      </c>
      <c r="E99" s="1">
        <f t="shared" si="6"/>
        <v>10379.128123572424</v>
      </c>
      <c r="G99" s="1">
        <f t="shared" si="7"/>
        <v>1.74336</v>
      </c>
    </row>
    <row r="100" spans="1:7" x14ac:dyDescent="0.15">
      <c r="A100" s="1">
        <v>5.10656</v>
      </c>
      <c r="B100" s="1">
        <v>1.74336</v>
      </c>
      <c r="C100" s="1">
        <f t="shared" si="4"/>
        <v>-8.6797671033482668</v>
      </c>
      <c r="D100" s="1">
        <f t="shared" si="5"/>
        <v>-899.2775583831974</v>
      </c>
      <c r="E100" s="1">
        <f t="shared" si="6"/>
        <v>-17615.034255574912</v>
      </c>
      <c r="G100" s="1">
        <f t="shared" si="7"/>
        <v>1.76946</v>
      </c>
    </row>
    <row r="101" spans="1:7" x14ac:dyDescent="0.15">
      <c r="A101" s="1">
        <v>5.2232900000000004</v>
      </c>
      <c r="B101" s="1">
        <v>1.76946</v>
      </c>
      <c r="C101" s="1">
        <f t="shared" si="4"/>
        <v>7.4450317124735879</v>
      </c>
      <c r="D101" s="1">
        <f t="shared" si="5"/>
        <v>945.82004814426978</v>
      </c>
      <c r="E101" s="1">
        <f t="shared" si="6"/>
        <v>5179.2607147011922</v>
      </c>
      <c r="G101" s="1">
        <f t="shared" si="7"/>
        <v>1.6501999999999999</v>
      </c>
    </row>
    <row r="102" spans="1:7" x14ac:dyDescent="0.15">
      <c r="A102" s="1">
        <v>5.2370299999999999</v>
      </c>
      <c r="B102" s="1">
        <v>1.6501999999999999</v>
      </c>
      <c r="C102" s="1">
        <f t="shared" si="4"/>
        <v>-47.446870451236173</v>
      </c>
      <c r="D102" s="1">
        <f t="shared" si="5"/>
        <v>-250.41692815181324</v>
      </c>
      <c r="E102" s="1">
        <f t="shared" si="6"/>
        <v>-2821.1875369444524</v>
      </c>
      <c r="G102" s="1">
        <f t="shared" si="7"/>
        <v>2.0023499999999999</v>
      </c>
    </row>
    <row r="103" spans="1:7" x14ac:dyDescent="0.15">
      <c r="A103" s="1">
        <v>5.2843299999999997</v>
      </c>
      <c r="B103" s="1">
        <v>2.0023499999999999</v>
      </c>
      <c r="C103" s="1">
        <f t="shared" si="4"/>
        <v>3.7882015567389677</v>
      </c>
      <c r="D103" s="1">
        <f t="shared" si="5"/>
        <v>156.56937880940922</v>
      </c>
      <c r="E103" s="1">
        <f t="shared" si="6"/>
        <v>1248.41279269091</v>
      </c>
      <c r="G103" s="1">
        <f t="shared" si="7"/>
        <v>1.67639</v>
      </c>
    </row>
    <row r="104" spans="1:7" x14ac:dyDescent="0.15">
      <c r="A104" s="1">
        <v>5.2911999999999999</v>
      </c>
      <c r="B104" s="1">
        <v>1.67639</v>
      </c>
      <c r="C104" s="1">
        <f t="shared" si="4"/>
        <v>-4.0448399558499109</v>
      </c>
      <c r="D104" s="1">
        <f t="shared" si="5"/>
        <v>-136.15704002394804</v>
      </c>
      <c r="E104" s="1">
        <f t="shared" si="6"/>
        <v>-112.39941442774281</v>
      </c>
      <c r="G104" s="1">
        <f t="shared" si="7"/>
        <v>1.7688600000000001</v>
      </c>
    </row>
    <row r="105" spans="1:7" x14ac:dyDescent="0.15">
      <c r="A105" s="1">
        <v>5.3156100000000004</v>
      </c>
      <c r="B105" s="1">
        <v>1.7688600000000001</v>
      </c>
      <c r="C105" s="1">
        <f t="shared" si="4"/>
        <v>11.12516715699377</v>
      </c>
      <c r="D105" s="1">
        <f t="shared" si="5"/>
        <v>31.479829778587852</v>
      </c>
      <c r="E105" s="1">
        <f t="shared" si="6"/>
        <v>-13.40247839606821</v>
      </c>
      <c r="G105" s="1">
        <f t="shared" si="7"/>
        <v>1.4756899999999999</v>
      </c>
    </row>
    <row r="106" spans="1:7" x14ac:dyDescent="0.15">
      <c r="A106" s="1">
        <v>5.38809</v>
      </c>
      <c r="B106" s="1">
        <v>1.4756899999999999</v>
      </c>
      <c r="C106" s="1">
        <f t="shared" si="4"/>
        <v>-3.8344068304373904</v>
      </c>
      <c r="D106" s="1">
        <f t="shared" si="5"/>
        <v>4.1229363010195517</v>
      </c>
      <c r="E106" s="1">
        <f t="shared" si="6"/>
        <v>-44.358150185928892</v>
      </c>
      <c r="G106" s="1">
        <f t="shared" si="7"/>
        <v>1.8916599999999999</v>
      </c>
    </row>
    <row r="107" spans="1:7" x14ac:dyDescent="0.15">
      <c r="A107" s="1">
        <v>5.4254800000000003</v>
      </c>
      <c r="B107" s="1">
        <v>1.8916599999999999</v>
      </c>
      <c r="C107" s="1">
        <f t="shared" si="4"/>
        <v>1.5458108770210635</v>
      </c>
      <c r="D107" s="1">
        <f t="shared" si="5"/>
        <v>0.73814038209252153</v>
      </c>
      <c r="E107" s="1">
        <f t="shared" si="6"/>
        <v>-9.3126912503422794</v>
      </c>
      <c r="G107" s="1">
        <f t="shared" si="7"/>
        <v>1.3796900000000001</v>
      </c>
    </row>
    <row r="108" spans="1:7" x14ac:dyDescent="0.15">
      <c r="A108" s="1">
        <v>5.5590000000000002</v>
      </c>
      <c r="B108" s="1">
        <v>1.3796900000000001</v>
      </c>
      <c r="C108" s="1">
        <f t="shared" si="4"/>
        <v>2.4329018515484302</v>
      </c>
      <c r="D108" s="1">
        <f t="shared" si="5"/>
        <v>-11.513137117759166</v>
      </c>
      <c r="E108" s="1">
        <f t="shared" si="6"/>
        <v>71.577794955344103</v>
      </c>
      <c r="G108" s="1">
        <f t="shared" si="7"/>
        <v>1.50589</v>
      </c>
    </row>
    <row r="109" spans="1:7" x14ac:dyDescent="0.15">
      <c r="A109" s="1">
        <v>5.6406400000000003</v>
      </c>
      <c r="B109" s="1">
        <v>1.50589</v>
      </c>
      <c r="C109" s="1">
        <f t="shared" si="4"/>
        <v>2.5382123398615701</v>
      </c>
      <c r="D109" s="1">
        <f t="shared" si="5"/>
        <v>-13.474203641256246</v>
      </c>
      <c r="E109" s="1">
        <f t="shared" si="6"/>
        <v>-1160.5522246411981</v>
      </c>
      <c r="G109" s="1">
        <f t="shared" si="7"/>
        <v>1.6543699999999999</v>
      </c>
    </row>
    <row r="110" spans="1:7" x14ac:dyDescent="0.15">
      <c r="A110" s="1">
        <v>5.70167</v>
      </c>
      <c r="B110" s="1">
        <v>1.6543699999999999</v>
      </c>
      <c r="C110" s="1">
        <f t="shared" si="4"/>
        <v>1.0537084398977026</v>
      </c>
      <c r="D110" s="1">
        <f t="shared" si="5"/>
        <v>-2.0060093335110278</v>
      </c>
      <c r="E110" s="1">
        <f t="shared" si="6"/>
        <v>11285.271761644806</v>
      </c>
      <c r="G110" s="1">
        <f t="shared" si="7"/>
        <v>1.82674</v>
      </c>
    </row>
    <row r="111" spans="1:7" x14ac:dyDescent="0.15">
      <c r="A111" s="1">
        <v>5.7695800000000004</v>
      </c>
      <c r="B111" s="1">
        <v>1.82674</v>
      </c>
      <c r="C111" s="1">
        <f t="shared" si="4"/>
        <v>-0.282797819278506</v>
      </c>
      <c r="D111" s="1">
        <f t="shared" si="5"/>
        <v>-217.17239178198867</v>
      </c>
      <c r="E111" s="1">
        <f t="shared" si="6"/>
        <v>-17482.134215328377</v>
      </c>
      <c r="G111" s="1">
        <f t="shared" si="7"/>
        <v>1.8596999999999999</v>
      </c>
    </row>
    <row r="112" spans="1:7" x14ac:dyDescent="0.15">
      <c r="A112" s="1">
        <v>5.8008600000000001</v>
      </c>
      <c r="B112" s="1">
        <v>1.8596999999999999</v>
      </c>
      <c r="C112" s="1">
        <f t="shared" si="4"/>
        <v>-0.51848385587271506</v>
      </c>
      <c r="D112" s="1">
        <f t="shared" si="5"/>
        <v>1349.9004450400014</v>
      </c>
      <c r="E112" s="1">
        <f t="shared" si="6"/>
        <v>25865.795826094269</v>
      </c>
      <c r="G112" s="1">
        <f t="shared" si="7"/>
        <v>1.8353200000000001</v>
      </c>
    </row>
    <row r="113" spans="1:7" x14ac:dyDescent="0.15">
      <c r="A113" s="1">
        <v>5.8870699999999996</v>
      </c>
      <c r="B113" s="1">
        <v>1.8353200000000001</v>
      </c>
      <c r="C113" s="1">
        <f t="shared" si="4"/>
        <v>-23.881889763778961</v>
      </c>
      <c r="D113" s="1">
        <f t="shared" si="5"/>
        <v>-664.04141656582328</v>
      </c>
      <c r="E113" s="1">
        <f t="shared" si="6"/>
        <v>-30542.514771958231</v>
      </c>
      <c r="G113" s="1">
        <f t="shared" si="7"/>
        <v>1.8242400000000001</v>
      </c>
    </row>
    <row r="114" spans="1:7" x14ac:dyDescent="0.15">
      <c r="A114" s="1">
        <v>5.9084399999999997</v>
      </c>
      <c r="B114" s="1">
        <v>1.8242400000000001</v>
      </c>
      <c r="C114" s="1">
        <f t="shared" si="4"/>
        <v>15.251724137931076</v>
      </c>
      <c r="D114" s="1">
        <f t="shared" si="5"/>
        <v>460.86204391102308</v>
      </c>
      <c r="E114" s="1">
        <f t="shared" si="6"/>
        <v>25450.956728553494</v>
      </c>
      <c r="G114" s="1">
        <f t="shared" si="7"/>
        <v>1.6422600000000001</v>
      </c>
    </row>
    <row r="115" spans="1:7" x14ac:dyDescent="0.15">
      <c r="A115" s="1">
        <v>5.9160599999999999</v>
      </c>
      <c r="B115" s="1">
        <v>1.6422600000000001</v>
      </c>
      <c r="C115" s="1">
        <f t="shared" si="4"/>
        <v>0.56312800349497161</v>
      </c>
      <c r="D115" s="1">
        <f t="shared" si="5"/>
        <v>-913.85654597483017</v>
      </c>
      <c r="E115" s="1">
        <f t="shared" si="6"/>
        <v>323.00111267559089</v>
      </c>
      <c r="G115" s="1">
        <f t="shared" si="7"/>
        <v>1.86341</v>
      </c>
    </row>
    <row r="116" spans="1:7" x14ac:dyDescent="0.15">
      <c r="A116" s="1">
        <v>5.9305599999999998</v>
      </c>
      <c r="B116" s="1">
        <v>1.86341</v>
      </c>
      <c r="C116" s="1">
        <f t="shared" si="4"/>
        <v>17.794759825328242</v>
      </c>
      <c r="D116" s="1">
        <f t="shared" si="5"/>
        <v>154.32010792256173</v>
      </c>
      <c r="E116" s="1">
        <f t="shared" si="6"/>
        <v>-5610.5921024849222</v>
      </c>
      <c r="G116" s="1">
        <f t="shared" si="7"/>
        <v>1.8763000000000001</v>
      </c>
    </row>
    <row r="117" spans="1:7" x14ac:dyDescent="0.15">
      <c r="A117" s="1">
        <v>5.9534500000000001</v>
      </c>
      <c r="B117" s="1">
        <v>1.8763000000000001</v>
      </c>
      <c r="C117" s="1">
        <f t="shared" si="4"/>
        <v>-7.3088794926004379</v>
      </c>
      <c r="D117" s="1">
        <f t="shared" si="5"/>
        <v>178.47090111731566</v>
      </c>
      <c r="E117" s="1">
        <f t="shared" si="6"/>
        <v>3705.5811348216193</v>
      </c>
      <c r="G117" s="1">
        <f t="shared" si="7"/>
        <v>1.9578</v>
      </c>
    </row>
    <row r="118" spans="1:7" x14ac:dyDescent="0.15">
      <c r="A118" s="1">
        <v>5.9580299999999999</v>
      </c>
      <c r="B118" s="1">
        <v>1.9578</v>
      </c>
      <c r="C118" s="1">
        <f t="shared" si="4"/>
        <v>0.69724770642201894</v>
      </c>
      <c r="D118" s="1">
        <f t="shared" si="5"/>
        <v>-326.65070586939976</v>
      </c>
      <c r="E118" s="1">
        <f t="shared" si="6"/>
        <v>-776.28932496084315</v>
      </c>
      <c r="G118" s="1">
        <f t="shared" si="7"/>
        <v>1.61209</v>
      </c>
    </row>
    <row r="119" spans="1:7" x14ac:dyDescent="0.15">
      <c r="A119" s="1">
        <v>6.0053299999999998</v>
      </c>
      <c r="B119" s="1">
        <v>1.61209</v>
      </c>
      <c r="C119" s="1">
        <f t="shared" si="4"/>
        <v>15.947586206896606</v>
      </c>
      <c r="D119" s="1">
        <f t="shared" si="5"/>
        <v>43.722128556020209</v>
      </c>
      <c r="E119" s="1">
        <f t="shared" si="6"/>
        <v>836.54802667107106</v>
      </c>
      <c r="G119" s="1">
        <f t="shared" si="7"/>
        <v>1.63869</v>
      </c>
    </row>
    <row r="120" spans="1:7" x14ac:dyDescent="0.15">
      <c r="A120" s="1">
        <v>6.0434799999999997</v>
      </c>
      <c r="B120" s="1">
        <v>1.63869</v>
      </c>
      <c r="C120" s="1">
        <f t="shared" si="4"/>
        <v>-1.2505734571272458</v>
      </c>
      <c r="D120" s="1">
        <f t="shared" si="5"/>
        <v>-68.218792103333797</v>
      </c>
      <c r="E120" s="1">
        <f t="shared" si="6"/>
        <v>-1022.0474104241661</v>
      </c>
      <c r="G120" s="1">
        <f t="shared" si="7"/>
        <v>1.8699300000000001</v>
      </c>
    </row>
    <row r="121" spans="1:7" x14ac:dyDescent="0.15">
      <c r="A121" s="1">
        <v>6.0579799999999997</v>
      </c>
      <c r="B121" s="1">
        <v>1.8699300000000001</v>
      </c>
      <c r="C121" s="1">
        <f t="shared" si="4"/>
        <v>3.3861582762387261</v>
      </c>
      <c r="D121" s="1">
        <f t="shared" si="5"/>
        <v>104.7458778911769</v>
      </c>
      <c r="E121" s="1">
        <f t="shared" si="6"/>
        <v>1195.0069462003451</v>
      </c>
      <c r="G121" s="1">
        <f t="shared" si="7"/>
        <v>1.7554399999999999</v>
      </c>
    </row>
    <row r="122" spans="1:7" x14ac:dyDescent="0.15">
      <c r="A122" s="1">
        <v>6.1495300000000004</v>
      </c>
      <c r="B122" s="1">
        <v>1.7554399999999999</v>
      </c>
      <c r="C122" s="1">
        <f t="shared" si="4"/>
        <v>-9.7295866935482369</v>
      </c>
      <c r="D122" s="1">
        <f t="shared" si="5"/>
        <v>-132.30779848260491</v>
      </c>
      <c r="E122" s="1">
        <f t="shared" si="6"/>
        <v>-1718.2148492832632</v>
      </c>
      <c r="G122" s="1">
        <f t="shared" si="7"/>
        <v>2.09646</v>
      </c>
    </row>
    <row r="123" spans="1:7" x14ac:dyDescent="0.15">
      <c r="A123" s="1">
        <v>6.2502399999999998</v>
      </c>
      <c r="B123" s="1">
        <v>2.09646</v>
      </c>
      <c r="C123" s="1">
        <f t="shared" si="4"/>
        <v>4.9756871035940904</v>
      </c>
      <c r="D123" s="1">
        <f t="shared" si="5"/>
        <v>91.98305524973776</v>
      </c>
      <c r="E123" s="1">
        <f t="shared" si="6"/>
        <v>1036.83467485706</v>
      </c>
      <c r="G123" s="1">
        <f t="shared" si="7"/>
        <v>1.7103900000000001</v>
      </c>
    </row>
    <row r="124" spans="1:7" x14ac:dyDescent="0.15">
      <c r="A124" s="1">
        <v>6.2899200000000004</v>
      </c>
      <c r="B124" s="1">
        <v>1.7103900000000001</v>
      </c>
      <c r="C124" s="1">
        <f t="shared" si="4"/>
        <v>-6.532445208422951</v>
      </c>
      <c r="D124" s="1">
        <f t="shared" si="5"/>
        <v>-137.43299142656332</v>
      </c>
      <c r="E124" s="1">
        <f t="shared" si="6"/>
        <v>-1243.5495974555463</v>
      </c>
      <c r="G124" s="1">
        <f t="shared" si="7"/>
        <v>1.94574</v>
      </c>
    </row>
    <row r="125" spans="1:7" x14ac:dyDescent="0.15">
      <c r="A125" s="1">
        <v>6.3372200000000003</v>
      </c>
      <c r="B125" s="1">
        <v>1.94574</v>
      </c>
      <c r="C125" s="1">
        <f t="shared" si="4"/>
        <v>2.0992446962123714</v>
      </c>
      <c r="D125" s="1">
        <f t="shared" si="5"/>
        <v>146.55602601678473</v>
      </c>
      <c r="E125" s="1">
        <f t="shared" si="6"/>
        <v>2017.6467389723207</v>
      </c>
      <c r="G125" s="1">
        <f t="shared" si="7"/>
        <v>1.6417200000000001</v>
      </c>
    </row>
    <row r="126" spans="1:7" x14ac:dyDescent="0.15">
      <c r="A126" s="1">
        <v>6.3837599999999997</v>
      </c>
      <c r="B126" s="1">
        <v>1.6417200000000001</v>
      </c>
      <c r="C126" s="1">
        <f t="shared" si="4"/>
        <v>-29.043071161046807</v>
      </c>
      <c r="D126" s="1">
        <f t="shared" si="5"/>
        <v>-141.87286761705445</v>
      </c>
      <c r="E126" s="1">
        <f t="shared" si="6"/>
        <v>-11270.079073069553</v>
      </c>
      <c r="G126" s="1">
        <f t="shared" si="7"/>
        <v>2.0197099999999999</v>
      </c>
    </row>
    <row r="127" spans="1:7" x14ac:dyDescent="0.15">
      <c r="A127" s="1">
        <v>6.5638199999999998</v>
      </c>
      <c r="B127" s="1">
        <v>2.0197099999999999</v>
      </c>
      <c r="C127" s="1">
        <f t="shared" si="4"/>
        <v>-1.8715839375348555</v>
      </c>
      <c r="D127" s="1">
        <f t="shared" si="5"/>
        <v>376.90446190750964</v>
      </c>
      <c r="E127" s="1">
        <f t="shared" si="6"/>
        <v>5678.4947855411492</v>
      </c>
      <c r="G127" s="1">
        <f t="shared" si="7"/>
        <v>1.8646199999999999</v>
      </c>
    </row>
    <row r="128" spans="1:7" x14ac:dyDescent="0.15">
      <c r="A128" s="1">
        <v>6.5691600000000001</v>
      </c>
      <c r="B128" s="1">
        <v>1.8646199999999999</v>
      </c>
      <c r="C128" s="1">
        <f t="shared" si="4"/>
        <v>-12.804307116105122</v>
      </c>
      <c r="D128" s="1">
        <f t="shared" si="5"/>
        <v>-611.93227596361464</v>
      </c>
      <c r="E128" s="1">
        <f t="shared" si="6"/>
        <v>602.45900076656687</v>
      </c>
      <c r="G128" s="1">
        <f t="shared" si="7"/>
        <v>1.7303900000000001</v>
      </c>
    </row>
    <row r="129" spans="1:7" x14ac:dyDescent="0.15">
      <c r="A129" s="1">
        <v>6.6408800000000001</v>
      </c>
      <c r="B129" s="1">
        <v>1.7303900000000001</v>
      </c>
      <c r="C129" s="1">
        <f t="shared" si="4"/>
        <v>18.252620545073601</v>
      </c>
      <c r="D129" s="1">
        <f t="shared" si="5"/>
        <v>-35.678625126901267</v>
      </c>
      <c r="E129" s="1">
        <f t="shared" si="6"/>
        <v>-1569.1953688706496</v>
      </c>
      <c r="G129" s="1">
        <f t="shared" si="7"/>
        <v>1.5936399999999999</v>
      </c>
    </row>
    <row r="130" spans="1:7" x14ac:dyDescent="0.15">
      <c r="A130" s="1">
        <v>6.6515599999999999</v>
      </c>
      <c r="B130" s="1">
        <v>1.5936399999999999</v>
      </c>
      <c r="C130" s="1">
        <f t="shared" ref="C130:C193" si="8">(B132-B131)/(A132-A131)</f>
        <v>4.1516012396693704E-2</v>
      </c>
      <c r="D130" s="1">
        <f t="shared" ref="D130:D193" si="9">(C132-C131)/(A133-A131)</f>
        <v>75.559404774637599</v>
      </c>
      <c r="E130" s="1">
        <f t="shared" ref="E130:E193" si="10" xml:space="preserve"> (D132-D131)/(A134-A131)</f>
        <v>1569.5960733591749</v>
      </c>
      <c r="G130" s="1">
        <f t="shared" ref="G130:G193" si="11" xml:space="preserve"> B131 + C131*(A131-A131) + D131*(A131-A131)*(A131-A132) + E131*(A131-A131)*(A131-A132)*(A131-A133)</f>
        <v>1.9419</v>
      </c>
    </row>
    <row r="131" spans="1:7" x14ac:dyDescent="0.15">
      <c r="A131" s="1">
        <v>6.6706399999999997</v>
      </c>
      <c r="B131" s="1">
        <v>1.9419</v>
      </c>
      <c r="C131" s="1">
        <f t="shared" si="8"/>
        <v>-6.165137614679054</v>
      </c>
      <c r="D131" s="1">
        <f t="shared" si="9"/>
        <v>-221.3637429230663</v>
      </c>
      <c r="E131" s="1">
        <f t="shared" si="10"/>
        <v>-2936.5513225649584</v>
      </c>
      <c r="G131" s="1">
        <f t="shared" si="11"/>
        <v>1.9483299999999999</v>
      </c>
    </row>
    <row r="132" spans="1:7" x14ac:dyDescent="0.15">
      <c r="A132" s="1">
        <v>6.82552</v>
      </c>
      <c r="B132" s="1">
        <v>1.9483299999999999</v>
      </c>
      <c r="C132" s="1">
        <f t="shared" si="8"/>
        <v>6.690539513677785</v>
      </c>
      <c r="D132" s="1">
        <f t="shared" si="9"/>
        <v>128.31087029989104</v>
      </c>
      <c r="E132" s="1">
        <f t="shared" si="10"/>
        <v>7878.3917598613725</v>
      </c>
      <c r="G132" s="1">
        <f t="shared" si="11"/>
        <v>1.85425</v>
      </c>
    </row>
    <row r="133" spans="1:7" x14ac:dyDescent="0.15">
      <c r="A133" s="1">
        <v>6.8407799999999996</v>
      </c>
      <c r="B133" s="1">
        <v>1.85425</v>
      </c>
      <c r="C133" s="1">
        <f t="shared" si="8"/>
        <v>-8.3400586307983851</v>
      </c>
      <c r="D133" s="1">
        <f t="shared" si="9"/>
        <v>-241.37157569781169</v>
      </c>
      <c r="E133" s="1">
        <f t="shared" si="10"/>
        <v>-18808.920896186311</v>
      </c>
      <c r="G133" s="1">
        <f t="shared" si="11"/>
        <v>2.2064400000000002</v>
      </c>
    </row>
    <row r="134" spans="1:7" x14ac:dyDescent="0.15">
      <c r="A134" s="1">
        <v>6.8934199999999999</v>
      </c>
      <c r="B134" s="1">
        <v>2.2064400000000002</v>
      </c>
      <c r="C134" s="1">
        <f t="shared" si="8"/>
        <v>5.8549729504786194</v>
      </c>
      <c r="D134" s="1">
        <f t="shared" si="9"/>
        <v>1008.8504126745895</v>
      </c>
      <c r="E134" s="1">
        <f t="shared" si="10"/>
        <v>17939.597193269521</v>
      </c>
      <c r="G134" s="1">
        <f t="shared" si="11"/>
        <v>1.7228000000000001</v>
      </c>
    </row>
    <row r="135" spans="1:7" x14ac:dyDescent="0.15">
      <c r="A135" s="1">
        <v>6.9514100000000001</v>
      </c>
      <c r="B135" s="1">
        <v>1.7228000000000001</v>
      </c>
      <c r="C135" s="1">
        <f t="shared" si="8"/>
        <v>-19.742482652274251</v>
      </c>
      <c r="D135" s="1">
        <f t="shared" si="9"/>
        <v>-1473.7390564130426</v>
      </c>
      <c r="E135" s="1">
        <f t="shared" si="10"/>
        <v>-2812.5890151750768</v>
      </c>
      <c r="G135" s="1">
        <f t="shared" si="11"/>
        <v>2.0041899999999999</v>
      </c>
    </row>
    <row r="136" spans="1:7" x14ac:dyDescent="0.15">
      <c r="A136" s="1">
        <v>6.9994699999999996</v>
      </c>
      <c r="B136" s="1">
        <v>2.0041899999999999</v>
      </c>
      <c r="C136" s="1">
        <f t="shared" si="8"/>
        <v>54.912447885645221</v>
      </c>
      <c r="D136" s="1">
        <f t="shared" si="9"/>
        <v>154.99697276390006</v>
      </c>
      <c r="E136" s="1">
        <f t="shared" si="10"/>
        <v>2533.5146204957946</v>
      </c>
      <c r="G136" s="1">
        <f t="shared" si="11"/>
        <v>1.49207</v>
      </c>
    </row>
    <row r="137" spans="1:7" x14ac:dyDescent="0.15">
      <c r="A137" s="1">
        <v>7.0254099999999999</v>
      </c>
      <c r="B137" s="1">
        <v>1.49207</v>
      </c>
      <c r="C137" s="1">
        <f t="shared" si="8"/>
        <v>-8.0604219948849796</v>
      </c>
      <c r="D137" s="1">
        <f t="shared" si="9"/>
        <v>-53.162740249208397</v>
      </c>
      <c r="E137" s="1">
        <f t="shared" si="10"/>
        <v>-4491.6097384549794</v>
      </c>
      <c r="G137" s="1">
        <f t="shared" si="11"/>
        <v>2.41405</v>
      </c>
    </row>
    <row r="138" spans="1:7" x14ac:dyDescent="0.15">
      <c r="A138" s="1">
        <v>7.0422000000000002</v>
      </c>
      <c r="B138" s="1">
        <v>2.41405</v>
      </c>
      <c r="C138" s="1">
        <f t="shared" si="8"/>
        <v>-0.6097175141242952</v>
      </c>
      <c r="D138" s="1">
        <f t="shared" si="9"/>
        <v>180.73132951496325</v>
      </c>
      <c r="E138" s="1">
        <f t="shared" si="10"/>
        <v>2252.9217116290197</v>
      </c>
      <c r="G138" s="1">
        <f t="shared" si="11"/>
        <v>2.1619199999999998</v>
      </c>
    </row>
    <row r="139" spans="1:7" x14ac:dyDescent="0.15">
      <c r="A139" s="1">
        <v>7.07348</v>
      </c>
      <c r="B139" s="1">
        <v>2.1619199999999998</v>
      </c>
      <c r="C139" s="1">
        <f t="shared" si="8"/>
        <v>-4.6250992851469865</v>
      </c>
      <c r="D139" s="1">
        <f t="shared" si="9"/>
        <v>-271.61868724483509</v>
      </c>
      <c r="E139" s="1">
        <f t="shared" si="10"/>
        <v>2099.7021087251064</v>
      </c>
      <c r="G139" s="1">
        <f t="shared" si="11"/>
        <v>2.1349399999999998</v>
      </c>
    </row>
    <row r="140" spans="1:7" x14ac:dyDescent="0.15">
      <c r="A140" s="1">
        <v>7.1177299999999999</v>
      </c>
      <c r="B140" s="1">
        <v>2.1349399999999998</v>
      </c>
      <c r="C140" s="1">
        <f t="shared" si="8"/>
        <v>7.9230769230768487</v>
      </c>
      <c r="D140" s="1">
        <f t="shared" si="9"/>
        <v>-49.886132386307075</v>
      </c>
      <c r="E140" s="1">
        <f t="shared" si="10"/>
        <v>937.16798386429934</v>
      </c>
      <c r="G140" s="1">
        <f t="shared" si="11"/>
        <v>2.0184799999999998</v>
      </c>
    </row>
    <row r="141" spans="1:7" x14ac:dyDescent="0.15">
      <c r="A141" s="1">
        <v>7.1429099999999996</v>
      </c>
      <c r="B141" s="1">
        <v>2.0184799999999998</v>
      </c>
      <c r="C141" s="1">
        <f t="shared" si="8"/>
        <v>-6.7905073649758814</v>
      </c>
      <c r="D141" s="1">
        <f t="shared" si="9"/>
        <v>76.683910727641646</v>
      </c>
      <c r="E141" s="1">
        <f t="shared" si="10"/>
        <v>-1887.6286190959629</v>
      </c>
      <c r="G141" s="1">
        <f t="shared" si="11"/>
        <v>2.24817</v>
      </c>
    </row>
    <row r="142" spans="1:7" x14ac:dyDescent="0.15">
      <c r="A142" s="1">
        <v>7.1718999999999999</v>
      </c>
      <c r="B142" s="1">
        <v>2.24817</v>
      </c>
      <c r="C142" s="1">
        <f t="shared" si="8"/>
        <v>-8.5415106117352551</v>
      </c>
      <c r="D142" s="1">
        <f t="shared" si="9"/>
        <v>139.60536916429089</v>
      </c>
      <c r="E142" s="1">
        <f t="shared" si="10"/>
        <v>-261.64255029984577</v>
      </c>
      <c r="G142" s="1">
        <f t="shared" si="11"/>
        <v>2.20668</v>
      </c>
    </row>
    <row r="143" spans="1:7" x14ac:dyDescent="0.15">
      <c r="A143" s="1">
        <v>7.1780099999999996</v>
      </c>
      <c r="B143" s="1">
        <v>2.20668</v>
      </c>
      <c r="C143" s="1">
        <f t="shared" si="8"/>
        <v>-5.6160194174757336</v>
      </c>
      <c r="D143" s="1">
        <f t="shared" si="9"/>
        <v>28.707187792403353</v>
      </c>
      <c r="E143" s="1">
        <f t="shared" si="10"/>
        <v>-989.85152528187336</v>
      </c>
      <c r="G143" s="1">
        <f t="shared" si="11"/>
        <v>1.9330099999999999</v>
      </c>
    </row>
    <row r="144" spans="1:7" x14ac:dyDescent="0.15">
      <c r="A144" s="1">
        <v>7.2100499999999998</v>
      </c>
      <c r="B144" s="1">
        <v>1.9330099999999999</v>
      </c>
      <c r="C144" s="1">
        <f t="shared" si="8"/>
        <v>1.7328072153325724</v>
      </c>
      <c r="D144" s="1">
        <f t="shared" si="9"/>
        <v>-3.6318314246577388</v>
      </c>
      <c r="E144" s="1">
        <f t="shared" si="10"/>
        <v>3075.5515262193117</v>
      </c>
      <c r="G144" s="1">
        <f t="shared" si="11"/>
        <v>1.81732</v>
      </c>
    </row>
    <row r="145" spans="1:7" x14ac:dyDescent="0.15">
      <c r="A145" s="1">
        <v>7.2306499999999998</v>
      </c>
      <c r="B145" s="1">
        <v>1.81732</v>
      </c>
      <c r="C145" s="1">
        <f t="shared" si="8"/>
        <v>4.3612373296050322</v>
      </c>
      <c r="D145" s="1">
        <f t="shared" si="9"/>
        <v>-150.90194135609522</v>
      </c>
      <c r="E145" s="1">
        <f t="shared" si="10"/>
        <v>-3741.7326018461026</v>
      </c>
      <c r="G145" s="1">
        <f t="shared" si="11"/>
        <v>1.94028</v>
      </c>
    </row>
    <row r="146" spans="1:7" x14ac:dyDescent="0.15">
      <c r="A146" s="1">
        <v>7.3016100000000002</v>
      </c>
      <c r="B146" s="1">
        <v>1.94028</v>
      </c>
      <c r="C146" s="1">
        <f t="shared" si="8"/>
        <v>3.8957091775924018</v>
      </c>
      <c r="D146" s="1">
        <f t="shared" si="9"/>
        <v>294.93000788465679</v>
      </c>
      <c r="E146" s="1">
        <f t="shared" si="10"/>
        <v>245.91768564082548</v>
      </c>
      <c r="G146" s="1">
        <f t="shared" si="11"/>
        <v>2.1898300000000002</v>
      </c>
    </row>
    <row r="147" spans="1:7" x14ac:dyDescent="0.15">
      <c r="A147" s="1">
        <v>7.3588300000000002</v>
      </c>
      <c r="B147" s="1">
        <v>2.1898300000000002</v>
      </c>
      <c r="C147" s="1">
        <f t="shared" si="8"/>
        <v>-7.2710344827586209</v>
      </c>
      <c r="D147" s="1">
        <f t="shared" si="9"/>
        <v>-36.213327378722575</v>
      </c>
      <c r="E147" s="1">
        <f t="shared" si="10"/>
        <v>4.2491196786364132</v>
      </c>
      <c r="G147" s="1">
        <f t="shared" si="11"/>
        <v>2.2551999999999999</v>
      </c>
    </row>
    <row r="148" spans="1:7" x14ac:dyDescent="0.15">
      <c r="A148" s="1">
        <v>7.37561</v>
      </c>
      <c r="B148" s="1">
        <v>2.2551999999999999</v>
      </c>
      <c r="C148" s="1">
        <f t="shared" si="8"/>
        <v>1.9543761638733705</v>
      </c>
      <c r="D148" s="1">
        <f t="shared" si="9"/>
        <v>5.8140050972944044</v>
      </c>
      <c r="E148" s="1">
        <f t="shared" si="10"/>
        <v>1081.3535325558212</v>
      </c>
      <c r="G148" s="1">
        <f t="shared" si="11"/>
        <v>2.1497700000000002</v>
      </c>
    </row>
    <row r="149" spans="1:7" x14ac:dyDescent="0.15">
      <c r="A149" s="1">
        <v>7.39011</v>
      </c>
      <c r="B149" s="1">
        <v>2.1497700000000002</v>
      </c>
      <c r="C149" s="1">
        <f t="shared" si="8"/>
        <v>-3.6268218517353463</v>
      </c>
      <c r="D149" s="1">
        <f t="shared" si="9"/>
        <v>6.8741179659174021</v>
      </c>
      <c r="E149" s="1">
        <f t="shared" si="10"/>
        <v>-2917.2495324213182</v>
      </c>
      <c r="G149" s="1">
        <f t="shared" si="11"/>
        <v>2.4226399999999999</v>
      </c>
    </row>
    <row r="150" spans="1:7" x14ac:dyDescent="0.15">
      <c r="A150" s="1">
        <v>7.5297299999999998</v>
      </c>
      <c r="B150" s="1">
        <v>2.4226399999999999</v>
      </c>
      <c r="C150" s="1">
        <f t="shared" si="8"/>
        <v>-2.2605887939221354</v>
      </c>
      <c r="D150" s="1">
        <f t="shared" si="9"/>
        <v>317.91464807027342</v>
      </c>
      <c r="E150" s="1">
        <f t="shared" si="10"/>
        <v>-2526.9019480520815</v>
      </c>
      <c r="G150" s="1">
        <f t="shared" si="11"/>
        <v>2.0767500000000001</v>
      </c>
    </row>
    <row r="151" spans="1:7" x14ac:dyDescent="0.15">
      <c r="A151" s="1">
        <v>7.6250999999999998</v>
      </c>
      <c r="B151" s="1">
        <v>2.0767500000000001</v>
      </c>
      <c r="C151" s="1">
        <f t="shared" si="8"/>
        <v>-1.2430818526070428</v>
      </c>
      <c r="D151" s="1">
        <f t="shared" si="9"/>
        <v>-314.19498061477839</v>
      </c>
      <c r="E151" s="1">
        <f t="shared" si="10"/>
        <v>6663.3448204822162</v>
      </c>
      <c r="G151" s="1">
        <f t="shared" si="11"/>
        <v>1.95773</v>
      </c>
    </row>
    <row r="152" spans="1:7" x14ac:dyDescent="0.15">
      <c r="A152" s="1">
        <v>7.6777499999999996</v>
      </c>
      <c r="B152" s="1">
        <v>1.95773</v>
      </c>
      <c r="C152" s="1">
        <f t="shared" si="8"/>
        <v>37.323144104797905</v>
      </c>
      <c r="D152" s="1">
        <f t="shared" si="9"/>
        <v>-626.52006139401715</v>
      </c>
      <c r="E152" s="1">
        <f t="shared" si="10"/>
        <v>-271.33713352912713</v>
      </c>
      <c r="G152" s="1">
        <f t="shared" si="11"/>
        <v>1.8723799999999999</v>
      </c>
    </row>
    <row r="153" spans="1:7" x14ac:dyDescent="0.15">
      <c r="A153" s="1">
        <v>7.74641</v>
      </c>
      <c r="B153" s="1">
        <v>1.8723799999999999</v>
      </c>
      <c r="C153" s="1">
        <f t="shared" si="8"/>
        <v>15.031010230179147</v>
      </c>
      <c r="D153" s="1">
        <f t="shared" si="9"/>
        <v>54.673679603883095</v>
      </c>
      <c r="E153" s="1">
        <f t="shared" si="10"/>
        <v>-265.89818551187847</v>
      </c>
      <c r="G153" s="1">
        <f t="shared" si="11"/>
        <v>1.9578500000000001</v>
      </c>
    </row>
    <row r="154" spans="1:7" x14ac:dyDescent="0.15">
      <c r="A154" s="1">
        <v>7.7487000000000004</v>
      </c>
      <c r="B154" s="1">
        <v>1.9578500000000001</v>
      </c>
      <c r="C154" s="1">
        <f t="shared" si="8"/>
        <v>-6.0012682308180736</v>
      </c>
      <c r="D154" s="1">
        <f t="shared" si="9"/>
        <v>32.727932244047395</v>
      </c>
      <c r="E154" s="1">
        <f t="shared" si="10"/>
        <v>281.47208170969566</v>
      </c>
      <c r="G154" s="1">
        <f t="shared" si="11"/>
        <v>2.4280200000000001</v>
      </c>
    </row>
    <row r="155" spans="1:7" x14ac:dyDescent="0.15">
      <c r="A155" s="1">
        <v>7.7799800000000001</v>
      </c>
      <c r="B155" s="1">
        <v>2.4280200000000001</v>
      </c>
      <c r="C155" s="1">
        <f t="shared" si="8"/>
        <v>-1.7044637507489411</v>
      </c>
      <c r="D155" s="1">
        <f t="shared" si="9"/>
        <v>-23.671731884877151</v>
      </c>
      <c r="E155" s="1">
        <f t="shared" si="10"/>
        <v>-603.55975881790016</v>
      </c>
      <c r="G155" s="1">
        <f t="shared" si="11"/>
        <v>2.1440999999999999</v>
      </c>
    </row>
    <row r="156" spans="1:7" x14ac:dyDescent="0.15">
      <c r="A156" s="1">
        <v>7.8272899999999996</v>
      </c>
      <c r="B156" s="1">
        <v>2.1440999999999999</v>
      </c>
      <c r="C156" s="1">
        <f t="shared" si="8"/>
        <v>4.2137282369421589</v>
      </c>
      <c r="D156" s="1">
        <f t="shared" si="9"/>
        <v>55.357184496754208</v>
      </c>
      <c r="E156" s="1">
        <f t="shared" si="10"/>
        <v>2359.4827207180679</v>
      </c>
      <c r="G156" s="1">
        <f t="shared" si="11"/>
        <v>1.91652</v>
      </c>
    </row>
    <row r="157" spans="1:7" x14ac:dyDescent="0.15">
      <c r="A157" s="1">
        <v>7.9608100000000004</v>
      </c>
      <c r="B157" s="1">
        <v>1.91652</v>
      </c>
      <c r="C157" s="1">
        <f t="shared" si="8"/>
        <v>-1.3126742889012817</v>
      </c>
      <c r="D157" s="1">
        <f t="shared" si="9"/>
        <v>-172.1244886017129</v>
      </c>
      <c r="E157" s="1">
        <f t="shared" si="10"/>
        <v>-4277.9936545392175</v>
      </c>
      <c r="G157" s="1">
        <f t="shared" si="11"/>
        <v>2.3376399999999999</v>
      </c>
    </row>
    <row r="158" spans="1:7" x14ac:dyDescent="0.15">
      <c r="A158" s="1">
        <v>8.0607500000000005</v>
      </c>
      <c r="B158" s="1">
        <v>2.3376399999999999</v>
      </c>
      <c r="C158" s="1">
        <f t="shared" si="8"/>
        <v>12.160157273918767</v>
      </c>
      <c r="D158" s="1">
        <f t="shared" si="9"/>
        <v>492.14068176204489</v>
      </c>
      <c r="E158" s="1">
        <f t="shared" si="10"/>
        <v>5160.7197217826797</v>
      </c>
      <c r="G158" s="1">
        <f t="shared" si="11"/>
        <v>2.1493500000000001</v>
      </c>
    </row>
    <row r="159" spans="1:7" x14ac:dyDescent="0.15">
      <c r="A159" s="1">
        <v>8.2041900000000005</v>
      </c>
      <c r="B159" s="1">
        <v>2.1493500000000001</v>
      </c>
      <c r="C159" s="1">
        <f t="shared" si="8"/>
        <v>-19.095928611266267</v>
      </c>
      <c r="D159" s="1">
        <f t="shared" si="9"/>
        <v>-438.1090384175057</v>
      </c>
      <c r="E159" s="1">
        <f t="shared" si="10"/>
        <v>-330.10098701374221</v>
      </c>
      <c r="G159" s="1">
        <f t="shared" si="11"/>
        <v>2.6132599999999999</v>
      </c>
    </row>
    <row r="160" spans="1:7" x14ac:dyDescent="0.15">
      <c r="A160" s="1">
        <v>8.2423400000000004</v>
      </c>
      <c r="B160" s="1">
        <v>2.6132599999999999</v>
      </c>
      <c r="C160" s="1">
        <f t="shared" si="8"/>
        <v>17.327403245942413</v>
      </c>
      <c r="D160" s="1">
        <f t="shared" si="9"/>
        <v>109.18528807754619</v>
      </c>
      <c r="E160" s="1">
        <f t="shared" si="10"/>
        <v>-496.43378235513899</v>
      </c>
      <c r="G160" s="1">
        <f t="shared" si="11"/>
        <v>1.92848</v>
      </c>
    </row>
    <row r="161" spans="1:7" x14ac:dyDescent="0.15">
      <c r="A161" s="1">
        <v>8.2782</v>
      </c>
      <c r="B161" s="1">
        <v>1.92848</v>
      </c>
      <c r="C161" s="1">
        <f t="shared" si="8"/>
        <v>-12.420200462606157</v>
      </c>
      <c r="D161" s="1">
        <f t="shared" si="9"/>
        <v>73.927201654608581</v>
      </c>
      <c r="E161" s="1">
        <f t="shared" si="10"/>
        <v>-406.78331484476394</v>
      </c>
      <c r="G161" s="1">
        <f t="shared" si="11"/>
        <v>2.4836499999999999</v>
      </c>
    </row>
    <row r="162" spans="1:7" x14ac:dyDescent="0.15">
      <c r="A162" s="1">
        <v>8.3102400000000003</v>
      </c>
      <c r="B162" s="1">
        <v>2.4836499999999999</v>
      </c>
      <c r="C162" s="1">
        <f t="shared" si="8"/>
        <v>-4.673504273504272</v>
      </c>
      <c r="D162" s="1">
        <f t="shared" si="9"/>
        <v>29.992811916178876</v>
      </c>
      <c r="E162" s="1">
        <f t="shared" si="10"/>
        <v>422.77345044029948</v>
      </c>
      <c r="G162" s="1">
        <f t="shared" si="11"/>
        <v>2.0003799999999998</v>
      </c>
    </row>
    <row r="163" spans="1:7" x14ac:dyDescent="0.15">
      <c r="A163" s="1">
        <v>8.3491499999999998</v>
      </c>
      <c r="B163" s="1">
        <v>2.0003799999999998</v>
      </c>
      <c r="C163" s="1">
        <f t="shared" si="8"/>
        <v>-0.49957446808510736</v>
      </c>
      <c r="D163" s="1">
        <f t="shared" si="9"/>
        <v>-16.872693787086117</v>
      </c>
      <c r="E163" s="1">
        <f t="shared" si="10"/>
        <v>-218.5575442299922</v>
      </c>
      <c r="G163" s="1">
        <f t="shared" si="11"/>
        <v>1.9183600000000001</v>
      </c>
    </row>
    <row r="164" spans="1:7" x14ac:dyDescent="0.15">
      <c r="A164" s="1">
        <v>8.3666999999999998</v>
      </c>
      <c r="B164" s="1">
        <v>1.9183600000000001</v>
      </c>
      <c r="C164" s="1">
        <f t="shared" si="8"/>
        <v>1.7888770811193353</v>
      </c>
      <c r="D164" s="1">
        <f t="shared" si="9"/>
        <v>27.31981498743858</v>
      </c>
      <c r="E164" s="1">
        <f t="shared" si="10"/>
        <v>77.902968459543544</v>
      </c>
      <c r="G164" s="1">
        <f t="shared" si="11"/>
        <v>1.8890100000000001</v>
      </c>
    </row>
    <row r="165" spans="1:7" x14ac:dyDescent="0.15">
      <c r="A165" s="1">
        <v>8.4254499999999997</v>
      </c>
      <c r="B165" s="1">
        <v>1.8890100000000001</v>
      </c>
      <c r="C165" s="1">
        <f t="shared" si="8"/>
        <v>0.32129017551857636</v>
      </c>
      <c r="D165" s="1">
        <f t="shared" si="9"/>
        <v>-30.042798071165343</v>
      </c>
      <c r="E165" s="1">
        <f t="shared" si="10"/>
        <v>343.24295408055821</v>
      </c>
      <c r="G165" s="1">
        <f t="shared" si="11"/>
        <v>1.9395100000000001</v>
      </c>
    </row>
    <row r="166" spans="1:7" x14ac:dyDescent="0.15">
      <c r="A166" s="1">
        <v>8.4536800000000003</v>
      </c>
      <c r="B166" s="1">
        <v>1.9395100000000001</v>
      </c>
      <c r="C166" s="1">
        <f t="shared" si="8"/>
        <v>5.8866096866097148</v>
      </c>
      <c r="D166" s="1">
        <f t="shared" si="9"/>
        <v>-12.805987269806668</v>
      </c>
      <c r="E166" s="1">
        <f t="shared" si="10"/>
        <v>-1192.5585283861869</v>
      </c>
      <c r="G166" s="1">
        <f t="shared" si="11"/>
        <v>1.9958899999999999</v>
      </c>
    </row>
    <row r="167" spans="1:7" x14ac:dyDescent="0.15">
      <c r="A167" s="1">
        <v>8.6291600000000006</v>
      </c>
      <c r="B167" s="1">
        <v>1.9958899999999999</v>
      </c>
      <c r="C167" s="1">
        <f t="shared" si="8"/>
        <v>8.7448374932661319E-2</v>
      </c>
      <c r="D167" s="1">
        <f t="shared" si="9"/>
        <v>72.565400269109944</v>
      </c>
      <c r="E167" s="1">
        <f t="shared" si="10"/>
        <v>-193.64648591411307</v>
      </c>
      <c r="G167" s="1">
        <f t="shared" si="11"/>
        <v>2.0992000000000002</v>
      </c>
    </row>
    <row r="168" spans="1:7" x14ac:dyDescent="0.15">
      <c r="A168" s="1">
        <v>8.6467100000000006</v>
      </c>
      <c r="B168" s="1">
        <v>2.0992000000000002</v>
      </c>
      <c r="C168" s="1">
        <f t="shared" si="8"/>
        <v>-0.85046213270798143</v>
      </c>
      <c r="D168" s="1">
        <f t="shared" si="9"/>
        <v>-101.22615407260739</v>
      </c>
      <c r="E168" s="1">
        <f t="shared" si="10"/>
        <v>-16588.798291233888</v>
      </c>
      <c r="G168" s="1">
        <f t="shared" si="11"/>
        <v>2.1040700000000001</v>
      </c>
    </row>
    <row r="169" spans="1:7" x14ac:dyDescent="0.15">
      <c r="A169" s="1">
        <v>8.7024000000000008</v>
      </c>
      <c r="B169" s="1">
        <v>2.1040700000000001</v>
      </c>
      <c r="C169" s="1">
        <f t="shared" si="8"/>
        <v>8.4509708737864315</v>
      </c>
      <c r="D169" s="1">
        <f t="shared" si="9"/>
        <v>-130.03687824690886</v>
      </c>
      <c r="E169" s="1">
        <f t="shared" si="10"/>
        <v>225072.21733788919</v>
      </c>
      <c r="G169" s="1">
        <f t="shared" si="11"/>
        <v>2.0424199999999999</v>
      </c>
    </row>
    <row r="170" spans="1:7" x14ac:dyDescent="0.15">
      <c r="A170" s="1">
        <v>8.7748899999999992</v>
      </c>
      <c r="B170" s="1">
        <v>2.0424199999999999</v>
      </c>
      <c r="C170" s="1">
        <f t="shared" si="8"/>
        <v>-0.97217180883242282</v>
      </c>
      <c r="D170" s="1">
        <f t="shared" si="9"/>
        <v>-2496.9266184401367</v>
      </c>
      <c r="E170" s="1">
        <f t="shared" si="10"/>
        <v>-357811.11799442396</v>
      </c>
      <c r="G170" s="1">
        <f t="shared" si="11"/>
        <v>2.21651</v>
      </c>
    </row>
    <row r="171" spans="1:7" x14ac:dyDescent="0.15">
      <c r="A171" s="1">
        <v>8.7954899999999991</v>
      </c>
      <c r="B171" s="1">
        <v>2.21651</v>
      </c>
      <c r="C171" s="1">
        <f t="shared" si="8"/>
        <v>-10.099460292982981</v>
      </c>
      <c r="D171" s="1">
        <f t="shared" si="9"/>
        <v>16220.078975379007</v>
      </c>
      <c r="E171" s="1">
        <f t="shared" si="10"/>
        <v>257279.19609316631</v>
      </c>
      <c r="G171" s="1">
        <f t="shared" si="11"/>
        <v>2.1682999999999999</v>
      </c>
    </row>
    <row r="172" spans="1:7" x14ac:dyDescent="0.15">
      <c r="A172" s="1">
        <v>8.8450799999999994</v>
      </c>
      <c r="B172" s="1">
        <v>2.1682999999999999</v>
      </c>
      <c r="C172" s="1">
        <f t="shared" si="8"/>
        <v>-166.30718954260112</v>
      </c>
      <c r="D172" s="1">
        <f t="shared" si="9"/>
        <v>-6712.0355768836971</v>
      </c>
      <c r="E172" s="1">
        <f t="shared" si="10"/>
        <v>46960.963237930133</v>
      </c>
      <c r="G172" s="1">
        <f t="shared" si="11"/>
        <v>2.0373100000000002</v>
      </c>
    </row>
    <row r="173" spans="1:7" x14ac:dyDescent="0.15">
      <c r="A173" s="1">
        <v>8.8580500000000004</v>
      </c>
      <c r="B173" s="1">
        <v>2.0373100000000002</v>
      </c>
      <c r="C173" s="1">
        <f t="shared" si="8"/>
        <v>68.88395560039379</v>
      </c>
      <c r="D173" s="1">
        <f t="shared" si="9"/>
        <v>-431.85040024915321</v>
      </c>
      <c r="E173" s="1">
        <f t="shared" si="10"/>
        <v>-35796.425951670069</v>
      </c>
      <c r="G173" s="1">
        <f t="shared" si="11"/>
        <v>1.7828599999999999</v>
      </c>
    </row>
    <row r="174" spans="1:7" x14ac:dyDescent="0.15">
      <c r="A174" s="1">
        <v>8.8595799999999993</v>
      </c>
      <c r="B174" s="1">
        <v>1.7828599999999999</v>
      </c>
      <c r="C174" s="1">
        <f t="shared" si="8"/>
        <v>-7.9017313991579856</v>
      </c>
      <c r="D174" s="1">
        <f t="shared" si="9"/>
        <v>1108.9388035873139</v>
      </c>
      <c r="E174" s="1">
        <f t="shared" si="10"/>
        <v>18135.951866873042</v>
      </c>
      <c r="G174" s="1">
        <f t="shared" si="11"/>
        <v>2.4655</v>
      </c>
    </row>
    <row r="175" spans="1:7" x14ac:dyDescent="0.15">
      <c r="A175" s="1">
        <v>8.8694900000000008</v>
      </c>
      <c r="B175" s="1">
        <v>2.4655</v>
      </c>
      <c r="C175" s="1">
        <f t="shared" si="8"/>
        <v>-21.410011918951774</v>
      </c>
      <c r="D175" s="1">
        <f t="shared" si="9"/>
        <v>-911.76944138445731</v>
      </c>
      <c r="E175" s="1">
        <f t="shared" si="10"/>
        <v>-1544.7810844848575</v>
      </c>
      <c r="G175" s="1">
        <f t="shared" si="11"/>
        <v>2.29664</v>
      </c>
    </row>
    <row r="176" spans="1:7" x14ac:dyDescent="0.15">
      <c r="A176" s="1">
        <v>8.89086</v>
      </c>
      <c r="B176" s="1">
        <v>2.29664</v>
      </c>
      <c r="C176" s="1">
        <f t="shared" si="8"/>
        <v>30.20000000000012</v>
      </c>
      <c r="D176" s="1">
        <f t="shared" si="9"/>
        <v>84.619754181519113</v>
      </c>
      <c r="E176" s="1">
        <f t="shared" si="10"/>
        <v>1513.2214045245153</v>
      </c>
      <c r="G176" s="1">
        <f t="shared" si="11"/>
        <v>1.7577499999999999</v>
      </c>
    </row>
    <row r="177" spans="1:7" x14ac:dyDescent="0.15">
      <c r="A177" s="1">
        <v>8.9160299999999992</v>
      </c>
      <c r="B177" s="1">
        <v>1.7577499999999999</v>
      </c>
      <c r="C177" s="1">
        <f t="shared" si="8"/>
        <v>-0.40810014727539379</v>
      </c>
      <c r="D177" s="1">
        <f t="shared" si="9"/>
        <v>-72.129182461160681</v>
      </c>
      <c r="E177" s="1">
        <f t="shared" si="10"/>
        <v>1208.9360682706576</v>
      </c>
      <c r="G177" s="1">
        <f t="shared" si="11"/>
        <v>2.0114299999999998</v>
      </c>
    </row>
    <row r="178" spans="1:7" x14ac:dyDescent="0.15">
      <c r="A178" s="1">
        <v>8.9244299999999992</v>
      </c>
      <c r="B178" s="1">
        <v>2.0114299999999998</v>
      </c>
      <c r="C178" s="1">
        <f t="shared" si="8"/>
        <v>6.0483870967746487</v>
      </c>
      <c r="D178" s="1">
        <f t="shared" si="9"/>
        <v>58.340767036944314</v>
      </c>
      <c r="E178" s="1">
        <f t="shared" si="10"/>
        <v>-28195.400845834058</v>
      </c>
      <c r="G178" s="1">
        <f t="shared" si="11"/>
        <v>1.9837199999999999</v>
      </c>
    </row>
    <row r="179" spans="1:7" x14ac:dyDescent="0.15">
      <c r="A179" s="1">
        <v>8.9923300000000008</v>
      </c>
      <c r="B179" s="1">
        <v>1.9837199999999999</v>
      </c>
      <c r="C179" s="1">
        <f t="shared" si="8"/>
        <v>0.43529411764706022</v>
      </c>
      <c r="D179" s="1">
        <f t="shared" si="9"/>
        <v>188.38601990081995</v>
      </c>
      <c r="E179" s="1">
        <f t="shared" si="10"/>
        <v>187038.47009315752</v>
      </c>
      <c r="G179" s="1">
        <f t="shared" si="11"/>
        <v>2.04372</v>
      </c>
    </row>
    <row r="180" spans="1:7" x14ac:dyDescent="0.15">
      <c r="A180" s="1">
        <v>9.0022500000000001</v>
      </c>
      <c r="B180" s="1">
        <v>2.04372</v>
      </c>
      <c r="C180" s="1">
        <f t="shared" si="8"/>
        <v>2.7496723460025949</v>
      </c>
      <c r="D180" s="1">
        <f t="shared" si="9"/>
        <v>-1575.5182570145448</v>
      </c>
      <c r="E180" s="1">
        <f t="shared" si="10"/>
        <v>-946456.4316174282</v>
      </c>
      <c r="G180" s="1">
        <f t="shared" si="11"/>
        <v>2.05667</v>
      </c>
    </row>
    <row r="181" spans="1:7" x14ac:dyDescent="0.15">
      <c r="A181" s="1">
        <v>9.032</v>
      </c>
      <c r="B181" s="1">
        <v>2.05667</v>
      </c>
      <c r="C181" s="1">
        <f t="shared" si="8"/>
        <v>12.666312433581803</v>
      </c>
      <c r="D181" s="1">
        <f t="shared" si="9"/>
        <v>13550.282819418937</v>
      </c>
      <c r="E181" s="1">
        <f t="shared" si="10"/>
        <v>385620.84027165233</v>
      </c>
      <c r="G181" s="1" t="e">
        <f t="shared" si="11"/>
        <v>#DIV/0!</v>
      </c>
    </row>
    <row r="182" spans="1:7" x14ac:dyDescent="0.15">
      <c r="A182" s="1">
        <v>9.0548900000000003</v>
      </c>
      <c r="B182" s="1">
        <v>2.1196100000000002</v>
      </c>
      <c r="C182" s="1">
        <f t="shared" si="8"/>
        <v>-67.874180865000412</v>
      </c>
      <c r="D182" s="1">
        <f t="shared" si="9"/>
        <v>-42054.032538104839</v>
      </c>
      <c r="E182" s="1" t="e">
        <f t="shared" si="10"/>
        <v>#DIV/0!</v>
      </c>
      <c r="G182" s="1" t="e">
        <f t="shared" si="11"/>
        <v>#DIV/0!</v>
      </c>
    </row>
    <row r="183" spans="1:7" x14ac:dyDescent="0.15">
      <c r="A183" s="1">
        <v>9.0831199999999992</v>
      </c>
      <c r="B183" s="1">
        <v>2.4771800000000002</v>
      </c>
      <c r="C183" s="1">
        <f t="shared" si="8"/>
        <v>418.03896103935671</v>
      </c>
      <c r="D183" s="1">
        <f t="shared" si="9"/>
        <v>-27928.741158954665</v>
      </c>
      <c r="E183" s="1" t="e">
        <f t="shared" si="10"/>
        <v>#DIV/0!</v>
      </c>
      <c r="G183" s="1" t="e">
        <f t="shared" si="11"/>
        <v>#DIV/0!</v>
      </c>
    </row>
    <row r="184" spans="1:7" x14ac:dyDescent="0.15">
      <c r="A184" s="1">
        <v>9.0907499999999999</v>
      </c>
      <c r="B184" s="1">
        <v>1.9593</v>
      </c>
      <c r="C184" s="1">
        <f t="shared" si="8"/>
        <v>64.785087719277627</v>
      </c>
      <c r="D184" s="1" t="e">
        <f t="shared" si="9"/>
        <v>#DIV/0!</v>
      </c>
      <c r="E184" s="1" t="e">
        <f t="shared" si="10"/>
        <v>#DIV/0!</v>
      </c>
      <c r="G184" s="1" t="e">
        <f t="shared" si="11"/>
        <v>#DIV/0!</v>
      </c>
    </row>
    <row r="185" spans="1:7" x14ac:dyDescent="0.15">
      <c r="A185" s="1">
        <v>9.0915199999999992</v>
      </c>
      <c r="B185" s="1">
        <v>2.2811900000000001</v>
      </c>
      <c r="C185" s="1">
        <f t="shared" si="8"/>
        <v>-20.397572815534019</v>
      </c>
      <c r="D185" s="1" t="e">
        <f t="shared" si="9"/>
        <v>#DIV/0!</v>
      </c>
      <c r="E185" s="1">
        <f t="shared" si="10"/>
        <v>10068.827647605274</v>
      </c>
      <c r="G185" s="1" t="e">
        <f t="shared" si="11"/>
        <v>#DIV/0!</v>
      </c>
    </row>
    <row r="186" spans="1:7" x14ac:dyDescent="0.15">
      <c r="A186" s="1">
        <v>9.0937999999999999</v>
      </c>
      <c r="B186" s="1">
        <v>2.4289000000000001</v>
      </c>
      <c r="C186" s="1" t="e">
        <f t="shared" si="8"/>
        <v>#DIV/0!</v>
      </c>
      <c r="D186" s="1">
        <f t="shared" si="9"/>
        <v>-443.42280480741226</v>
      </c>
      <c r="E186" s="1">
        <f t="shared" si="10"/>
        <v>-5967.542083252747</v>
      </c>
      <c r="G186" s="1">
        <f t="shared" si="11"/>
        <v>2.0087100000000002</v>
      </c>
    </row>
    <row r="187" spans="1:7" x14ac:dyDescent="0.15">
      <c r="A187" s="1">
        <v>9.1143999999999998</v>
      </c>
      <c r="B187" s="1">
        <v>2.0087100000000002</v>
      </c>
      <c r="C187" s="1">
        <f t="shared" si="8"/>
        <v>-0.2329113924050687</v>
      </c>
      <c r="D187" s="1">
        <f t="shared" si="9"/>
        <v>440.11682126994816</v>
      </c>
      <c r="E187" s="1">
        <f t="shared" si="10"/>
        <v>-635.5369390681708</v>
      </c>
      <c r="G187" s="1">
        <f t="shared" si="11"/>
        <v>2.2592500000000002</v>
      </c>
    </row>
    <row r="188" spans="1:7" x14ac:dyDescent="0.15">
      <c r="A188" s="1">
        <v>9.1143999999999998</v>
      </c>
      <c r="B188" s="1">
        <v>2.2592500000000002</v>
      </c>
      <c r="C188" s="1">
        <f t="shared" si="8"/>
        <v>-30.008752735222721</v>
      </c>
      <c r="D188" s="1">
        <f t="shared" si="9"/>
        <v>12.124703059055829</v>
      </c>
      <c r="E188" s="1">
        <f t="shared" si="10"/>
        <v>710.21531326081515</v>
      </c>
      <c r="G188" s="1">
        <f t="shared" si="11"/>
        <v>2.2436099999999999</v>
      </c>
    </row>
    <row r="189" spans="1:7" x14ac:dyDescent="0.15">
      <c r="A189" s="1">
        <v>9.1815499999999997</v>
      </c>
      <c r="B189" s="1">
        <v>2.2436099999999999</v>
      </c>
      <c r="C189" s="1">
        <f t="shared" si="8"/>
        <v>1.5564256862583556</v>
      </c>
      <c r="D189" s="1">
        <f t="shared" si="9"/>
        <v>-110.55299228927335</v>
      </c>
      <c r="E189" s="1">
        <f t="shared" si="10"/>
        <v>4689.5533015351084</v>
      </c>
      <c r="G189" s="1">
        <f t="shared" si="11"/>
        <v>2.1064699999999998</v>
      </c>
    </row>
    <row r="190" spans="1:7" x14ac:dyDescent="0.15">
      <c r="A190" s="1">
        <v>9.1861200000000007</v>
      </c>
      <c r="B190" s="1">
        <v>2.1064699999999998</v>
      </c>
      <c r="C190" s="1">
        <f t="shared" si="8"/>
        <v>3.0826833073323088</v>
      </c>
      <c r="D190" s="1">
        <f t="shared" si="9"/>
        <v>1.6113121340074281</v>
      </c>
      <c r="E190" s="1">
        <f t="shared" si="10"/>
        <v>-16409.196006172941</v>
      </c>
      <c r="G190" s="1">
        <f t="shared" si="11"/>
        <v>2.29528</v>
      </c>
    </row>
    <row r="191" spans="1:7" x14ac:dyDescent="0.15">
      <c r="A191" s="1">
        <v>9.3074300000000001</v>
      </c>
      <c r="B191" s="1">
        <v>2.29528</v>
      </c>
      <c r="C191" s="1">
        <f t="shared" si="8"/>
        <v>-13.87172359015057</v>
      </c>
      <c r="D191" s="1">
        <f t="shared" si="9"/>
        <v>838.88415859008535</v>
      </c>
      <c r="E191" s="1">
        <f t="shared" si="10"/>
        <v>103.39576931487011</v>
      </c>
      <c r="G191" s="1">
        <f t="shared" si="11"/>
        <v>2.3940800000000002</v>
      </c>
    </row>
    <row r="192" spans="1:7" x14ac:dyDescent="0.15">
      <c r="A192" s="1">
        <v>9.33948</v>
      </c>
      <c r="B192" s="1">
        <v>2.3940800000000002</v>
      </c>
      <c r="C192" s="1">
        <f t="shared" si="8"/>
        <v>-13.779508196721324</v>
      </c>
      <c r="D192" s="1">
        <f t="shared" si="9"/>
        <v>-300.40632011851108</v>
      </c>
      <c r="E192" s="1">
        <f t="shared" si="10"/>
        <v>7840.81561054125</v>
      </c>
      <c r="G192" s="1">
        <f t="shared" si="11"/>
        <v>2.0447899999999999</v>
      </c>
    </row>
    <row r="193" spans="1:7" x14ac:dyDescent="0.15">
      <c r="A193" s="1">
        <v>9.3646600000000007</v>
      </c>
      <c r="B193" s="1">
        <v>2.0447899999999999</v>
      </c>
      <c r="C193" s="1">
        <f t="shared" si="8"/>
        <v>17.5779816513766</v>
      </c>
      <c r="D193" s="1">
        <f t="shared" si="9"/>
        <v>-293.38574738203141</v>
      </c>
      <c r="E193" s="1">
        <f t="shared" si="10"/>
        <v>-3391.7136929291614</v>
      </c>
      <c r="G193" s="1">
        <f t="shared" si="11"/>
        <v>1.8766799999999999</v>
      </c>
    </row>
    <row r="194" spans="1:7" x14ac:dyDescent="0.15">
      <c r="A194" s="1">
        <v>9.3768600000000006</v>
      </c>
      <c r="B194" s="1">
        <v>1.8766799999999999</v>
      </c>
      <c r="C194" s="1">
        <f t="shared" ref="C194:C257" si="12">(B196-B195)/(A196-A195)</f>
        <v>4.7446236559140473</v>
      </c>
      <c r="D194" s="1">
        <f t="shared" ref="D194:D257" si="13">(C196-C195)/(A197-A195)</f>
        <v>274.91656806998867</v>
      </c>
      <c r="E194" s="1">
        <f t="shared" ref="E194:E257" si="14" xml:space="preserve"> (D196-D195)/(A198-A195)</f>
        <v>137.42021544258648</v>
      </c>
      <c r="G194" s="1">
        <f t="shared" ref="G194:G257" si="15" xml:space="preserve"> B195 + C195*(A195-A195) + D195*(A195-A195)*(A195-A196) + E195*(A195-A195)*(A195-A196)*(A195-A197)</f>
        <v>2.41316</v>
      </c>
    </row>
    <row r="195" spans="1:7" x14ac:dyDescent="0.15">
      <c r="A195" s="1">
        <v>9.4073799999999999</v>
      </c>
      <c r="B195" s="1">
        <v>2.41316</v>
      </c>
      <c r="C195" s="1">
        <f t="shared" si="12"/>
        <v>-12.940669196274449</v>
      </c>
      <c r="D195" s="1">
        <f t="shared" si="13"/>
        <v>-27.861713297794452</v>
      </c>
      <c r="E195" s="1">
        <f t="shared" si="14"/>
        <v>87.806455478437712</v>
      </c>
      <c r="G195" s="1">
        <f t="shared" si="15"/>
        <v>2.55436</v>
      </c>
    </row>
    <row r="196" spans="1:7" x14ac:dyDescent="0.15">
      <c r="A196" s="1">
        <v>9.4371399999999994</v>
      </c>
      <c r="B196" s="1">
        <v>2.55436</v>
      </c>
      <c r="C196" s="1">
        <f t="shared" si="12"/>
        <v>3.2106791778373451</v>
      </c>
      <c r="D196" s="1">
        <f t="shared" si="13"/>
        <v>-1.335489110911946</v>
      </c>
      <c r="E196" s="1">
        <f t="shared" si="14"/>
        <v>15.599969428489953</v>
      </c>
      <c r="G196" s="1">
        <f t="shared" si="15"/>
        <v>2.1792099999999999</v>
      </c>
    </row>
    <row r="197" spans="1:7" x14ac:dyDescent="0.15">
      <c r="A197" s="1">
        <v>9.4661299999999997</v>
      </c>
      <c r="B197" s="1">
        <v>2.1792099999999999</v>
      </c>
      <c r="C197" s="1">
        <f t="shared" si="12"/>
        <v>-1.3383027522935742</v>
      </c>
      <c r="D197" s="1">
        <f t="shared" si="13"/>
        <v>18.360376917456495</v>
      </c>
      <c r="E197" s="1">
        <f t="shared" si="14"/>
        <v>-826.00479338153139</v>
      </c>
      <c r="G197" s="1">
        <f t="shared" si="15"/>
        <v>2.6103399999999999</v>
      </c>
    </row>
    <row r="198" spans="1:7" x14ac:dyDescent="0.15">
      <c r="A198" s="1">
        <v>9.6004100000000001</v>
      </c>
      <c r="B198" s="1">
        <v>2.6103399999999999</v>
      </c>
      <c r="C198" s="1">
        <f t="shared" si="12"/>
        <v>-1.5991504854368963</v>
      </c>
      <c r="D198" s="1">
        <f t="shared" si="13"/>
        <v>26.549112869859439</v>
      </c>
      <c r="E198" s="1">
        <f t="shared" si="14"/>
        <v>1054.6699936762545</v>
      </c>
      <c r="G198" s="1">
        <f t="shared" si="15"/>
        <v>2.5286499999999998</v>
      </c>
    </row>
    <row r="199" spans="1:7" x14ac:dyDescent="0.15">
      <c r="A199" s="1">
        <v>9.6614500000000003</v>
      </c>
      <c r="B199" s="1">
        <v>2.5286499999999998</v>
      </c>
      <c r="C199" s="1">
        <f t="shared" si="12"/>
        <v>5.5731471535982982</v>
      </c>
      <c r="D199" s="1">
        <f t="shared" si="13"/>
        <v>-334.57192274861171</v>
      </c>
      <c r="E199" s="1">
        <f t="shared" si="14"/>
        <v>-834.57993572175565</v>
      </c>
      <c r="G199" s="1">
        <f t="shared" si="15"/>
        <v>2.0015700000000001</v>
      </c>
    </row>
    <row r="200" spans="1:7" x14ac:dyDescent="0.15">
      <c r="A200" s="1">
        <v>9.9910499999999995</v>
      </c>
      <c r="B200" s="1">
        <v>2.0015700000000001</v>
      </c>
      <c r="C200" s="1">
        <f t="shared" si="12"/>
        <v>15.559595959595901</v>
      </c>
      <c r="D200" s="1">
        <f t="shared" si="13"/>
        <v>72.583428310105433</v>
      </c>
      <c r="E200" s="1">
        <f t="shared" si="14"/>
        <v>215.75620611820383</v>
      </c>
      <c r="G200" s="1">
        <f t="shared" si="15"/>
        <v>2.2610000000000001</v>
      </c>
    </row>
    <row r="201" spans="1:7" x14ac:dyDescent="0.15">
      <c r="A201" s="1">
        <v>10.037599999999999</v>
      </c>
      <c r="B201" s="1">
        <v>2.2610000000000001</v>
      </c>
      <c r="C201" s="1">
        <f t="shared" si="12"/>
        <v>-3.3269890795631918</v>
      </c>
      <c r="D201" s="1">
        <f t="shared" si="13"/>
        <v>-28.025182941151961</v>
      </c>
      <c r="E201" s="1">
        <f t="shared" si="14"/>
        <v>484.16690935588667</v>
      </c>
      <c r="G201" s="1">
        <f t="shared" si="15"/>
        <v>2.4150399999999999</v>
      </c>
    </row>
    <row r="202" spans="1:7" x14ac:dyDescent="0.15">
      <c r="A202" s="1">
        <v>10.047499999999999</v>
      </c>
      <c r="B202" s="1">
        <v>2.4150399999999999</v>
      </c>
      <c r="C202" s="1">
        <f t="shared" si="12"/>
        <v>2.0441846153845984</v>
      </c>
      <c r="D202" s="1">
        <f t="shared" si="13"/>
        <v>23.001159805803521</v>
      </c>
      <c r="E202" s="1">
        <f t="shared" si="14"/>
        <v>-1667.5284855939653</v>
      </c>
      <c r="G202" s="1">
        <f t="shared" si="15"/>
        <v>2.2017799999999998</v>
      </c>
    </row>
    <row r="203" spans="1:7" x14ac:dyDescent="0.15">
      <c r="A203" s="1">
        <v>10.111599999999999</v>
      </c>
      <c r="B203" s="1">
        <v>2.2017799999999998</v>
      </c>
      <c r="C203" s="1">
        <f t="shared" si="12"/>
        <v>-4.3063218390804714</v>
      </c>
      <c r="D203" s="1">
        <f t="shared" si="13"/>
        <v>174.83590257981007</v>
      </c>
      <c r="E203" s="1">
        <f t="shared" si="14"/>
        <v>1269.0263623533019</v>
      </c>
      <c r="G203" s="1">
        <f t="shared" si="15"/>
        <v>2.53396</v>
      </c>
    </row>
    <row r="204" spans="1:7" x14ac:dyDescent="0.15">
      <c r="A204" s="1">
        <v>10.274100000000001</v>
      </c>
      <c r="B204" s="1">
        <v>2.53396</v>
      </c>
      <c r="C204" s="1">
        <f t="shared" si="12"/>
        <v>1.432467532467534</v>
      </c>
      <c r="D204" s="1">
        <f t="shared" si="13"/>
        <v>-369.61214796662148</v>
      </c>
      <c r="E204" s="1">
        <f t="shared" si="14"/>
        <v>3364.342964696581</v>
      </c>
      <c r="G204" s="1">
        <f t="shared" si="15"/>
        <v>2.1593100000000001</v>
      </c>
    </row>
    <row r="205" spans="1:7" x14ac:dyDescent="0.15">
      <c r="A205" s="1">
        <v>10.3611</v>
      </c>
      <c r="B205" s="1">
        <v>2.1593100000000001</v>
      </c>
      <c r="C205" s="1">
        <f t="shared" si="12"/>
        <v>30.105555555556332</v>
      </c>
      <c r="D205" s="1">
        <f t="shared" si="13"/>
        <v>-154.6390821839727</v>
      </c>
      <c r="E205" s="1">
        <f t="shared" si="14"/>
        <v>-6928.6194893216243</v>
      </c>
      <c r="G205" s="1">
        <f t="shared" si="15"/>
        <v>2.2696100000000001</v>
      </c>
    </row>
    <row r="206" spans="1:7" x14ac:dyDescent="0.15">
      <c r="A206" s="1">
        <v>10.4381</v>
      </c>
      <c r="B206" s="1">
        <v>2.2696100000000001</v>
      </c>
      <c r="C206" s="1">
        <f t="shared" si="12"/>
        <v>-0.35048543689320488</v>
      </c>
      <c r="D206" s="1">
        <f t="shared" si="13"/>
        <v>261.19370825252372</v>
      </c>
      <c r="E206" s="1">
        <f t="shared" si="14"/>
        <v>887.7233190740285</v>
      </c>
      <c r="G206" s="1">
        <f t="shared" si="15"/>
        <v>2.4321799999999998</v>
      </c>
    </row>
    <row r="207" spans="1:7" x14ac:dyDescent="0.15">
      <c r="A207" s="1">
        <v>10.4435</v>
      </c>
      <c r="B207" s="1">
        <v>2.4321799999999998</v>
      </c>
      <c r="C207" s="1">
        <f t="shared" si="12"/>
        <v>-7.5566666666662954</v>
      </c>
      <c r="D207" s="1">
        <f t="shared" si="13"/>
        <v>-82.465818417827933</v>
      </c>
      <c r="E207" s="1">
        <f t="shared" si="14"/>
        <v>-96.816200177878031</v>
      </c>
      <c r="G207" s="1">
        <f t="shared" si="15"/>
        <v>2.4177399999999998</v>
      </c>
    </row>
    <row r="208" spans="1:7" x14ac:dyDescent="0.15">
      <c r="A208" s="1">
        <v>10.4847</v>
      </c>
      <c r="B208" s="1">
        <v>2.4177399999999998</v>
      </c>
      <c r="C208" s="1">
        <f t="shared" si="12"/>
        <v>3.9880952380952581</v>
      </c>
      <c r="D208" s="1">
        <f t="shared" si="13"/>
        <v>8.9696834467967985</v>
      </c>
      <c r="E208" s="1">
        <f t="shared" si="14"/>
        <v>113.32906664925962</v>
      </c>
      <c r="G208" s="1">
        <f t="shared" si="15"/>
        <v>2.39507</v>
      </c>
    </row>
    <row r="209" spans="1:7" x14ac:dyDescent="0.15">
      <c r="A209" s="1">
        <v>10.4877</v>
      </c>
      <c r="B209" s="1">
        <v>2.39507</v>
      </c>
      <c r="C209" s="1">
        <f t="shared" si="12"/>
        <v>-1.1082923401264961</v>
      </c>
      <c r="D209" s="1">
        <f t="shared" si="13"/>
        <v>-24.567448294820068</v>
      </c>
      <c r="E209" s="1">
        <f t="shared" si="14"/>
        <v>167.73499004678845</v>
      </c>
      <c r="G209" s="1">
        <f t="shared" si="15"/>
        <v>2.6295700000000002</v>
      </c>
    </row>
    <row r="210" spans="1:7" x14ac:dyDescent="0.15">
      <c r="A210" s="1">
        <v>10.5465</v>
      </c>
      <c r="B210" s="1">
        <v>2.6295700000000002</v>
      </c>
      <c r="C210" s="1">
        <f t="shared" si="12"/>
        <v>1.971896955503516</v>
      </c>
      <c r="D210" s="1">
        <f t="shared" si="13"/>
        <v>19.188904338458958</v>
      </c>
      <c r="E210" s="1">
        <f t="shared" si="14"/>
        <v>19.462061073842968</v>
      </c>
      <c r="G210" s="1">
        <f t="shared" si="15"/>
        <v>2.3141500000000002</v>
      </c>
    </row>
    <row r="211" spans="1:7" x14ac:dyDescent="0.15">
      <c r="A211" s="1">
        <v>10.831099999999999</v>
      </c>
      <c r="B211" s="1">
        <v>2.3141500000000002</v>
      </c>
      <c r="C211" s="1">
        <f t="shared" si="12"/>
        <v>-6.0690288713910734</v>
      </c>
      <c r="D211" s="1">
        <f t="shared" si="13"/>
        <v>80.479269701555339</v>
      </c>
      <c r="E211" s="1">
        <f t="shared" si="14"/>
        <v>-176.04601904841107</v>
      </c>
      <c r="G211" s="1">
        <f t="shared" si="15"/>
        <v>2.3983500000000002</v>
      </c>
    </row>
    <row r="212" spans="1:7" x14ac:dyDescent="0.15">
      <c r="A212" s="1">
        <v>10.873799999999999</v>
      </c>
      <c r="B212" s="1">
        <v>2.3983500000000002</v>
      </c>
      <c r="C212" s="1">
        <f t="shared" si="12"/>
        <v>-4.51856540084359</v>
      </c>
      <c r="D212" s="1">
        <f t="shared" si="13"/>
        <v>82.51305508377196</v>
      </c>
      <c r="E212" s="1">
        <f t="shared" si="14"/>
        <v>-6596.5026819371578</v>
      </c>
      <c r="G212" s="1">
        <f t="shared" si="15"/>
        <v>2.1671200000000002</v>
      </c>
    </row>
    <row r="213" spans="1:7" x14ac:dyDescent="0.15">
      <c r="A213" s="1">
        <v>10.911899999999999</v>
      </c>
      <c r="B213" s="1">
        <v>2.1671200000000002</v>
      </c>
      <c r="C213" s="1">
        <f t="shared" si="12"/>
        <v>0.45505346671266061</v>
      </c>
      <c r="D213" s="1">
        <f t="shared" si="13"/>
        <v>20.597670184445608</v>
      </c>
      <c r="E213" s="1">
        <f t="shared" si="14"/>
        <v>7433.9673818449492</v>
      </c>
      <c r="G213" s="1">
        <f t="shared" si="15"/>
        <v>2.0600299999999998</v>
      </c>
    </row>
    <row r="214" spans="1:7" x14ac:dyDescent="0.15">
      <c r="A214" s="1">
        <v>10.935600000000001</v>
      </c>
      <c r="B214" s="1">
        <v>2.0600299999999998</v>
      </c>
      <c r="C214" s="1">
        <f t="shared" si="12"/>
        <v>26.331147540983629</v>
      </c>
      <c r="D214" s="1">
        <f t="shared" si="13"/>
        <v>-2128.5429035906868</v>
      </c>
      <c r="E214" s="1">
        <f t="shared" si="14"/>
        <v>-5410.3011376349577</v>
      </c>
      <c r="G214" s="1" t="e">
        <f t="shared" si="15"/>
        <v>#DIV/0!</v>
      </c>
    </row>
    <row r="215" spans="1:7" x14ac:dyDescent="0.15">
      <c r="A215" s="1">
        <v>11.2255</v>
      </c>
      <c r="B215" s="1">
        <v>2.1919499999999998</v>
      </c>
      <c r="C215" s="1">
        <f t="shared" si="12"/>
        <v>32.553703703704635</v>
      </c>
      <c r="D215" s="1">
        <f t="shared" si="13"/>
        <v>157.40206632662924</v>
      </c>
      <c r="E215" s="1" t="e">
        <f t="shared" si="14"/>
        <v>#DIV/0!</v>
      </c>
      <c r="G215" s="1" t="e">
        <f t="shared" si="15"/>
        <v>#DIV/0!</v>
      </c>
    </row>
    <row r="216" spans="1:7" x14ac:dyDescent="0.15">
      <c r="A216" s="1">
        <v>11.2377</v>
      </c>
      <c r="B216" s="1">
        <v>2.5131899999999998</v>
      </c>
      <c r="C216" s="1">
        <f t="shared" si="12"/>
        <v>-4.9086513994911058</v>
      </c>
      <c r="D216" s="1">
        <f t="shared" si="13"/>
        <v>-363.06890311385166</v>
      </c>
      <c r="E216" s="1" t="e">
        <f t="shared" si="14"/>
        <v>#DIV/0!</v>
      </c>
      <c r="G216" s="1" t="e">
        <f t="shared" si="15"/>
        <v>#DIV/0!</v>
      </c>
    </row>
    <row r="217" spans="1:7" x14ac:dyDescent="0.15">
      <c r="A217" s="1">
        <v>11.2431</v>
      </c>
      <c r="B217" s="1">
        <v>2.6889799999999999</v>
      </c>
      <c r="C217" s="1">
        <f t="shared" si="12"/>
        <v>8.3131221719456931</v>
      </c>
      <c r="D217" s="1" t="e">
        <f t="shared" si="13"/>
        <v>#DIV/0!</v>
      </c>
      <c r="E217" s="1" t="e">
        <f t="shared" si="14"/>
        <v>#DIV/0!</v>
      </c>
      <c r="G217" s="1" t="e">
        <f t="shared" si="15"/>
        <v>#DIV/0!</v>
      </c>
    </row>
    <row r="218" spans="1:7" x14ac:dyDescent="0.15">
      <c r="A218" s="1">
        <v>11.3217</v>
      </c>
      <c r="B218" s="1">
        <v>2.3031600000000001</v>
      </c>
      <c r="C218" s="1">
        <f t="shared" si="12"/>
        <v>-36.271739130435215</v>
      </c>
      <c r="D218" s="1" t="e">
        <f t="shared" si="13"/>
        <v>#DIV/0!</v>
      </c>
      <c r="E218" s="1">
        <f t="shared" si="14"/>
        <v>-8484.3140716315465</v>
      </c>
      <c r="G218" s="1" t="e">
        <f t="shared" si="15"/>
        <v>#DIV/0!</v>
      </c>
    </row>
    <row r="219" spans="1:7" x14ac:dyDescent="0.15">
      <c r="A219" s="1">
        <v>11.3659</v>
      </c>
      <c r="B219" s="1">
        <v>2.6705999999999999</v>
      </c>
      <c r="C219" s="1" t="e">
        <f t="shared" si="12"/>
        <v>#DIV/0!</v>
      </c>
      <c r="D219" s="1">
        <f t="shared" si="13"/>
        <v>399.47307793193613</v>
      </c>
      <c r="E219" s="1">
        <f t="shared" si="14"/>
        <v>349.19621114396631</v>
      </c>
      <c r="G219" s="1">
        <f t="shared" si="15"/>
        <v>2.5037500000000001</v>
      </c>
    </row>
    <row r="220" spans="1:7" x14ac:dyDescent="0.15">
      <c r="A220" s="1">
        <v>11.3705</v>
      </c>
      <c r="B220" s="1">
        <v>2.5037500000000001</v>
      </c>
      <c r="C220" s="1">
        <f t="shared" si="12"/>
        <v>-13.409355509355562</v>
      </c>
      <c r="D220" s="1">
        <f t="shared" si="13"/>
        <v>-47.650273643044294</v>
      </c>
      <c r="E220" s="1">
        <f t="shared" si="14"/>
        <v>349.13153794836467</v>
      </c>
      <c r="G220" s="1">
        <f t="shared" si="15"/>
        <v>2.65191</v>
      </c>
    </row>
    <row r="221" spans="1:7" x14ac:dyDescent="0.15">
      <c r="A221" s="1">
        <v>11.3705</v>
      </c>
      <c r="B221" s="1">
        <v>2.65191</v>
      </c>
      <c r="C221" s="1">
        <f t="shared" si="12"/>
        <v>5.8052995391704902</v>
      </c>
      <c r="D221" s="1">
        <f t="shared" si="13"/>
        <v>-15.698820323371409</v>
      </c>
      <c r="E221" s="1">
        <f t="shared" si="14"/>
        <v>-3252.0811694894137</v>
      </c>
      <c r="G221" s="1">
        <f t="shared" si="15"/>
        <v>2.00692</v>
      </c>
    </row>
    <row r="222" spans="1:7" x14ac:dyDescent="0.15">
      <c r="A222" s="1">
        <v>11.4186</v>
      </c>
      <c r="B222" s="1">
        <v>2.00692</v>
      </c>
      <c r="C222" s="1">
        <f t="shared" si="12"/>
        <v>1.4452995008319414</v>
      </c>
      <c r="D222" s="1">
        <f t="shared" si="13"/>
        <v>100.17793712169117</v>
      </c>
      <c r="E222" s="1">
        <f t="shared" si="14"/>
        <v>4993.9170641358232</v>
      </c>
      <c r="G222" s="1">
        <f t="shared" si="15"/>
        <v>2.2588699999999999</v>
      </c>
    </row>
    <row r="223" spans="1:7" x14ac:dyDescent="0.15">
      <c r="A223" s="1">
        <v>11.462</v>
      </c>
      <c r="B223" s="1">
        <v>2.2588699999999999</v>
      </c>
      <c r="C223" s="1">
        <f t="shared" si="12"/>
        <v>-3.0100257069408825</v>
      </c>
      <c r="D223" s="1">
        <f t="shared" si="13"/>
        <v>-949.26865627254631</v>
      </c>
      <c r="E223" s="1">
        <f t="shared" si="14"/>
        <v>-4415.2003421411082</v>
      </c>
      <c r="G223" s="1">
        <f t="shared" si="15"/>
        <v>2.6063200000000002</v>
      </c>
    </row>
    <row r="224" spans="1:7" x14ac:dyDescent="0.15">
      <c r="A224" s="1">
        <v>11.702400000000001</v>
      </c>
      <c r="B224" s="1">
        <v>2.6063200000000002</v>
      </c>
      <c r="C224" s="1">
        <f t="shared" si="12"/>
        <v>24.969672131147561</v>
      </c>
      <c r="D224" s="1">
        <f t="shared" si="13"/>
        <v>506.45816792305112</v>
      </c>
      <c r="E224" s="1">
        <f t="shared" si="14"/>
        <v>-3835.317946738734</v>
      </c>
      <c r="G224" s="1">
        <f t="shared" si="15"/>
        <v>2.4892300000000001</v>
      </c>
    </row>
    <row r="225" spans="1:7" x14ac:dyDescent="0.15">
      <c r="A225" s="1">
        <v>11.741300000000001</v>
      </c>
      <c r="B225" s="1">
        <v>2.4892300000000001</v>
      </c>
      <c r="C225" s="1">
        <f t="shared" si="12"/>
        <v>-23.537956204379487</v>
      </c>
      <c r="D225" s="1">
        <f t="shared" si="13"/>
        <v>220.35318575230747</v>
      </c>
      <c r="E225" s="1">
        <f t="shared" si="14"/>
        <v>4461.6270315884531</v>
      </c>
      <c r="G225" s="1">
        <f t="shared" si="15"/>
        <v>2.79386</v>
      </c>
    </row>
    <row r="226" spans="1:7" x14ac:dyDescent="0.15">
      <c r="A226" s="1">
        <v>11.753500000000001</v>
      </c>
      <c r="B226" s="1">
        <v>2.79386</v>
      </c>
      <c r="C226" s="1">
        <f t="shared" si="12"/>
        <v>-10.420689655172445</v>
      </c>
      <c r="D226" s="1">
        <f t="shared" si="13"/>
        <v>9.7942304763511601</v>
      </c>
      <c r="E226" s="1">
        <f t="shared" si="14"/>
        <v>-7260.5692932079201</v>
      </c>
      <c r="G226" s="1">
        <f t="shared" si="15"/>
        <v>2.47139</v>
      </c>
    </row>
    <row r="227" spans="1:7" x14ac:dyDescent="0.15">
      <c r="A227" s="1">
        <v>11.767200000000001</v>
      </c>
      <c r="B227" s="1">
        <v>2.47139</v>
      </c>
      <c r="C227" s="1">
        <f t="shared" si="12"/>
        <v>-1.0116086235489246</v>
      </c>
      <c r="D227" s="1">
        <f t="shared" si="13"/>
        <v>469.34181472996079</v>
      </c>
      <c r="E227" s="1">
        <f t="shared" si="14"/>
        <v>-4773.0779065490642</v>
      </c>
      <c r="G227" s="1">
        <f t="shared" si="15"/>
        <v>2.16919</v>
      </c>
    </row>
    <row r="228" spans="1:7" x14ac:dyDescent="0.15">
      <c r="A228" s="1">
        <v>11.796200000000001</v>
      </c>
      <c r="B228" s="1">
        <v>2.16919</v>
      </c>
      <c r="C228" s="1">
        <f t="shared" si="12"/>
        <v>-0.1369838420107688</v>
      </c>
      <c r="D228" s="1">
        <f t="shared" si="13"/>
        <v>-583.44073278518454</v>
      </c>
      <c r="E228" s="1">
        <f t="shared" si="14"/>
        <v>11009.056024506835</v>
      </c>
      <c r="G228" s="1">
        <f t="shared" si="15"/>
        <v>2.10819</v>
      </c>
    </row>
    <row r="229" spans="1:7" x14ac:dyDescent="0.15">
      <c r="A229" s="1">
        <v>11.8565</v>
      </c>
      <c r="B229" s="1">
        <v>2.10819</v>
      </c>
      <c r="C229" s="1">
        <f t="shared" si="12"/>
        <v>54.306666666664519</v>
      </c>
      <c r="D229" s="1">
        <f t="shared" si="13"/>
        <v>-1151.4370036645221</v>
      </c>
      <c r="E229" s="1">
        <f t="shared" si="14"/>
        <v>19686.82808728905</v>
      </c>
      <c r="G229" s="1">
        <f t="shared" si="15"/>
        <v>2.1005600000000002</v>
      </c>
    </row>
    <row r="230" spans="1:7" x14ac:dyDescent="0.15">
      <c r="A230" s="1">
        <v>11.9122</v>
      </c>
      <c r="B230" s="1">
        <v>2.1005600000000002</v>
      </c>
      <c r="C230" s="1">
        <f t="shared" si="12"/>
        <v>20.058695652174201</v>
      </c>
      <c r="D230" s="1">
        <f t="shared" si="13"/>
        <v>-353.28044188777881</v>
      </c>
      <c r="E230" s="1">
        <f t="shared" si="14"/>
        <v>-17439.830556011289</v>
      </c>
      <c r="G230" s="1">
        <f t="shared" si="15"/>
        <v>2.2634799999999999</v>
      </c>
    </row>
    <row r="231" spans="1:7" x14ac:dyDescent="0.15">
      <c r="A231" s="1">
        <v>11.9152</v>
      </c>
      <c r="B231" s="1">
        <v>2.2634799999999999</v>
      </c>
      <c r="C231" s="1">
        <f t="shared" si="12"/>
        <v>0.71455399061031555</v>
      </c>
      <c r="D231" s="1">
        <f t="shared" si="13"/>
        <v>396.78770823793445</v>
      </c>
      <c r="E231" s="1">
        <f t="shared" si="14"/>
        <v>69488.632692398722</v>
      </c>
      <c r="G231" s="1">
        <f t="shared" si="15"/>
        <v>2.5402900000000002</v>
      </c>
    </row>
    <row r="232" spans="1:7" x14ac:dyDescent="0.15">
      <c r="A232" s="1">
        <v>11.929</v>
      </c>
      <c r="B232" s="1">
        <v>2.5402900000000002</v>
      </c>
      <c r="C232" s="1">
        <f t="shared" si="12"/>
        <v>-11.685589519650689</v>
      </c>
      <c r="D232" s="1">
        <f t="shared" si="13"/>
        <v>-614.72246401071743</v>
      </c>
      <c r="E232" s="1">
        <f t="shared" si="14"/>
        <v>-129774.07894992115</v>
      </c>
      <c r="G232" s="1">
        <f t="shared" si="15"/>
        <v>2.5555099999999999</v>
      </c>
    </row>
    <row r="233" spans="1:7" x14ac:dyDescent="0.15">
      <c r="A233" s="1">
        <v>11.9503</v>
      </c>
      <c r="B233" s="1">
        <v>2.5555099999999999</v>
      </c>
      <c r="C233" s="1">
        <f t="shared" si="12"/>
        <v>5.8524271844660225</v>
      </c>
      <c r="D233" s="1">
        <f t="shared" si="13"/>
        <v>3888.1409344567178</v>
      </c>
      <c r="E233" s="1">
        <f t="shared" si="14"/>
        <v>103827.3862624383</v>
      </c>
      <c r="G233" s="1">
        <f t="shared" si="15"/>
        <v>2.2879100000000001</v>
      </c>
    </row>
    <row r="234" spans="1:7" x14ac:dyDescent="0.15">
      <c r="A234" s="1">
        <v>11.9732</v>
      </c>
      <c r="B234" s="1">
        <v>2.2879100000000001</v>
      </c>
      <c r="C234" s="1">
        <f t="shared" si="12"/>
        <v>-20.888000000000105</v>
      </c>
      <c r="D234" s="1">
        <f t="shared" si="13"/>
        <v>-5325.8186709876481</v>
      </c>
      <c r="E234" s="1">
        <f t="shared" si="14"/>
        <v>-4675.5403563837726</v>
      </c>
      <c r="G234" s="1">
        <f t="shared" si="15"/>
        <v>2.4084699999999999</v>
      </c>
    </row>
    <row r="235" spans="1:7" x14ac:dyDescent="0.15">
      <c r="A235" s="1">
        <v>11.9938</v>
      </c>
      <c r="B235" s="1">
        <v>2.4084699999999999</v>
      </c>
      <c r="C235" s="1">
        <f t="shared" si="12"/>
        <v>166.1315789473673</v>
      </c>
      <c r="D235" s="1">
        <f t="shared" si="13"/>
        <v>62.822676032882441</v>
      </c>
      <c r="E235" s="1">
        <f t="shared" si="14"/>
        <v>2452.8776898386418</v>
      </c>
      <c r="G235" s="1">
        <f t="shared" si="15"/>
        <v>1.83405</v>
      </c>
    </row>
    <row r="236" spans="1:7" x14ac:dyDescent="0.15">
      <c r="A236" s="1">
        <v>12.0213</v>
      </c>
      <c r="B236" s="1">
        <v>1.83405</v>
      </c>
      <c r="C236" s="1">
        <f t="shared" si="12"/>
        <v>-0.5665454545454548</v>
      </c>
      <c r="D236" s="1">
        <f t="shared" si="13"/>
        <v>-212.09909692248223</v>
      </c>
      <c r="E236" s="1">
        <f t="shared" si="14"/>
        <v>-1397.2709455535353</v>
      </c>
      <c r="G236" s="1">
        <f t="shared" si="15"/>
        <v>2.4653499999999999</v>
      </c>
    </row>
    <row r="237" spans="1:7" x14ac:dyDescent="0.15">
      <c r="A237" s="1">
        <v>12.0251</v>
      </c>
      <c r="B237" s="1">
        <v>2.4653499999999999</v>
      </c>
      <c r="C237" s="1">
        <f t="shared" si="12"/>
        <v>1.3998043052837583</v>
      </c>
      <c r="D237" s="1">
        <f t="shared" si="13"/>
        <v>240.70212462173026</v>
      </c>
      <c r="E237" s="1">
        <f t="shared" si="14"/>
        <v>71.985209834889901</v>
      </c>
      <c r="G237" s="1">
        <f t="shared" si="15"/>
        <v>2.44977</v>
      </c>
    </row>
    <row r="238" spans="1:7" x14ac:dyDescent="0.15">
      <c r="A238" s="1">
        <v>12.0526</v>
      </c>
      <c r="B238" s="1">
        <v>2.44977</v>
      </c>
      <c r="C238" s="1">
        <f t="shared" si="12"/>
        <v>-36.947712418300952</v>
      </c>
      <c r="D238" s="1">
        <f t="shared" si="13"/>
        <v>-33.302707801317318</v>
      </c>
      <c r="E238" s="1">
        <f t="shared" si="14"/>
        <v>259.21060026979399</v>
      </c>
      <c r="G238" s="1">
        <f t="shared" si="15"/>
        <v>2.6643599999999998</v>
      </c>
    </row>
    <row r="239" spans="1:7" x14ac:dyDescent="0.15">
      <c r="A239" s="1">
        <v>12.2059</v>
      </c>
      <c r="B239" s="1">
        <v>2.6643599999999998</v>
      </c>
      <c r="C239" s="1">
        <f t="shared" si="12"/>
        <v>3.6346657929226804</v>
      </c>
      <c r="D239" s="1">
        <f t="shared" si="13"/>
        <v>-10.181058402350734</v>
      </c>
      <c r="E239" s="1">
        <f t="shared" si="14"/>
        <v>531.57512376834461</v>
      </c>
      <c r="G239" s="1">
        <f t="shared" si="15"/>
        <v>2.0990600000000001</v>
      </c>
    </row>
    <row r="240" spans="1:7" x14ac:dyDescent="0.15">
      <c r="A240" s="1">
        <v>12.2212</v>
      </c>
      <c r="B240" s="1">
        <v>2.0990600000000001</v>
      </c>
      <c r="C240" s="1">
        <f t="shared" si="12"/>
        <v>-1.9568588469184802</v>
      </c>
      <c r="D240" s="1">
        <f t="shared" si="13"/>
        <v>46.378694576518178</v>
      </c>
      <c r="E240" s="1">
        <f t="shared" si="14"/>
        <v>-3656.4681831354719</v>
      </c>
      <c r="G240" s="1">
        <f t="shared" si="15"/>
        <v>2.6537099999999998</v>
      </c>
    </row>
    <row r="241" spans="1:7" x14ac:dyDescent="0.15">
      <c r="A241" s="1">
        <v>12.373799999999999</v>
      </c>
      <c r="B241" s="1">
        <v>2.6537099999999998</v>
      </c>
      <c r="C241" s="1">
        <f t="shared" si="12"/>
        <v>-4.0225955967554405</v>
      </c>
      <c r="D241" s="1">
        <f t="shared" si="13"/>
        <v>200.11022037032399</v>
      </c>
      <c r="E241" s="1">
        <f t="shared" si="14"/>
        <v>3655.4751207184622</v>
      </c>
      <c r="G241" s="1">
        <f t="shared" si="15"/>
        <v>2.5552800000000002</v>
      </c>
    </row>
    <row r="242" spans="1:7" x14ac:dyDescent="0.15">
      <c r="A242" s="1">
        <v>12.424099999999999</v>
      </c>
      <c r="B242" s="1">
        <v>2.5552800000000002</v>
      </c>
      <c r="C242" s="1">
        <f t="shared" si="12"/>
        <v>2.3127340823970073</v>
      </c>
      <c r="D242" s="1">
        <f t="shared" si="13"/>
        <v>-494.61873442542043</v>
      </c>
      <c r="E242" s="1">
        <f t="shared" si="14"/>
        <v>-1156.1054986320707</v>
      </c>
      <c r="G242" s="1">
        <f t="shared" si="15"/>
        <v>2.2081300000000001</v>
      </c>
    </row>
    <row r="243" spans="1:7" x14ac:dyDescent="0.15">
      <c r="A243" s="1">
        <v>12.510400000000001</v>
      </c>
      <c r="B243" s="1">
        <v>2.2081300000000001</v>
      </c>
      <c r="C243" s="1">
        <f t="shared" si="12"/>
        <v>30.268131868131523</v>
      </c>
      <c r="D243" s="1">
        <f t="shared" si="13"/>
        <v>49.315963537491825</v>
      </c>
      <c r="E243" s="1">
        <f t="shared" si="14"/>
        <v>4836.6401154528112</v>
      </c>
      <c r="G243" s="1">
        <f t="shared" si="15"/>
        <v>2.3316300000000001</v>
      </c>
    </row>
    <row r="244" spans="1:7" x14ac:dyDescent="0.15">
      <c r="A244" s="1">
        <v>12.563800000000001</v>
      </c>
      <c r="B244" s="1">
        <v>2.3316300000000001</v>
      </c>
      <c r="C244" s="1">
        <f t="shared" si="12"/>
        <v>-0.64553903345725372</v>
      </c>
      <c r="D244" s="1">
        <f t="shared" si="13"/>
        <v>-147.33758177982304</v>
      </c>
      <c r="E244" s="1">
        <f t="shared" si="14"/>
        <v>-9333.1852693091241</v>
      </c>
      <c r="G244" s="1">
        <f t="shared" si="15"/>
        <v>2.6070700000000002</v>
      </c>
    </row>
    <row r="245" spans="1:7" x14ac:dyDescent="0.15">
      <c r="A245" s="1">
        <v>12.572900000000001</v>
      </c>
      <c r="B245" s="1">
        <v>2.6070700000000002</v>
      </c>
      <c r="C245" s="1">
        <f t="shared" si="12"/>
        <v>5.1096339113680322</v>
      </c>
      <c r="D245" s="1">
        <f t="shared" si="13"/>
        <v>668.11994168551917</v>
      </c>
      <c r="E245" s="1">
        <f t="shared" si="14"/>
        <v>12447.829560205157</v>
      </c>
      <c r="G245" s="1">
        <f t="shared" si="15"/>
        <v>2.5376099999999999</v>
      </c>
    </row>
    <row r="246" spans="1:7" x14ac:dyDescent="0.15">
      <c r="A246" s="1">
        <v>12.6805</v>
      </c>
      <c r="B246" s="1">
        <v>2.5376099999999999</v>
      </c>
      <c r="C246" s="1">
        <f t="shared" si="12"/>
        <v>-18.390710382513674</v>
      </c>
      <c r="D246" s="1">
        <f t="shared" si="13"/>
        <v>-991.32039919763861</v>
      </c>
      <c r="E246" s="1">
        <f t="shared" si="14"/>
        <v>-1016.0250785064712</v>
      </c>
      <c r="G246" s="1">
        <f t="shared" si="15"/>
        <v>2.8028</v>
      </c>
    </row>
    <row r="247" spans="1:7" x14ac:dyDescent="0.15">
      <c r="A247" s="1">
        <v>12.7324</v>
      </c>
      <c r="B247" s="1">
        <v>2.8028</v>
      </c>
      <c r="C247" s="1">
        <f t="shared" si="12"/>
        <v>28.511309523809651</v>
      </c>
      <c r="D247" s="1">
        <f t="shared" si="13"/>
        <v>91.640772540206882</v>
      </c>
      <c r="E247" s="1">
        <f t="shared" si="14"/>
        <v>1606.0579578769634</v>
      </c>
      <c r="G247" s="1">
        <f t="shared" si="15"/>
        <v>2.4662500000000001</v>
      </c>
    </row>
    <row r="248" spans="1:7" x14ac:dyDescent="0.15">
      <c r="A248" s="1">
        <v>12.7507</v>
      </c>
      <c r="B248" s="1">
        <v>2.4662500000000001</v>
      </c>
      <c r="C248" s="1">
        <f t="shared" si="12"/>
        <v>-6.2840364880273736</v>
      </c>
      <c r="D248" s="1">
        <f t="shared" si="13"/>
        <v>-33.127107100387576</v>
      </c>
      <c r="E248" s="1">
        <f t="shared" si="14"/>
        <v>-2628.3084442407107</v>
      </c>
      <c r="G248" s="1">
        <f t="shared" si="15"/>
        <v>2.9452400000000001</v>
      </c>
    </row>
    <row r="249" spans="1:7" x14ac:dyDescent="0.15">
      <c r="A249" s="1">
        <v>12.7675</v>
      </c>
      <c r="B249" s="1">
        <v>2.9452400000000001</v>
      </c>
      <c r="C249" s="1">
        <f t="shared" si="12"/>
        <v>3.2924242424242287</v>
      </c>
      <c r="D249" s="1">
        <f t="shared" si="13"/>
        <v>166.50589706371875</v>
      </c>
      <c r="E249" s="1">
        <f t="shared" si="14"/>
        <v>4397.4879518174603</v>
      </c>
      <c r="G249" s="1">
        <f t="shared" si="15"/>
        <v>2.3941300000000001</v>
      </c>
    </row>
    <row r="250" spans="1:7" x14ac:dyDescent="0.15">
      <c r="A250" s="1">
        <v>12.8552</v>
      </c>
      <c r="B250" s="1">
        <v>2.3941300000000001</v>
      </c>
      <c r="C250" s="1">
        <f t="shared" si="12"/>
        <v>-0.26873977086743339</v>
      </c>
      <c r="D250" s="1">
        <f t="shared" si="13"/>
        <v>-276.62690663526411</v>
      </c>
      <c r="E250" s="1">
        <f t="shared" si="14"/>
        <v>-619.56967485854602</v>
      </c>
      <c r="G250" s="1">
        <f t="shared" si="15"/>
        <v>2.45932</v>
      </c>
    </row>
    <row r="251" spans="1:7" x14ac:dyDescent="0.15">
      <c r="A251" s="1">
        <v>12.875</v>
      </c>
      <c r="B251" s="1">
        <v>2.45932</v>
      </c>
      <c r="C251" s="1">
        <f t="shared" si="12"/>
        <v>13.201587301587372</v>
      </c>
      <c r="D251" s="1">
        <f t="shared" si="13"/>
        <v>189.94656505256691</v>
      </c>
      <c r="E251" s="1">
        <f t="shared" si="14"/>
        <v>-2015.172519228573</v>
      </c>
      <c r="G251" s="1">
        <f t="shared" si="15"/>
        <v>2.4428999999999998</v>
      </c>
    </row>
    <row r="252" spans="1:7" x14ac:dyDescent="0.15">
      <c r="A252" s="1">
        <v>12.9361</v>
      </c>
      <c r="B252" s="1">
        <v>2.4428999999999998</v>
      </c>
      <c r="C252" s="1">
        <f t="shared" si="12"/>
        <v>-10.671314741035811</v>
      </c>
      <c r="D252" s="1">
        <f t="shared" si="13"/>
        <v>120.92650327332505</v>
      </c>
      <c r="E252" s="1">
        <f t="shared" si="14"/>
        <v>1378.9766392971394</v>
      </c>
      <c r="G252" s="1">
        <f t="shared" si="15"/>
        <v>2.7755800000000002</v>
      </c>
    </row>
    <row r="253" spans="1:7" x14ac:dyDescent="0.15">
      <c r="A253" s="1">
        <v>12.9613</v>
      </c>
      <c r="B253" s="1">
        <v>2.7755800000000002</v>
      </c>
      <c r="C253" s="1">
        <f t="shared" si="12"/>
        <v>-1.1170025188916939</v>
      </c>
      <c r="D253" s="1">
        <f t="shared" si="13"/>
        <v>-140.44137247062028</v>
      </c>
      <c r="E253" s="1">
        <f t="shared" si="14"/>
        <v>-305.00162857720255</v>
      </c>
      <c r="G253" s="1">
        <f t="shared" si="15"/>
        <v>2.50773</v>
      </c>
    </row>
    <row r="254" spans="1:7" x14ac:dyDescent="0.15">
      <c r="A254" s="1">
        <v>12.9864</v>
      </c>
      <c r="B254" s="1">
        <v>2.50773</v>
      </c>
      <c r="C254" s="1">
        <f t="shared" si="12"/>
        <v>11.519817073170753</v>
      </c>
      <c r="D254" s="1">
        <f t="shared" si="13"/>
        <v>48.892120104876625</v>
      </c>
      <c r="E254" s="1">
        <f t="shared" si="14"/>
        <v>-431.99137804728269</v>
      </c>
      <c r="G254" s="1">
        <f t="shared" si="15"/>
        <v>2.4190399999999999</v>
      </c>
    </row>
    <row r="255" spans="1:7" x14ac:dyDescent="0.15">
      <c r="A255" s="1">
        <v>13.065799999999999</v>
      </c>
      <c r="B255" s="1">
        <v>2.4190399999999999</v>
      </c>
      <c r="C255" s="1">
        <f t="shared" si="12"/>
        <v>-4.237704918032791</v>
      </c>
      <c r="D255" s="1">
        <f t="shared" si="13"/>
        <v>-7.6551818333366013</v>
      </c>
      <c r="E255" s="1">
        <f t="shared" si="14"/>
        <v>457.26930481822325</v>
      </c>
      <c r="G255" s="1">
        <f t="shared" si="15"/>
        <v>2.7968899999999999</v>
      </c>
    </row>
    <row r="256" spans="1:7" x14ac:dyDescent="0.15">
      <c r="A256" s="1">
        <v>13.098599999999999</v>
      </c>
      <c r="B256" s="1">
        <v>2.7968899999999999</v>
      </c>
      <c r="C256" s="1">
        <f t="shared" si="12"/>
        <v>0.94485981308412414</v>
      </c>
      <c r="D256" s="1">
        <f t="shared" si="13"/>
        <v>-62.690883396560302</v>
      </c>
      <c r="E256" s="1">
        <f t="shared" si="14"/>
        <v>-695.58565898748793</v>
      </c>
      <c r="G256" s="1">
        <f t="shared" si="15"/>
        <v>2.4866899999999998</v>
      </c>
    </row>
    <row r="257" spans="1:7" x14ac:dyDescent="0.15">
      <c r="A257" s="1">
        <v>13.171799999999999</v>
      </c>
      <c r="B257" s="1">
        <v>2.4866899999999998</v>
      </c>
      <c r="C257" s="1">
        <f t="shared" si="12"/>
        <v>0.22067961165048325</v>
      </c>
      <c r="D257" s="1">
        <f t="shared" si="13"/>
        <v>74.764269631798115</v>
      </c>
      <c r="E257" s="1">
        <f t="shared" si="14"/>
        <v>167.73767480598926</v>
      </c>
      <c r="G257" s="1">
        <f t="shared" si="15"/>
        <v>2.50691</v>
      </c>
    </row>
    <row r="258" spans="1:7" x14ac:dyDescent="0.15">
      <c r="A258" s="1">
        <v>13.193199999999999</v>
      </c>
      <c r="B258" s="1">
        <v>2.50691</v>
      </c>
      <c r="C258" s="1">
        <f t="shared" ref="C258:C321" si="16">(B260-B259)/(A260-A259)</f>
        <v>-14.035227272727402</v>
      </c>
      <c r="D258" s="1">
        <f t="shared" ref="D258:D321" si="17">(C260-C259)/(A261-A259)</f>
        <v>-95.654216820137123</v>
      </c>
      <c r="E258" s="1">
        <f t="shared" ref="E258:E321" si="18" xml:space="preserve"> (D260-D259)/(A262-A259)</f>
        <v>9712.6631623112899</v>
      </c>
      <c r="G258" s="1">
        <f t="shared" ref="G258:G321" si="19" xml:space="preserve"> B259 + C259*(A259-A259) + D259*(A259-A259)*(A259-A260) + E259*(A259-A259)*(A259-A260)*(A259-A261)</f>
        <v>2.5523699999999998</v>
      </c>
    </row>
    <row r="259" spans="1:7" x14ac:dyDescent="0.15">
      <c r="A259" s="1">
        <v>13.3992</v>
      </c>
      <c r="B259" s="1">
        <v>2.5523699999999998</v>
      </c>
      <c r="C259" s="1">
        <f t="shared" si="16"/>
        <v>2.6820634169427411</v>
      </c>
      <c r="D259" s="1">
        <f t="shared" si="17"/>
        <v>-22.705102047012275</v>
      </c>
      <c r="E259" s="1">
        <f t="shared" si="18"/>
        <v>-18363.677297440656</v>
      </c>
      <c r="G259" s="1">
        <f t="shared" si="19"/>
        <v>2.3053499999999998</v>
      </c>
    </row>
    <row r="260" spans="1:7" x14ac:dyDescent="0.15">
      <c r="A260" s="1">
        <v>13.4168</v>
      </c>
      <c r="B260" s="1">
        <v>2.3053499999999998</v>
      </c>
      <c r="C260" s="1">
        <f t="shared" si="16"/>
        <v>-19.213186813186596</v>
      </c>
      <c r="D260" s="1">
        <f t="shared" si="17"/>
        <v>2288.9087305830703</v>
      </c>
      <c r="E260" s="1">
        <f t="shared" si="18"/>
        <v>155564.14835076765</v>
      </c>
      <c r="G260" s="1">
        <f t="shared" si="19"/>
        <v>2.8720699999999999</v>
      </c>
    </row>
    <row r="261" spans="1:7" x14ac:dyDescent="0.15">
      <c r="A261" s="1">
        <v>13.6281</v>
      </c>
      <c r="B261" s="1">
        <v>2.8720699999999999</v>
      </c>
      <c r="C261" s="1">
        <f t="shared" si="16"/>
        <v>-24.217391304348094</v>
      </c>
      <c r="D261" s="1">
        <f t="shared" si="17"/>
        <v>-1800.6822035569583</v>
      </c>
      <c r="E261" s="1">
        <f t="shared" si="18"/>
        <v>-261899.75144870413</v>
      </c>
      <c r="G261" s="1">
        <f t="shared" si="19"/>
        <v>2.6972299999999998</v>
      </c>
    </row>
    <row r="262" spans="1:7" x14ac:dyDescent="0.15">
      <c r="A262" s="1">
        <v>13.6372</v>
      </c>
      <c r="B262" s="1">
        <v>2.6972299999999998</v>
      </c>
      <c r="C262" s="1">
        <f t="shared" si="16"/>
        <v>1.8761682242990834</v>
      </c>
      <c r="D262" s="1">
        <f t="shared" si="17"/>
        <v>3301.8218623482107</v>
      </c>
      <c r="E262" s="1">
        <f t="shared" si="18"/>
        <v>126983.04142003934</v>
      </c>
      <c r="G262" s="1">
        <f t="shared" si="19"/>
        <v>2.6415299999999999</v>
      </c>
    </row>
    <row r="263" spans="1:7" x14ac:dyDescent="0.15">
      <c r="A263" s="1">
        <v>13.6395</v>
      </c>
      <c r="B263" s="1">
        <v>2.6415299999999999</v>
      </c>
      <c r="C263" s="1">
        <f t="shared" si="16"/>
        <v>-40.800000000000523</v>
      </c>
      <c r="D263" s="1">
        <f t="shared" si="17"/>
        <v>-4109.941103650056</v>
      </c>
      <c r="E263" s="1">
        <f t="shared" si="18"/>
        <v>-4950.8063177379572</v>
      </c>
      <c r="G263" s="1">
        <f t="shared" si="19"/>
        <v>2.6816800000000001</v>
      </c>
    </row>
    <row r="264" spans="1:7" x14ac:dyDescent="0.15">
      <c r="A264" s="1">
        <v>13.6609</v>
      </c>
      <c r="B264" s="1">
        <v>2.6816800000000001</v>
      </c>
      <c r="C264" s="1">
        <f t="shared" si="16"/>
        <v>45.047368421052298</v>
      </c>
      <c r="D264" s="1">
        <f t="shared" si="17"/>
        <v>156.68908806324731</v>
      </c>
      <c r="E264" s="1">
        <f t="shared" si="18"/>
        <v>-347.13990442357539</v>
      </c>
      <c r="G264" s="1">
        <f t="shared" si="19"/>
        <v>2.4940000000000002</v>
      </c>
    </row>
    <row r="265" spans="1:7" x14ac:dyDescent="0.15">
      <c r="A265" s="1">
        <v>13.6655</v>
      </c>
      <c r="B265" s="1">
        <v>2.4940000000000002</v>
      </c>
      <c r="C265" s="1">
        <f t="shared" si="16"/>
        <v>-5.0939130434783371</v>
      </c>
      <c r="D265" s="1">
        <f t="shared" si="17"/>
        <v>39.354978332858551</v>
      </c>
      <c r="E265" s="1">
        <f t="shared" si="18"/>
        <v>446.43777960248292</v>
      </c>
      <c r="G265" s="1">
        <f t="shared" si="19"/>
        <v>2.83636</v>
      </c>
    </row>
    <row r="266" spans="1:7" x14ac:dyDescent="0.15">
      <c r="A266" s="1">
        <v>13.6731</v>
      </c>
      <c r="B266" s="1">
        <v>2.83636</v>
      </c>
      <c r="C266" s="1">
        <f t="shared" si="16"/>
        <v>-2.1011514614703297</v>
      </c>
      <c r="D266" s="1">
        <f t="shared" si="17"/>
        <v>-6.4674890510532865</v>
      </c>
      <c r="E266" s="1">
        <f t="shared" si="18"/>
        <v>-1010.861277184689</v>
      </c>
      <c r="G266" s="1">
        <f t="shared" si="19"/>
        <v>2.7777799999999999</v>
      </c>
    </row>
    <row r="267" spans="1:7" x14ac:dyDescent="0.15">
      <c r="A267" s="1">
        <v>13.6846</v>
      </c>
      <c r="B267" s="1">
        <v>2.7777799999999999</v>
      </c>
      <c r="C267" s="1">
        <f t="shared" si="16"/>
        <v>2.7946078431372587</v>
      </c>
      <c r="D267" s="1">
        <f t="shared" si="17"/>
        <v>85.498693547057968</v>
      </c>
      <c r="E267" s="1">
        <f t="shared" si="18"/>
        <v>1209.3815038177595</v>
      </c>
      <c r="G267" s="1">
        <f t="shared" si="19"/>
        <v>2.5405600000000002</v>
      </c>
    </row>
    <row r="268" spans="1:7" x14ac:dyDescent="0.15">
      <c r="A268" s="1">
        <v>13.797499999999999</v>
      </c>
      <c r="B268" s="1">
        <v>2.5405600000000002</v>
      </c>
      <c r="C268" s="1">
        <f t="shared" si="16"/>
        <v>1.5366812227073967</v>
      </c>
      <c r="D268" s="1">
        <f t="shared" si="17"/>
        <v>-203.70871785548272</v>
      </c>
      <c r="E268" s="1">
        <f t="shared" si="18"/>
        <v>111.93925220836191</v>
      </c>
      <c r="G268" s="1">
        <f t="shared" si="19"/>
        <v>2.7686000000000002</v>
      </c>
    </row>
    <row r="269" spans="1:7" x14ac:dyDescent="0.15">
      <c r="A269" s="1">
        <v>13.879099999999999</v>
      </c>
      <c r="B269" s="1">
        <v>2.7686000000000002</v>
      </c>
      <c r="C269" s="1">
        <f t="shared" si="16"/>
        <v>16.345054945057953</v>
      </c>
      <c r="D269" s="1">
        <f t="shared" si="17"/>
        <v>16.761530290494441</v>
      </c>
      <c r="E269" s="1">
        <f t="shared" si="18"/>
        <v>-1897.5562783077871</v>
      </c>
      <c r="G269" s="1">
        <f t="shared" si="19"/>
        <v>2.9093599999999999</v>
      </c>
    </row>
    <row r="270" spans="1:7" x14ac:dyDescent="0.15">
      <c r="A270" s="1">
        <v>13.970700000000001</v>
      </c>
      <c r="B270" s="1">
        <v>2.9093599999999999</v>
      </c>
      <c r="C270" s="1">
        <f t="shared" si="16"/>
        <v>-4.1684129429891161</v>
      </c>
      <c r="D270" s="1">
        <f t="shared" si="17"/>
        <v>35.298670456199318</v>
      </c>
      <c r="E270" s="1">
        <f t="shared" si="18"/>
        <v>1555.2610820663438</v>
      </c>
      <c r="G270" s="1">
        <f t="shared" si="19"/>
        <v>3.0581</v>
      </c>
    </row>
    <row r="271" spans="1:7" x14ac:dyDescent="0.15">
      <c r="A271" s="1">
        <v>13.979799999999999</v>
      </c>
      <c r="B271" s="1">
        <v>3.0581</v>
      </c>
      <c r="C271" s="1">
        <f t="shared" si="16"/>
        <v>-2.92805970149253</v>
      </c>
      <c r="D271" s="1">
        <f t="shared" si="17"/>
        <v>-168.68862946188767</v>
      </c>
      <c r="E271" s="1">
        <f t="shared" si="18"/>
        <v>4022.4555284776116</v>
      </c>
      <c r="G271" s="1">
        <f t="shared" si="19"/>
        <v>2.7875700000000001</v>
      </c>
    </row>
    <row r="272" spans="1:7" x14ac:dyDescent="0.15">
      <c r="A272" s="1">
        <v>14.044700000000001</v>
      </c>
      <c r="B272" s="1">
        <v>2.7875700000000001</v>
      </c>
      <c r="C272" s="1">
        <f t="shared" si="16"/>
        <v>0.54532947139753929</v>
      </c>
      <c r="D272" s="1">
        <f t="shared" si="17"/>
        <v>199.13061644680459</v>
      </c>
      <c r="E272" s="1">
        <f t="shared" si="18"/>
        <v>-14667.960476926612</v>
      </c>
      <c r="G272" s="1">
        <f t="shared" si="19"/>
        <v>2.6894800000000001</v>
      </c>
    </row>
    <row r="273" spans="1:7" x14ac:dyDescent="0.15">
      <c r="A273" s="1">
        <v>14.078200000000001</v>
      </c>
      <c r="B273" s="1">
        <v>2.6894800000000001</v>
      </c>
      <c r="C273" s="1">
        <f t="shared" si="16"/>
        <v>-28.401639344262342</v>
      </c>
      <c r="D273" s="1">
        <f t="shared" si="17"/>
        <v>938.45794258098863</v>
      </c>
      <c r="E273" s="1">
        <f t="shared" si="18"/>
        <v>46362.695061037899</v>
      </c>
      <c r="G273" s="1">
        <f t="shared" si="19"/>
        <v>2.7647900000000001</v>
      </c>
    </row>
    <row r="274" spans="1:7" x14ac:dyDescent="0.15">
      <c r="A274" s="1">
        <v>14.2163</v>
      </c>
      <c r="B274" s="1">
        <v>2.7647900000000001</v>
      </c>
      <c r="C274" s="1">
        <f t="shared" si="16"/>
        <v>1.5276923076923186</v>
      </c>
      <c r="D274" s="1">
        <f t="shared" si="17"/>
        <v>-1647.5034895011654</v>
      </c>
      <c r="E274" s="1">
        <f t="shared" si="18"/>
        <v>-2165.941256400873</v>
      </c>
      <c r="G274" s="1">
        <f t="shared" si="19"/>
        <v>2.4182899999999998</v>
      </c>
    </row>
    <row r="275" spans="1:7" x14ac:dyDescent="0.15">
      <c r="A275" s="1">
        <v>14.2285</v>
      </c>
      <c r="B275" s="1">
        <v>2.4182899999999998</v>
      </c>
      <c r="C275" s="1">
        <f t="shared" si="16"/>
        <v>37.376785714285887</v>
      </c>
      <c r="D275" s="1">
        <f t="shared" si="17"/>
        <v>902.44473885590617</v>
      </c>
      <c r="E275" s="1">
        <f t="shared" si="18"/>
        <v>-19931.77080857976</v>
      </c>
      <c r="G275" s="1">
        <f t="shared" si="19"/>
        <v>2.4580099999999998</v>
      </c>
    </row>
    <row r="276" spans="1:7" x14ac:dyDescent="0.15">
      <c r="A276" s="1">
        <v>14.2545</v>
      </c>
      <c r="B276" s="1">
        <v>2.4580099999999998</v>
      </c>
      <c r="C276" s="1">
        <f t="shared" si="16"/>
        <v>-33.136363636363541</v>
      </c>
      <c r="D276" s="1">
        <f t="shared" si="17"/>
        <v>788.2996346435807</v>
      </c>
      <c r="E276" s="1">
        <f t="shared" si="18"/>
        <v>6711.0233320822344</v>
      </c>
      <c r="G276" s="1">
        <f t="shared" si="19"/>
        <v>3.0859399999999999</v>
      </c>
    </row>
    <row r="277" spans="1:7" x14ac:dyDescent="0.15">
      <c r="A277" s="1">
        <v>14.2713</v>
      </c>
      <c r="B277" s="1">
        <v>3.0859399999999999</v>
      </c>
      <c r="C277" s="1">
        <f t="shared" si="16"/>
        <v>-9.0410891089108958</v>
      </c>
      <c r="D277" s="1">
        <f t="shared" si="17"/>
        <v>-549.12218661211989</v>
      </c>
      <c r="E277" s="1">
        <f t="shared" si="18"/>
        <v>996.23838697678877</v>
      </c>
      <c r="G277" s="1">
        <f t="shared" si="19"/>
        <v>2.7578900000000002</v>
      </c>
    </row>
    <row r="278" spans="1:7" x14ac:dyDescent="0.15">
      <c r="A278" s="1">
        <v>14.2812</v>
      </c>
      <c r="B278" s="1">
        <v>2.7578900000000002</v>
      </c>
      <c r="C278" s="1">
        <f t="shared" si="16"/>
        <v>30.610382513661222</v>
      </c>
      <c r="D278" s="1">
        <f t="shared" si="17"/>
        <v>-88.745986031278704</v>
      </c>
      <c r="E278" s="1">
        <f t="shared" si="18"/>
        <v>-564.92797049893488</v>
      </c>
      <c r="G278" s="1">
        <f t="shared" si="19"/>
        <v>2.39263</v>
      </c>
    </row>
    <row r="279" spans="1:7" x14ac:dyDescent="0.15">
      <c r="A279" s="1">
        <v>14.3216</v>
      </c>
      <c r="B279" s="1">
        <v>2.39263</v>
      </c>
      <c r="C279" s="1">
        <f t="shared" si="16"/>
        <v>-1.6230898404701983</v>
      </c>
      <c r="D279" s="1">
        <f t="shared" si="17"/>
        <v>88.385199173193854</v>
      </c>
      <c r="E279" s="1">
        <f t="shared" si="18"/>
        <v>412.16583422984485</v>
      </c>
      <c r="G279" s="1">
        <f t="shared" si="19"/>
        <v>2.9527999999999999</v>
      </c>
    </row>
    <row r="280" spans="1:7" x14ac:dyDescent="0.15">
      <c r="A280" s="1">
        <v>14.3399</v>
      </c>
      <c r="B280" s="1">
        <v>2.9527999999999999</v>
      </c>
      <c r="C280" s="1">
        <f t="shared" si="16"/>
        <v>-13.81678832116785</v>
      </c>
      <c r="D280" s="1">
        <f t="shared" si="17"/>
        <v>3.0245828308050462</v>
      </c>
      <c r="E280" s="1">
        <f t="shared" si="18"/>
        <v>-1308.6749099305641</v>
      </c>
      <c r="G280" s="1">
        <f t="shared" si="19"/>
        <v>2.75949</v>
      </c>
    </row>
    <row r="281" spans="1:7" x14ac:dyDescent="0.15">
      <c r="A281" s="1">
        <v>14.459</v>
      </c>
      <c r="B281" s="1">
        <v>2.75949</v>
      </c>
      <c r="C281" s="1">
        <f t="shared" si="16"/>
        <v>-2.0792338709677418</v>
      </c>
      <c r="D281" s="1">
        <f t="shared" si="17"/>
        <v>78.20363099432852</v>
      </c>
      <c r="E281" s="1">
        <f t="shared" si="18"/>
        <v>404.50374490982017</v>
      </c>
      <c r="G281" s="1">
        <f t="shared" si="19"/>
        <v>2.5701999999999998</v>
      </c>
    </row>
    <row r="282" spans="1:7" x14ac:dyDescent="0.15">
      <c r="A282" s="1">
        <v>14.4727</v>
      </c>
      <c r="B282" s="1">
        <v>2.5701999999999998</v>
      </c>
      <c r="C282" s="1">
        <f t="shared" si="16"/>
        <v>-1.8877777777777827</v>
      </c>
      <c r="D282" s="1">
        <f t="shared" si="17"/>
        <v>-63.525861751151353</v>
      </c>
      <c r="E282" s="1">
        <f t="shared" si="18"/>
        <v>369.26827745005789</v>
      </c>
      <c r="G282" s="1">
        <f t="shared" si="19"/>
        <v>2.4670700000000001</v>
      </c>
    </row>
    <row r="283" spans="1:7" x14ac:dyDescent="0.15">
      <c r="A283" s="1">
        <v>14.5223</v>
      </c>
      <c r="B283" s="1">
        <v>2.4670700000000001</v>
      </c>
      <c r="C283" s="1">
        <f t="shared" si="16"/>
        <v>5.51028571428568</v>
      </c>
      <c r="D283" s="1">
        <f t="shared" si="17"/>
        <v>-18.180991946760564</v>
      </c>
      <c r="E283" s="1">
        <f t="shared" si="18"/>
        <v>-139.81492599216853</v>
      </c>
      <c r="G283" s="1">
        <f t="shared" si="19"/>
        <v>2.38212</v>
      </c>
    </row>
    <row r="284" spans="1:7" x14ac:dyDescent="0.15">
      <c r="A284" s="1">
        <v>14.567299999999999</v>
      </c>
      <c r="B284" s="1">
        <v>2.38212</v>
      </c>
      <c r="C284" s="1">
        <f t="shared" si="16"/>
        <v>1.5399193548387207</v>
      </c>
      <c r="D284" s="1">
        <f t="shared" si="17"/>
        <v>23.213981955390878</v>
      </c>
      <c r="E284" s="1">
        <f t="shared" si="18"/>
        <v>120.91969233981526</v>
      </c>
      <c r="G284" s="1">
        <f t="shared" si="19"/>
        <v>2.4785499999999998</v>
      </c>
    </row>
    <row r="285" spans="1:7" x14ac:dyDescent="0.15">
      <c r="A285" s="1">
        <v>14.5848</v>
      </c>
      <c r="B285" s="1">
        <v>2.4785499999999998</v>
      </c>
      <c r="C285" s="1">
        <f t="shared" si="16"/>
        <v>0.31997479521108796</v>
      </c>
      <c r="D285" s="1">
        <f t="shared" si="17"/>
        <v>-30.544857088598054</v>
      </c>
      <c r="E285" s="1">
        <f t="shared" si="18"/>
        <v>15.913124863971692</v>
      </c>
      <c r="G285" s="1">
        <f t="shared" si="19"/>
        <v>2.5549300000000001</v>
      </c>
    </row>
    <row r="286" spans="1:7" x14ac:dyDescent="0.15">
      <c r="A286" s="1">
        <v>14.634399999999999</v>
      </c>
      <c r="B286" s="1">
        <v>2.5549300000000001</v>
      </c>
      <c r="C286" s="1">
        <f t="shared" si="16"/>
        <v>8.8395061728395614</v>
      </c>
      <c r="D286" s="1">
        <f t="shared" si="17"/>
        <v>18.729917539876741</v>
      </c>
      <c r="E286" s="1">
        <f t="shared" si="18"/>
        <v>-2038.0885872091958</v>
      </c>
      <c r="G286" s="1">
        <f t="shared" si="19"/>
        <v>2.6564899999999998</v>
      </c>
    </row>
    <row r="287" spans="1:7" x14ac:dyDescent="0.15">
      <c r="A287" s="1">
        <v>14.9518</v>
      </c>
      <c r="B287" s="1">
        <v>2.6564899999999998</v>
      </c>
      <c r="C287" s="1">
        <f t="shared" si="16"/>
        <v>-2.0924981791697057</v>
      </c>
      <c r="D287" s="1">
        <f t="shared" si="17"/>
        <v>26.610096972515532</v>
      </c>
      <c r="E287" s="1">
        <f t="shared" si="18"/>
        <v>2931.97381867176</v>
      </c>
      <c r="G287" s="1">
        <f t="shared" si="19"/>
        <v>3.0144899999999999</v>
      </c>
    </row>
    <row r="288" spans="1:7" x14ac:dyDescent="0.15">
      <c r="A288" s="1">
        <v>14.9923</v>
      </c>
      <c r="B288" s="1">
        <v>3.0144899999999999</v>
      </c>
      <c r="C288" s="1">
        <f t="shared" si="16"/>
        <v>1.2376811594203698</v>
      </c>
      <c r="D288" s="1">
        <f t="shared" si="17"/>
        <v>-349.82486508502177</v>
      </c>
      <c r="E288" s="1">
        <f t="shared" si="18"/>
        <v>-5384.6648818397953</v>
      </c>
      <c r="G288" s="1">
        <f t="shared" si="19"/>
        <v>2.7271899999999998</v>
      </c>
    </row>
    <row r="289" spans="1:7" x14ac:dyDescent="0.15">
      <c r="A289" s="1">
        <v>15.1296</v>
      </c>
      <c r="B289" s="1">
        <v>2.7271899999999998</v>
      </c>
      <c r="C289" s="1">
        <f t="shared" si="16"/>
        <v>5.0748571428571001</v>
      </c>
      <c r="D289" s="1">
        <f t="shared" si="17"/>
        <v>124.27530139420108</v>
      </c>
      <c r="E289" s="1">
        <f t="shared" si="18"/>
        <v>4882.3961160359549</v>
      </c>
      <c r="G289" s="1">
        <f t="shared" si="19"/>
        <v>2.7357300000000002</v>
      </c>
    </row>
    <row r="290" spans="1:7" x14ac:dyDescent="0.15">
      <c r="A290" s="1">
        <v>15.1365</v>
      </c>
      <c r="B290" s="1">
        <v>2.7357300000000002</v>
      </c>
      <c r="C290" s="1">
        <f t="shared" si="16"/>
        <v>-3.4608695652174242</v>
      </c>
      <c r="D290" s="1">
        <f t="shared" si="17"/>
        <v>-81.418897092077984</v>
      </c>
      <c r="E290" s="1">
        <f t="shared" si="18"/>
        <v>-6567.9528818216231</v>
      </c>
      <c r="G290" s="1">
        <f t="shared" si="19"/>
        <v>2.8245399999999998</v>
      </c>
    </row>
    <row r="291" spans="1:7" x14ac:dyDescent="0.15">
      <c r="A291" s="1">
        <v>15.154</v>
      </c>
      <c r="B291" s="1">
        <v>2.8245399999999998</v>
      </c>
      <c r="C291" s="1">
        <f t="shared" si="16"/>
        <v>0.42894736842105508</v>
      </c>
      <c r="D291" s="1">
        <f t="shared" si="17"/>
        <v>145.61252230359383</v>
      </c>
      <c r="E291" s="1">
        <f t="shared" si="18"/>
        <v>8680.915243919675</v>
      </c>
      <c r="G291" s="1">
        <f t="shared" si="19"/>
        <v>2.77678</v>
      </c>
    </row>
    <row r="292" spans="1:7" x14ac:dyDescent="0.15">
      <c r="A292" s="1">
        <v>15.1678</v>
      </c>
      <c r="B292" s="1">
        <v>2.77678</v>
      </c>
      <c r="C292" s="1">
        <f t="shared" si="16"/>
        <v>-1.9322006472491993</v>
      </c>
      <c r="D292" s="1">
        <f t="shared" si="17"/>
        <v>-450.75759936580812</v>
      </c>
      <c r="E292" s="1">
        <f t="shared" si="18"/>
        <v>-4537.830968254324</v>
      </c>
      <c r="G292" s="1">
        <f t="shared" si="19"/>
        <v>2.7833000000000001</v>
      </c>
    </row>
    <row r="293" spans="1:7" x14ac:dyDescent="0.15">
      <c r="A293" s="1">
        <v>15.183</v>
      </c>
      <c r="B293" s="1">
        <v>2.7833000000000001</v>
      </c>
      <c r="C293" s="1">
        <f t="shared" si="16"/>
        <v>9.2799635701275189</v>
      </c>
      <c r="D293" s="1">
        <f t="shared" si="17"/>
        <v>694.2551213071963</v>
      </c>
      <c r="E293" s="1">
        <f t="shared" si="18"/>
        <v>-3258.1808125976272</v>
      </c>
      <c r="G293" s="1">
        <f t="shared" si="19"/>
        <v>2.6638899999999999</v>
      </c>
    </row>
    <row r="294" spans="1:7" x14ac:dyDescent="0.15">
      <c r="A294" s="1">
        <v>15.2448</v>
      </c>
      <c r="B294" s="1">
        <v>2.6638899999999999</v>
      </c>
      <c r="C294" s="1">
        <f t="shared" si="16"/>
        <v>-43.323448275862198</v>
      </c>
      <c r="D294" s="1">
        <f t="shared" si="17"/>
        <v>98.89169827223003</v>
      </c>
      <c r="E294" s="1">
        <f t="shared" si="18"/>
        <v>3979.3275241404904</v>
      </c>
      <c r="G294" s="1">
        <f t="shared" si="19"/>
        <v>3.1733600000000002</v>
      </c>
    </row>
    <row r="295" spans="1:7" x14ac:dyDescent="0.15">
      <c r="A295" s="1">
        <v>15.2997</v>
      </c>
      <c r="B295" s="1">
        <v>3.1733600000000002</v>
      </c>
      <c r="C295" s="1">
        <f t="shared" si="16"/>
        <v>4.8578571428571626</v>
      </c>
      <c r="D295" s="1">
        <f t="shared" si="17"/>
        <v>-264.06964425114472</v>
      </c>
      <c r="E295" s="1">
        <f t="shared" si="18"/>
        <v>-970.92241937248548</v>
      </c>
      <c r="G295" s="1">
        <f t="shared" si="19"/>
        <v>2.5451700000000002</v>
      </c>
    </row>
    <row r="296" spans="1:7" x14ac:dyDescent="0.15">
      <c r="A296" s="1">
        <v>15.3142</v>
      </c>
      <c r="B296" s="1">
        <v>2.5451700000000002</v>
      </c>
      <c r="C296" s="1">
        <f t="shared" si="16"/>
        <v>10.445238095238137</v>
      </c>
      <c r="D296" s="1">
        <f t="shared" si="17"/>
        <v>127.89411687669195</v>
      </c>
      <c r="E296" s="1">
        <f t="shared" si="18"/>
        <v>139.78992696209627</v>
      </c>
      <c r="G296" s="1">
        <f t="shared" si="19"/>
        <v>2.7492000000000001</v>
      </c>
    </row>
    <row r="297" spans="1:7" x14ac:dyDescent="0.15">
      <c r="A297" s="1">
        <v>15.356199999999999</v>
      </c>
      <c r="B297" s="1">
        <v>2.7492000000000001</v>
      </c>
      <c r="C297" s="1">
        <f t="shared" si="16"/>
        <v>-11.736612021857921</v>
      </c>
      <c r="D297" s="1">
        <f t="shared" si="17"/>
        <v>28.56875337488707</v>
      </c>
      <c r="E297" s="1">
        <f t="shared" si="18"/>
        <v>-1504.8565617439219</v>
      </c>
      <c r="G297" s="1">
        <f t="shared" si="19"/>
        <v>3.1879</v>
      </c>
    </row>
    <row r="298" spans="1:7" x14ac:dyDescent="0.15">
      <c r="A298" s="1">
        <v>15.398199999999999</v>
      </c>
      <c r="B298" s="1">
        <v>3.1879</v>
      </c>
      <c r="C298" s="1">
        <f t="shared" si="16"/>
        <v>-4.0245967741934221</v>
      </c>
      <c r="D298" s="1">
        <f t="shared" si="17"/>
        <v>43.93166634802165</v>
      </c>
      <c r="E298" s="1">
        <f t="shared" si="18"/>
        <v>8608.4282718242321</v>
      </c>
      <c r="G298" s="1">
        <f t="shared" si="19"/>
        <v>2.9731200000000002</v>
      </c>
    </row>
    <row r="299" spans="1:7" x14ac:dyDescent="0.15">
      <c r="A299" s="1">
        <v>15.416499999999999</v>
      </c>
      <c r="B299" s="1">
        <v>2.9731200000000002</v>
      </c>
      <c r="C299" s="1">
        <f t="shared" si="16"/>
        <v>-2.0847784200385435</v>
      </c>
      <c r="D299" s="1">
        <f t="shared" si="17"/>
        <v>-136.3501497489024</v>
      </c>
      <c r="E299" s="1">
        <f t="shared" si="18"/>
        <v>-22619.629078352114</v>
      </c>
      <c r="G299" s="1">
        <f t="shared" si="19"/>
        <v>2.7734999999999999</v>
      </c>
    </row>
    <row r="300" spans="1:7" x14ac:dyDescent="0.15">
      <c r="A300" s="1">
        <v>15.466100000000001</v>
      </c>
      <c r="B300" s="1">
        <v>2.7734999999999999</v>
      </c>
      <c r="C300" s="1">
        <f t="shared" si="16"/>
        <v>2.374285714285719</v>
      </c>
      <c r="D300" s="1">
        <f t="shared" si="17"/>
        <v>1249.6068020148107</v>
      </c>
      <c r="E300" s="1">
        <f t="shared" si="18"/>
        <v>24400.13891249396</v>
      </c>
      <c r="G300" s="1">
        <f t="shared" si="19"/>
        <v>2.6652999999999998</v>
      </c>
    </row>
    <row r="301" spans="1:7" x14ac:dyDescent="0.15">
      <c r="A301" s="1">
        <v>15.518000000000001</v>
      </c>
      <c r="B301" s="1">
        <v>2.6652999999999998</v>
      </c>
      <c r="C301" s="1">
        <f t="shared" si="16"/>
        <v>-12.815120967741969</v>
      </c>
      <c r="D301" s="1">
        <f t="shared" si="17"/>
        <v>-2392.15347959987</v>
      </c>
      <c r="E301" s="1">
        <f t="shared" si="18"/>
        <v>-8695.5539521651699</v>
      </c>
      <c r="G301" s="1">
        <f t="shared" si="19"/>
        <v>2.8065699999999998</v>
      </c>
    </row>
    <row r="302" spans="1:7" x14ac:dyDescent="0.15">
      <c r="A302" s="1">
        <v>15.577500000000001</v>
      </c>
      <c r="B302" s="1">
        <v>2.8065699999999998</v>
      </c>
      <c r="C302" s="1">
        <f t="shared" si="16"/>
        <v>123.51698113207357</v>
      </c>
      <c r="D302" s="1">
        <f t="shared" si="17"/>
        <v>399.22241198943516</v>
      </c>
      <c r="E302" s="1">
        <f t="shared" si="18"/>
        <v>13132.861427160142</v>
      </c>
      <c r="G302" s="1">
        <f t="shared" si="19"/>
        <v>2.1709399999999999</v>
      </c>
    </row>
    <row r="303" spans="1:7" x14ac:dyDescent="0.15">
      <c r="A303" s="1">
        <v>15.6271</v>
      </c>
      <c r="B303" s="1">
        <v>2.1709399999999999</v>
      </c>
      <c r="C303" s="1">
        <f t="shared" si="16"/>
        <v>-7.8122448979591832</v>
      </c>
      <c r="D303" s="1">
        <f t="shared" si="17"/>
        <v>-376.42100054369763</v>
      </c>
      <c r="E303" s="1">
        <f t="shared" si="18"/>
        <v>-18362.561990667524</v>
      </c>
      <c r="G303" s="1">
        <f t="shared" si="19"/>
        <v>2.82558</v>
      </c>
    </row>
    <row r="304" spans="1:7" x14ac:dyDescent="0.15">
      <c r="A304" s="1">
        <v>15.632400000000001</v>
      </c>
      <c r="B304" s="1">
        <v>2.82558</v>
      </c>
      <c r="C304" s="1">
        <f t="shared" si="16"/>
        <v>7.9969626168224828</v>
      </c>
      <c r="D304" s="1">
        <f t="shared" si="17"/>
        <v>705.72678105429543</v>
      </c>
      <c r="E304" s="1">
        <f t="shared" si="18"/>
        <v>28299.485909214349</v>
      </c>
      <c r="G304" s="1">
        <f t="shared" si="19"/>
        <v>2.55762</v>
      </c>
    </row>
    <row r="305" spans="1:7" x14ac:dyDescent="0.15">
      <c r="A305" s="1">
        <v>15.666700000000001</v>
      </c>
      <c r="B305" s="1">
        <v>2.55762</v>
      </c>
      <c r="C305" s="1">
        <f t="shared" si="16"/>
        <v>-21.025096525096501</v>
      </c>
      <c r="D305" s="1">
        <f t="shared" si="17"/>
        <v>-1185.6171039844551</v>
      </c>
      <c r="E305" s="1">
        <f t="shared" si="18"/>
        <v>-23372.859943600626</v>
      </c>
      <c r="G305" s="1">
        <f t="shared" si="19"/>
        <v>2.8998900000000001</v>
      </c>
    </row>
    <row r="306" spans="1:7" x14ac:dyDescent="0.15">
      <c r="A306" s="1">
        <v>15.7095</v>
      </c>
      <c r="B306" s="1">
        <v>2.8998900000000001</v>
      </c>
      <c r="C306" s="1">
        <f t="shared" si="16"/>
        <v>27.458333333333432</v>
      </c>
      <c r="D306" s="1">
        <f t="shared" si="17"/>
        <v>996.27325961596318</v>
      </c>
      <c r="E306" s="1">
        <f t="shared" si="18"/>
        <v>2673.339671651167</v>
      </c>
      <c r="G306" s="1">
        <f t="shared" si="19"/>
        <v>2.35534</v>
      </c>
    </row>
    <row r="307" spans="1:7" x14ac:dyDescent="0.15">
      <c r="A307" s="1">
        <v>15.7354</v>
      </c>
      <c r="B307" s="1">
        <v>2.35534</v>
      </c>
      <c r="C307" s="1">
        <f t="shared" si="16"/>
        <v>-13.208333333333377</v>
      </c>
      <c r="D307" s="1">
        <f t="shared" si="17"/>
        <v>-198.07988350202697</v>
      </c>
      <c r="E307" s="1">
        <f t="shared" si="18"/>
        <v>-107.5083882356502</v>
      </c>
      <c r="G307" s="1">
        <f t="shared" si="19"/>
        <v>2.5859899999999998</v>
      </c>
    </row>
    <row r="308" spans="1:7" x14ac:dyDescent="0.15">
      <c r="A308" s="1">
        <v>15.7438</v>
      </c>
      <c r="B308" s="1">
        <v>2.5859899999999998</v>
      </c>
      <c r="C308" s="1">
        <f t="shared" si="16"/>
        <v>11.897752808988784</v>
      </c>
      <c r="D308" s="1">
        <f t="shared" si="17"/>
        <v>12.044614689754157</v>
      </c>
      <c r="E308" s="1">
        <f t="shared" si="18"/>
        <v>151.81844599749769</v>
      </c>
      <c r="G308" s="1">
        <f t="shared" si="19"/>
        <v>2.36409</v>
      </c>
    </row>
    <row r="309" spans="1:7" x14ac:dyDescent="0.15">
      <c r="A309" s="1">
        <v>15.7606</v>
      </c>
      <c r="B309" s="1">
        <v>2.36409</v>
      </c>
      <c r="C309" s="1">
        <f t="shared" si="16"/>
        <v>-2.0074550128534736</v>
      </c>
      <c r="D309" s="1">
        <f t="shared" si="17"/>
        <v>-3.8666267691220386</v>
      </c>
      <c r="E309" s="1">
        <f t="shared" si="18"/>
        <v>-5.037364976372408</v>
      </c>
      <c r="G309" s="1">
        <f t="shared" si="19"/>
        <v>2.9994299999999998</v>
      </c>
    </row>
    <row r="310" spans="1:7" x14ac:dyDescent="0.15">
      <c r="A310" s="1">
        <v>15.814</v>
      </c>
      <c r="B310" s="1">
        <v>2.9994299999999998</v>
      </c>
      <c r="C310" s="1">
        <f t="shared" si="16"/>
        <v>-0.42720156555773092</v>
      </c>
      <c r="D310" s="1">
        <f t="shared" si="17"/>
        <v>23.809875936221744</v>
      </c>
      <c r="E310" s="1">
        <f t="shared" si="18"/>
        <v>-239.7015233478364</v>
      </c>
      <c r="G310" s="1">
        <f t="shared" si="19"/>
        <v>2.8432499999999998</v>
      </c>
    </row>
    <row r="311" spans="1:7" x14ac:dyDescent="0.15">
      <c r="A311" s="1">
        <v>15.8918</v>
      </c>
      <c r="B311" s="1">
        <v>2.8432499999999998</v>
      </c>
      <c r="C311" s="1">
        <f t="shared" si="16"/>
        <v>-0.92560975609756091</v>
      </c>
      <c r="D311" s="1">
        <f t="shared" si="17"/>
        <v>22.995334019542327</v>
      </c>
      <c r="E311" s="1">
        <f t="shared" si="18"/>
        <v>-320.21301107059537</v>
      </c>
      <c r="G311" s="1">
        <f t="shared" si="19"/>
        <v>2.8214199999999998</v>
      </c>
    </row>
    <row r="312" spans="1:7" x14ac:dyDescent="0.15">
      <c r="A312" s="1">
        <v>15.9429</v>
      </c>
      <c r="B312" s="1">
        <v>2.8214199999999998</v>
      </c>
      <c r="C312" s="1">
        <f t="shared" si="16"/>
        <v>1.07203883495144</v>
      </c>
      <c r="D312" s="1">
        <f t="shared" si="17"/>
        <v>-21.804880694168631</v>
      </c>
      <c r="E312" s="1">
        <f t="shared" si="18"/>
        <v>1564.3297277464301</v>
      </c>
      <c r="G312" s="1">
        <f t="shared" si="19"/>
        <v>2.7910599999999999</v>
      </c>
    </row>
    <row r="313" spans="1:7" x14ac:dyDescent="0.15">
      <c r="A313" s="1">
        <v>15.9757</v>
      </c>
      <c r="B313" s="1">
        <v>2.7910599999999999</v>
      </c>
      <c r="C313" s="1">
        <f t="shared" si="16"/>
        <v>4.1948051948053218</v>
      </c>
      <c r="D313" s="1">
        <f t="shared" si="17"/>
        <v>-67.755447782799479</v>
      </c>
      <c r="E313" s="1">
        <f t="shared" si="18"/>
        <v>-1286.0544416319995</v>
      </c>
      <c r="G313" s="1">
        <f t="shared" si="19"/>
        <v>2.9014799999999998</v>
      </c>
    </row>
    <row r="314" spans="1:7" x14ac:dyDescent="0.15">
      <c r="A314" s="1">
        <v>16.078700000000001</v>
      </c>
      <c r="B314" s="1">
        <v>2.9014799999999998</v>
      </c>
      <c r="C314" s="1">
        <f t="shared" si="16"/>
        <v>1.7810049019608249</v>
      </c>
      <c r="D314" s="1">
        <f t="shared" si="17"/>
        <v>233.06515886283816</v>
      </c>
      <c r="E314" s="1">
        <f t="shared" si="18"/>
        <v>-12828.527124123611</v>
      </c>
      <c r="G314" s="1">
        <f t="shared" si="19"/>
        <v>2.9337800000000001</v>
      </c>
    </row>
    <row r="315" spans="1:7" x14ac:dyDescent="0.15">
      <c r="A315" s="1">
        <v>16.086400000000001</v>
      </c>
      <c r="B315" s="1">
        <v>2.9337800000000001</v>
      </c>
      <c r="C315" s="1">
        <f t="shared" si="16"/>
        <v>-4.2695565850430297</v>
      </c>
      <c r="D315" s="1">
        <f t="shared" si="17"/>
        <v>-76.102328905491305</v>
      </c>
      <c r="E315" s="1">
        <f t="shared" si="18"/>
        <v>18899.593647509595</v>
      </c>
      <c r="G315" s="1">
        <f t="shared" si="19"/>
        <v>3.07911</v>
      </c>
    </row>
    <row r="316" spans="1:7" x14ac:dyDescent="0.15">
      <c r="A316" s="1">
        <v>16.167999999999999</v>
      </c>
      <c r="B316" s="1">
        <v>3.07911</v>
      </c>
      <c r="C316" s="1">
        <f t="shared" si="16"/>
        <v>49.964705882338876</v>
      </c>
      <c r="D316" s="1">
        <f t="shared" si="17"/>
        <v>-3148.5345751330915</v>
      </c>
      <c r="E316" s="1">
        <f t="shared" si="18"/>
        <v>-5238.8725733316187</v>
      </c>
      <c r="G316" s="1">
        <f t="shared" si="19"/>
        <v>2.43398</v>
      </c>
    </row>
    <row r="317" spans="1:7" x14ac:dyDescent="0.15">
      <c r="A317" s="1">
        <v>16.319099999999999</v>
      </c>
      <c r="B317" s="1">
        <v>2.43398</v>
      </c>
      <c r="C317" s="1">
        <f t="shared" si="16"/>
        <v>37.948148148161685</v>
      </c>
      <c r="D317" s="1">
        <f t="shared" si="17"/>
        <v>-62.230932494782728</v>
      </c>
      <c r="E317" s="1">
        <f t="shared" si="18"/>
        <v>128390.06015011572</v>
      </c>
      <c r="G317" s="1">
        <f t="shared" si="19"/>
        <v>2.7737400000000001</v>
      </c>
    </row>
    <row r="318" spans="1:7" x14ac:dyDescent="0.15">
      <c r="A318" s="1">
        <v>16.325900000000001</v>
      </c>
      <c r="B318" s="1">
        <v>2.7737400000000001</v>
      </c>
      <c r="C318" s="1">
        <f t="shared" si="16"/>
        <v>-0.46397366846199428</v>
      </c>
      <c r="D318" s="1">
        <f t="shared" si="17"/>
        <v>-1001.560784893149</v>
      </c>
      <c r="E318" s="1">
        <f t="shared" si="18"/>
        <v>-137934.75679009155</v>
      </c>
      <c r="G318" s="1">
        <f t="shared" si="19"/>
        <v>2.9786600000000001</v>
      </c>
    </row>
    <row r="319" spans="1:7" x14ac:dyDescent="0.15">
      <c r="A319" s="1">
        <v>16.331299999999999</v>
      </c>
      <c r="B319" s="1">
        <v>2.9786600000000001</v>
      </c>
      <c r="C319" s="1">
        <f t="shared" si="16"/>
        <v>-11.198809523811979</v>
      </c>
      <c r="D319" s="1">
        <f t="shared" si="17"/>
        <v>22224.201096262477</v>
      </c>
      <c r="E319" s="1">
        <f t="shared" si="18"/>
        <v>22762.452843269155</v>
      </c>
      <c r="G319" s="1">
        <f t="shared" si="19"/>
        <v>2.9011300000000002</v>
      </c>
    </row>
    <row r="320" spans="1:7" x14ac:dyDescent="0.15">
      <c r="A320" s="1">
        <v>16.4984</v>
      </c>
      <c r="B320" s="1">
        <v>2.9011300000000002</v>
      </c>
      <c r="C320" s="1">
        <f t="shared" si="16"/>
        <v>-186.97272727255918</v>
      </c>
      <c r="D320" s="1">
        <f t="shared" si="17"/>
        <v>-2286.8051853370002</v>
      </c>
      <c r="E320" s="1">
        <f t="shared" si="18"/>
        <v>78854.317830585453</v>
      </c>
      <c r="G320" s="1">
        <f t="shared" si="19"/>
        <v>2.8070599999999999</v>
      </c>
    </row>
    <row r="321" spans="1:7" x14ac:dyDescent="0.15">
      <c r="A321" s="1">
        <v>16.506799999999998</v>
      </c>
      <c r="B321" s="1">
        <v>2.8070599999999999</v>
      </c>
      <c r="C321" s="1">
        <f t="shared" si="16"/>
        <v>48.603804347826745</v>
      </c>
      <c r="D321" s="1">
        <f t="shared" si="17"/>
        <v>-1626.6940528821967</v>
      </c>
      <c r="E321" s="1">
        <f t="shared" si="18"/>
        <v>-36796.237532020437</v>
      </c>
      <c r="G321" s="1">
        <f t="shared" si="19"/>
        <v>2.3957199999999998</v>
      </c>
    </row>
    <row r="322" spans="1:7" x14ac:dyDescent="0.15">
      <c r="A322" s="1">
        <v>16.509</v>
      </c>
      <c r="B322" s="1">
        <v>2.3957199999999998</v>
      </c>
      <c r="C322" s="1">
        <f t="shared" ref="C322:C385" si="20">(B324-B323)/(A324-A323)</f>
        <v>1.4956175298805907</v>
      </c>
      <c r="D322" s="1">
        <f t="shared" ref="D322:D385" si="21">(C324-C323)/(A325-A323)</f>
        <v>1976.9482719755647</v>
      </c>
      <c r="E322" s="1">
        <f t="shared" ref="E322:E385" si="22" xml:space="preserve"> (D324-D323)/(A326-A323)</f>
        <v>1520.7479280733762</v>
      </c>
      <c r="G322" s="1">
        <f t="shared" ref="G322:G385" si="23" xml:space="preserve"> B323 + C323*(A323-A323) + D323*(A323-A323)*(A323-A324) + E323*(A323-A323)*(A323-A324)*(A323-A325)</f>
        <v>3.2900299999999998</v>
      </c>
    </row>
    <row r="323" spans="1:7" x14ac:dyDescent="0.15">
      <c r="A323" s="1">
        <v>16.5274</v>
      </c>
      <c r="B323" s="1">
        <v>3.2900299999999998</v>
      </c>
      <c r="C323" s="1">
        <f t="shared" si="20"/>
        <v>-69.265573770491869</v>
      </c>
      <c r="D323" s="1">
        <f t="shared" si="21"/>
        <v>-72.60215855790328</v>
      </c>
      <c r="E323" s="1">
        <f t="shared" si="22"/>
        <v>-241.93086706493216</v>
      </c>
      <c r="G323" s="1">
        <f t="shared" si="23"/>
        <v>3.3275700000000001</v>
      </c>
    </row>
    <row r="324" spans="1:7" x14ac:dyDescent="0.15">
      <c r="A324" s="1">
        <v>16.552499999999998</v>
      </c>
      <c r="B324" s="1">
        <v>3.3275700000000001</v>
      </c>
      <c r="C324" s="1">
        <f t="shared" si="20"/>
        <v>4.474596774193401</v>
      </c>
      <c r="D324" s="1">
        <f t="shared" si="21"/>
        <v>59.550836391673087</v>
      </c>
      <c r="E324" s="1">
        <f t="shared" si="22"/>
        <v>-1670.0451402560982</v>
      </c>
      <c r="G324" s="1">
        <f t="shared" si="23"/>
        <v>2.4825300000000001</v>
      </c>
    </row>
    <row r="325" spans="1:7" x14ac:dyDescent="0.15">
      <c r="A325" s="1">
        <v>16.564699999999998</v>
      </c>
      <c r="B325" s="1">
        <v>2.4825300000000001</v>
      </c>
      <c r="C325" s="1">
        <f t="shared" si="20"/>
        <v>-1.2216624685140317E-2</v>
      </c>
      <c r="D325" s="1">
        <f t="shared" si="21"/>
        <v>25.390197962104345</v>
      </c>
      <c r="E325" s="1">
        <f t="shared" si="22"/>
        <v>886.3392026798125</v>
      </c>
      <c r="G325" s="1">
        <f t="shared" si="23"/>
        <v>2.7044700000000002</v>
      </c>
    </row>
    <row r="326" spans="1:7" x14ac:dyDescent="0.15">
      <c r="A326" s="1">
        <v>16.6143</v>
      </c>
      <c r="B326" s="1">
        <v>2.7044700000000002</v>
      </c>
      <c r="C326" s="1">
        <f t="shared" si="20"/>
        <v>7.6698412698407674</v>
      </c>
      <c r="D326" s="1">
        <f t="shared" si="21"/>
        <v>-232.13076266539102</v>
      </c>
      <c r="E326" s="1">
        <f t="shared" si="22"/>
        <v>1962.7193988590145</v>
      </c>
      <c r="G326" s="1">
        <f t="shared" si="23"/>
        <v>2.7035</v>
      </c>
    </row>
    <row r="327" spans="1:7" x14ac:dyDescent="0.15">
      <c r="A327" s="1">
        <v>16.6937</v>
      </c>
      <c r="B327" s="1">
        <v>2.7035</v>
      </c>
      <c r="C327" s="1">
        <f t="shared" si="20"/>
        <v>10.325655976676916</v>
      </c>
      <c r="D327" s="1">
        <f t="shared" si="21"/>
        <v>-109.01824741316544</v>
      </c>
      <c r="E327" s="1">
        <f t="shared" si="22"/>
        <v>-2239.8923427315513</v>
      </c>
      <c r="G327" s="1">
        <f t="shared" si="23"/>
        <v>2.8967800000000001</v>
      </c>
    </row>
    <row r="328" spans="1:7" x14ac:dyDescent="0.15">
      <c r="A328" s="1">
        <v>16.718900000000001</v>
      </c>
      <c r="B328" s="1">
        <v>2.8967800000000001</v>
      </c>
      <c r="C328" s="1">
        <f t="shared" si="20"/>
        <v>-3.4861244019138233</v>
      </c>
      <c r="D328" s="1">
        <f t="shared" si="21"/>
        <v>212.86773399971585</v>
      </c>
      <c r="E328" s="1">
        <f t="shared" si="22"/>
        <v>167.58828049277349</v>
      </c>
      <c r="G328" s="1">
        <f t="shared" si="23"/>
        <v>3.25095</v>
      </c>
    </row>
    <row r="329" spans="1:7" x14ac:dyDescent="0.15">
      <c r="A329" s="1">
        <v>16.7532</v>
      </c>
      <c r="B329" s="1">
        <v>3.25095</v>
      </c>
      <c r="C329" s="1">
        <f t="shared" si="20"/>
        <v>-18.617857142861165</v>
      </c>
      <c r="D329" s="1">
        <f t="shared" si="21"/>
        <v>-116.84441885036398</v>
      </c>
      <c r="E329" s="1">
        <f t="shared" si="22"/>
        <v>3538.4771948726584</v>
      </c>
      <c r="G329" s="1">
        <f t="shared" si="23"/>
        <v>2.8866499999999999</v>
      </c>
    </row>
    <row r="330" spans="1:7" x14ac:dyDescent="0.15">
      <c r="A330" s="1">
        <v>16.857700000000001</v>
      </c>
      <c r="B330" s="1">
        <v>2.8866499999999999</v>
      </c>
      <c r="C330" s="1">
        <f t="shared" si="20"/>
        <v>5.4149100257067069</v>
      </c>
      <c r="D330" s="1">
        <f t="shared" si="21"/>
        <v>-91.404517871560714</v>
      </c>
      <c r="E330" s="1">
        <f t="shared" si="22"/>
        <v>-5817.62978020627</v>
      </c>
      <c r="G330" s="1">
        <f t="shared" si="23"/>
        <v>2.7302599999999999</v>
      </c>
    </row>
    <row r="331" spans="1:7" x14ac:dyDescent="0.15">
      <c r="A331" s="1">
        <v>16.866099999999999</v>
      </c>
      <c r="B331" s="1">
        <v>2.7302599999999999</v>
      </c>
      <c r="C331" s="1">
        <f t="shared" si="20"/>
        <v>-0.11183098591549701</v>
      </c>
      <c r="D331" s="1">
        <f t="shared" si="21"/>
        <v>327.1973342818672</v>
      </c>
      <c r="E331" s="1">
        <f t="shared" si="22"/>
        <v>2021.9591199816009</v>
      </c>
      <c r="G331" s="1">
        <f t="shared" si="23"/>
        <v>2.9409000000000001</v>
      </c>
    </row>
    <row r="332" spans="1:7" x14ac:dyDescent="0.15">
      <c r="A332" s="1">
        <v>16.905000000000001</v>
      </c>
      <c r="B332" s="1">
        <v>2.9409000000000001</v>
      </c>
      <c r="C332" s="1">
        <f t="shared" si="20"/>
        <v>-10.157187499999988</v>
      </c>
      <c r="D332" s="1">
        <f t="shared" si="21"/>
        <v>-498.32433152940069</v>
      </c>
      <c r="E332" s="1">
        <f t="shared" si="22"/>
        <v>2281.1085907706997</v>
      </c>
      <c r="G332" s="1">
        <f t="shared" si="23"/>
        <v>2.93296</v>
      </c>
    </row>
    <row r="333" spans="1:7" x14ac:dyDescent="0.15">
      <c r="A333" s="1">
        <v>16.975999999999999</v>
      </c>
      <c r="B333" s="1">
        <v>2.93296</v>
      </c>
      <c r="C333" s="1">
        <f t="shared" si="20"/>
        <v>23.544137931031674</v>
      </c>
      <c r="D333" s="1">
        <f t="shared" si="21"/>
        <v>-260.74413493156317</v>
      </c>
      <c r="E333" s="1">
        <f t="shared" si="22"/>
        <v>10240.272535752607</v>
      </c>
      <c r="G333" s="1">
        <f t="shared" si="23"/>
        <v>2.6079300000000001</v>
      </c>
    </row>
    <row r="334" spans="1:7" x14ac:dyDescent="0.15">
      <c r="A334" s="1">
        <v>17.007999999999999</v>
      </c>
      <c r="B334" s="1">
        <v>2.6079300000000001</v>
      </c>
      <c r="C334" s="1">
        <f t="shared" si="20"/>
        <v>0.3720565149136611</v>
      </c>
      <c r="D334" s="1">
        <f t="shared" si="21"/>
        <v>135.94064900346089</v>
      </c>
      <c r="E334" s="1">
        <f t="shared" si="22"/>
        <v>-13338.044068017023</v>
      </c>
      <c r="G334" s="1">
        <f t="shared" si="23"/>
        <v>2.9493200000000002</v>
      </c>
    </row>
    <row r="335" spans="1:7" x14ac:dyDescent="0.15">
      <c r="A335" s="1">
        <v>17.022500000000001</v>
      </c>
      <c r="B335" s="1">
        <v>2.9493200000000002</v>
      </c>
      <c r="C335" s="1">
        <f t="shared" si="20"/>
        <v>-36.627536231875077</v>
      </c>
      <c r="D335" s="1">
        <f t="shared" si="21"/>
        <v>1659.6932023234629</v>
      </c>
      <c r="E335" s="1">
        <f t="shared" si="22"/>
        <v>5010.1336276547927</v>
      </c>
      <c r="G335" s="1">
        <f t="shared" si="23"/>
        <v>2.9967199999999998</v>
      </c>
    </row>
    <row r="336" spans="1:7" x14ac:dyDescent="0.15">
      <c r="A336" s="1">
        <v>17.149899999999999</v>
      </c>
      <c r="B336" s="1">
        <v>2.9967199999999998</v>
      </c>
      <c r="C336" s="1">
        <f t="shared" si="20"/>
        <v>-18.370707070710328</v>
      </c>
      <c r="D336" s="1">
        <f t="shared" si="21"/>
        <v>-263.65275228456386</v>
      </c>
      <c r="E336" s="1">
        <f t="shared" si="22"/>
        <v>-630.87518454309577</v>
      </c>
      <c r="G336" s="1">
        <f t="shared" si="23"/>
        <v>2.7439900000000002</v>
      </c>
    </row>
    <row r="337" spans="1:7" x14ac:dyDescent="0.15">
      <c r="A337" s="1">
        <v>17.1568</v>
      </c>
      <c r="B337" s="1">
        <v>2.7439900000000002</v>
      </c>
      <c r="C337" s="1">
        <f t="shared" si="20"/>
        <v>9.5121387283237269</v>
      </c>
      <c r="D337" s="1">
        <f t="shared" si="21"/>
        <v>80.543427935319173</v>
      </c>
      <c r="E337" s="1">
        <f t="shared" si="22"/>
        <v>47.389071967690995</v>
      </c>
      <c r="G337" s="1">
        <f t="shared" si="23"/>
        <v>2.5621200000000002</v>
      </c>
    </row>
    <row r="338" spans="1:7" x14ac:dyDescent="0.15">
      <c r="A338" s="1">
        <v>17.166699999999999</v>
      </c>
      <c r="B338" s="1">
        <v>2.5621200000000002</v>
      </c>
      <c r="C338" s="1">
        <f t="shared" si="20"/>
        <v>-6.7816013628618119</v>
      </c>
      <c r="D338" s="1">
        <f t="shared" si="21"/>
        <v>4.5229681978762342</v>
      </c>
      <c r="E338" s="1">
        <f t="shared" si="22"/>
        <v>-390.22295975532171</v>
      </c>
      <c r="G338" s="1">
        <f t="shared" si="23"/>
        <v>3.0558000000000001</v>
      </c>
    </row>
    <row r="339" spans="1:7" x14ac:dyDescent="0.15">
      <c r="A339" s="1">
        <v>17.218599999999999</v>
      </c>
      <c r="B339" s="1">
        <v>3.0558000000000001</v>
      </c>
      <c r="C339" s="1">
        <f t="shared" si="20"/>
        <v>2.1265017667846151</v>
      </c>
      <c r="D339" s="1">
        <f t="shared" si="21"/>
        <v>11.105310294188493</v>
      </c>
      <c r="E339" s="1">
        <f t="shared" si="22"/>
        <v>397.78602411596631</v>
      </c>
      <c r="G339" s="1">
        <f t="shared" si="23"/>
        <v>2.6577199999999999</v>
      </c>
    </row>
    <row r="340" spans="1:7" x14ac:dyDescent="0.15">
      <c r="A340" s="1">
        <v>17.2773</v>
      </c>
      <c r="B340" s="1">
        <v>2.6577199999999999</v>
      </c>
      <c r="C340" s="1">
        <f t="shared" si="20"/>
        <v>2.5199999999998464</v>
      </c>
      <c r="D340" s="1">
        <f t="shared" si="21"/>
        <v>-45.477018870334376</v>
      </c>
      <c r="E340" s="1">
        <f t="shared" si="22"/>
        <v>-341.85790159279787</v>
      </c>
      <c r="G340" s="1">
        <f t="shared" si="23"/>
        <v>2.7179000000000002</v>
      </c>
    </row>
    <row r="341" spans="1:7" x14ac:dyDescent="0.15">
      <c r="A341" s="1">
        <v>17.305599999999998</v>
      </c>
      <c r="B341" s="1">
        <v>2.7179000000000002</v>
      </c>
      <c r="C341" s="1">
        <f t="shared" si="20"/>
        <v>3.4783882783883286</v>
      </c>
      <c r="D341" s="1">
        <f t="shared" si="21"/>
        <v>43.149707302702687</v>
      </c>
      <c r="E341" s="1">
        <f t="shared" si="22"/>
        <v>-22.678118451685631</v>
      </c>
      <c r="G341" s="1">
        <f t="shared" si="23"/>
        <v>2.8640599999999998</v>
      </c>
    </row>
    <row r="342" spans="1:7" x14ac:dyDescent="0.15">
      <c r="A342" s="1">
        <v>17.363600000000002</v>
      </c>
      <c r="B342" s="1">
        <v>2.8640599999999998</v>
      </c>
      <c r="C342" s="1">
        <f t="shared" si="20"/>
        <v>-5.3668918918917727</v>
      </c>
      <c r="D342" s="1">
        <f t="shared" si="21"/>
        <v>-48.639139274964585</v>
      </c>
      <c r="E342" s="1">
        <f t="shared" si="22"/>
        <v>446.20839131852409</v>
      </c>
      <c r="G342" s="1">
        <f t="shared" si="23"/>
        <v>3.3388599999999999</v>
      </c>
    </row>
    <row r="343" spans="1:7" x14ac:dyDescent="0.15">
      <c r="A343" s="1">
        <v>17.5001</v>
      </c>
      <c r="B343" s="1">
        <v>3.3388599999999999</v>
      </c>
      <c r="C343" s="1">
        <f t="shared" si="20"/>
        <v>3.7161214953271298</v>
      </c>
      <c r="D343" s="1">
        <f t="shared" si="21"/>
        <v>-54.383506678776541</v>
      </c>
      <c r="E343" s="1">
        <f t="shared" si="22"/>
        <v>-58.022731470184667</v>
      </c>
      <c r="G343" s="1">
        <f t="shared" si="23"/>
        <v>2.94171</v>
      </c>
    </row>
    <row r="344" spans="1:7" x14ac:dyDescent="0.15">
      <c r="A344" s="1">
        <v>17.574100000000001</v>
      </c>
      <c r="B344" s="1">
        <v>2.94171</v>
      </c>
      <c r="C344" s="1">
        <f t="shared" si="20"/>
        <v>-1.9649299719887996</v>
      </c>
      <c r="D344" s="1">
        <f t="shared" si="21"/>
        <v>77.38183127758407</v>
      </c>
      <c r="E344" s="1">
        <f t="shared" si="22"/>
        <v>-470.30953364354122</v>
      </c>
      <c r="G344" s="1">
        <f t="shared" si="23"/>
        <v>3.1007600000000002</v>
      </c>
    </row>
    <row r="345" spans="1:7" x14ac:dyDescent="0.15">
      <c r="A345" s="1">
        <v>17.616900000000001</v>
      </c>
      <c r="B345" s="1">
        <v>3.1007600000000002</v>
      </c>
      <c r="C345" s="1">
        <f t="shared" si="20"/>
        <v>-14.000000000002016</v>
      </c>
      <c r="D345" s="1">
        <f t="shared" si="21"/>
        <v>63.787105294119947</v>
      </c>
      <c r="E345" s="1">
        <f t="shared" si="22"/>
        <v>9570.2426566563681</v>
      </c>
      <c r="G345" s="1">
        <f t="shared" si="23"/>
        <v>2.7500200000000001</v>
      </c>
    </row>
    <row r="346" spans="1:7" x14ac:dyDescent="0.15">
      <c r="A346" s="1">
        <v>17.795400000000001</v>
      </c>
      <c r="B346" s="1">
        <v>2.7500200000000001</v>
      </c>
      <c r="C346" s="1">
        <f t="shared" si="20"/>
        <v>0.81862068965516277</v>
      </c>
      <c r="D346" s="1">
        <f t="shared" si="21"/>
        <v>-39.916146874279811</v>
      </c>
      <c r="E346" s="1">
        <f t="shared" si="22"/>
        <v>-10889.386153597774</v>
      </c>
      <c r="G346" s="1">
        <f t="shared" si="23"/>
        <v>2.5680200000000002</v>
      </c>
    </row>
    <row r="347" spans="1:7" x14ac:dyDescent="0.15">
      <c r="A347" s="1">
        <v>17.808399999999999</v>
      </c>
      <c r="B347" s="1">
        <v>2.5680200000000002</v>
      </c>
      <c r="C347" s="1">
        <f t="shared" si="20"/>
        <v>3.4976791120080755</v>
      </c>
      <c r="D347" s="1">
        <f t="shared" si="21"/>
        <v>1310.4450919799147</v>
      </c>
      <c r="E347" s="1">
        <f t="shared" si="22"/>
        <v>7429.5500776148083</v>
      </c>
      <c r="G347" s="1">
        <f t="shared" si="23"/>
        <v>2.5917599999999998</v>
      </c>
    </row>
    <row r="348" spans="1:7" x14ac:dyDescent="0.15">
      <c r="A348" s="1">
        <v>17.837399999999999</v>
      </c>
      <c r="B348" s="1">
        <v>2.5917599999999998</v>
      </c>
      <c r="C348" s="1">
        <f t="shared" si="20"/>
        <v>-1.6155793025871636</v>
      </c>
      <c r="D348" s="1">
        <f t="shared" si="21"/>
        <v>-2020.6181324056572</v>
      </c>
      <c r="E348" s="1">
        <f t="shared" si="22"/>
        <v>-434.1679659455429</v>
      </c>
      <c r="G348" s="1">
        <f t="shared" si="23"/>
        <v>2.93838</v>
      </c>
    </row>
    <row r="349" spans="1:7" x14ac:dyDescent="0.15">
      <c r="A349" s="1">
        <v>17.936499999999999</v>
      </c>
      <c r="B349" s="1">
        <v>2.93838</v>
      </c>
      <c r="C349" s="1">
        <f t="shared" si="20"/>
        <v>361.24666666665286</v>
      </c>
      <c r="D349" s="1">
        <f t="shared" si="21"/>
        <v>47.768609202315304</v>
      </c>
      <c r="E349" s="1">
        <f t="shared" si="22"/>
        <v>3152.1313509857041</v>
      </c>
      <c r="G349" s="1">
        <f t="shared" si="23"/>
        <v>2.6511300000000002</v>
      </c>
    </row>
    <row r="350" spans="1:7" x14ac:dyDescent="0.15">
      <c r="A350" s="1">
        <v>18.1143</v>
      </c>
      <c r="B350" s="1">
        <v>2.6511300000000002</v>
      </c>
      <c r="C350" s="1">
        <f t="shared" si="20"/>
        <v>-1.0501644736842028</v>
      </c>
      <c r="D350" s="1">
        <f t="shared" si="21"/>
        <v>-109.26994408018869</v>
      </c>
      <c r="E350" s="1">
        <f t="shared" si="22"/>
        <v>-3588.7235075478015</v>
      </c>
      <c r="G350" s="1">
        <f t="shared" si="23"/>
        <v>3.1930000000000001</v>
      </c>
    </row>
    <row r="351" spans="1:7" x14ac:dyDescent="0.15">
      <c r="A351" s="1">
        <v>18.1158</v>
      </c>
      <c r="B351" s="1">
        <v>3.1930000000000001</v>
      </c>
      <c r="C351" s="1">
        <f t="shared" si="20"/>
        <v>7.7344827586216427</v>
      </c>
      <c r="D351" s="1">
        <f t="shared" si="21"/>
        <v>516.1129159553733</v>
      </c>
      <c r="E351" s="1">
        <f t="shared" si="22"/>
        <v>6359.4952893018153</v>
      </c>
      <c r="G351" s="1">
        <f t="shared" si="23"/>
        <v>3.0014500000000002</v>
      </c>
    </row>
    <row r="352" spans="1:7" x14ac:dyDescent="0.15">
      <c r="A352" s="1">
        <v>18.298200000000001</v>
      </c>
      <c r="B352" s="1">
        <v>3.0014500000000002</v>
      </c>
      <c r="C352" s="1">
        <f t="shared" si="20"/>
        <v>-13.780769230767447</v>
      </c>
      <c r="D352" s="1">
        <f t="shared" si="21"/>
        <v>-237.16014827891405</v>
      </c>
      <c r="E352" s="1">
        <f t="shared" si="22"/>
        <v>1518.0647230400104</v>
      </c>
      <c r="G352" s="1">
        <f t="shared" si="23"/>
        <v>3.1135999999999999</v>
      </c>
    </row>
    <row r="353" spans="1:7" x14ac:dyDescent="0.15">
      <c r="A353" s="1">
        <v>18.3127</v>
      </c>
      <c r="B353" s="1">
        <v>3.1135999999999999</v>
      </c>
      <c r="C353" s="1">
        <f t="shared" si="20"/>
        <v>0.41233595800524625</v>
      </c>
      <c r="D353" s="1">
        <f t="shared" si="21"/>
        <v>180.02274269928429</v>
      </c>
      <c r="E353" s="1">
        <f t="shared" si="22"/>
        <v>-6332.388005917639</v>
      </c>
      <c r="G353" s="1">
        <f t="shared" si="23"/>
        <v>2.93445</v>
      </c>
    </row>
    <row r="354" spans="1:7" x14ac:dyDescent="0.15">
      <c r="A354" s="1">
        <v>18.325700000000001</v>
      </c>
      <c r="B354" s="1">
        <v>2.93445</v>
      </c>
      <c r="C354" s="1">
        <f t="shared" si="20"/>
        <v>-11.706547619047665</v>
      </c>
      <c r="D354" s="1">
        <f t="shared" si="21"/>
        <v>308.60282474077553</v>
      </c>
      <c r="E354" s="1">
        <f t="shared" si="22"/>
        <v>11433.221420466311</v>
      </c>
      <c r="G354" s="1">
        <f t="shared" si="23"/>
        <v>2.9501599999999999</v>
      </c>
    </row>
    <row r="355" spans="1:7" x14ac:dyDescent="0.15">
      <c r="A355" s="1">
        <v>18.363800000000001</v>
      </c>
      <c r="B355" s="1">
        <v>2.9501599999999999</v>
      </c>
      <c r="C355" s="1">
        <f t="shared" si="20"/>
        <v>1.2010830324909978</v>
      </c>
      <c r="D355" s="1">
        <f t="shared" si="21"/>
        <v>-671.65083857526258</v>
      </c>
      <c r="E355" s="1">
        <f t="shared" si="22"/>
        <v>22040.034631721541</v>
      </c>
      <c r="G355" s="1">
        <f t="shared" si="23"/>
        <v>2.5568200000000001</v>
      </c>
    </row>
    <row r="356" spans="1:7" x14ac:dyDescent="0.15">
      <c r="A356" s="1">
        <v>18.397400000000001</v>
      </c>
      <c r="B356" s="1">
        <v>2.5568200000000001</v>
      </c>
      <c r="C356" s="1">
        <f t="shared" si="20"/>
        <v>37.215032679738897</v>
      </c>
      <c r="D356" s="1">
        <f t="shared" si="21"/>
        <v>837.53438892626627</v>
      </c>
      <c r="E356" s="1">
        <f t="shared" si="22"/>
        <v>-231639.57923511844</v>
      </c>
      <c r="G356" s="1">
        <f t="shared" si="23"/>
        <v>2.6566299999999998</v>
      </c>
    </row>
    <row r="357" spans="1:7" x14ac:dyDescent="0.15">
      <c r="A357" s="1">
        <v>18.480499999999999</v>
      </c>
      <c r="B357" s="1">
        <v>2.6566299999999998</v>
      </c>
      <c r="C357" s="1">
        <f t="shared" si="20"/>
        <v>-28.875409836065632</v>
      </c>
      <c r="D357" s="1">
        <f t="shared" si="21"/>
        <v>3140.7180079411241</v>
      </c>
      <c r="E357" s="1">
        <f t="shared" si="22"/>
        <v>280536.95551395824</v>
      </c>
      <c r="G357" s="1">
        <f t="shared" si="23"/>
        <v>3.2260200000000001</v>
      </c>
    </row>
    <row r="358" spans="1:7" x14ac:dyDescent="0.15">
      <c r="A358" s="1">
        <v>18.495799999999999</v>
      </c>
      <c r="B358" s="1">
        <v>3.2260200000000001</v>
      </c>
      <c r="C358" s="1">
        <f t="shared" si="20"/>
        <v>-10.952173913043646</v>
      </c>
      <c r="D358" s="1">
        <f t="shared" si="21"/>
        <v>-2881.9110521719094</v>
      </c>
      <c r="E358" s="1">
        <f t="shared" si="22"/>
        <v>-183849.47616933219</v>
      </c>
      <c r="G358" s="1">
        <f t="shared" si="23"/>
        <v>3.0498799999999999</v>
      </c>
    </row>
    <row r="359" spans="1:7" x14ac:dyDescent="0.15">
      <c r="A359" s="1">
        <v>18.501899999999999</v>
      </c>
      <c r="B359" s="1">
        <v>3.0498799999999999</v>
      </c>
      <c r="C359" s="1">
        <f t="shared" si="20"/>
        <v>22.65350877192617</v>
      </c>
      <c r="D359" s="1">
        <f t="shared" si="21"/>
        <v>3317.9556646870692</v>
      </c>
      <c r="E359" s="1">
        <f t="shared" si="22"/>
        <v>83628.186378619066</v>
      </c>
      <c r="G359" s="1">
        <f t="shared" si="23"/>
        <v>2.9994999999999998</v>
      </c>
    </row>
    <row r="360" spans="1:7" x14ac:dyDescent="0.15">
      <c r="A360" s="1">
        <v>18.506499999999999</v>
      </c>
      <c r="B360" s="1">
        <v>2.9994999999999998</v>
      </c>
      <c r="C360" s="1">
        <f t="shared" si="20"/>
        <v>-23.457068062829542</v>
      </c>
      <c r="D360" s="1">
        <f t="shared" si="21"/>
        <v>-3135.1609488564745</v>
      </c>
      <c r="E360" s="1">
        <f t="shared" si="22"/>
        <v>252.06453136657908</v>
      </c>
      <c r="G360" s="1">
        <f t="shared" si="23"/>
        <v>3.2577500000000001</v>
      </c>
    </row>
    <row r="361" spans="1:7" x14ac:dyDescent="0.15">
      <c r="A361" s="1">
        <v>18.517900000000001</v>
      </c>
      <c r="B361" s="1">
        <v>3.2577500000000001</v>
      </c>
      <c r="C361" s="1">
        <f t="shared" si="20"/>
        <v>77.740579710125985</v>
      </c>
      <c r="D361" s="1">
        <f t="shared" si="21"/>
        <v>-7.4667782959830831</v>
      </c>
      <c r="E361" s="1">
        <f t="shared" si="22"/>
        <v>-66.824008244084368</v>
      </c>
      <c r="G361" s="1">
        <f t="shared" si="23"/>
        <v>2.80972</v>
      </c>
    </row>
    <row r="362" spans="1:7" x14ac:dyDescent="0.15">
      <c r="A362" s="1">
        <v>18.536999999999999</v>
      </c>
      <c r="B362" s="1">
        <v>2.80972</v>
      </c>
      <c r="C362" s="1">
        <f t="shared" si="20"/>
        <v>-3.7736049601417254</v>
      </c>
      <c r="D362" s="1">
        <f t="shared" si="21"/>
        <v>27.544985110834645</v>
      </c>
      <c r="E362" s="1">
        <f t="shared" si="22"/>
        <v>1144.2804113485806</v>
      </c>
      <c r="G362" s="1">
        <f t="shared" si="23"/>
        <v>3.34613</v>
      </c>
    </row>
    <row r="363" spans="1:7" x14ac:dyDescent="0.15">
      <c r="A363" s="1">
        <v>18.543900000000001</v>
      </c>
      <c r="B363" s="1">
        <v>3.34613</v>
      </c>
      <c r="C363" s="1">
        <f t="shared" si="20"/>
        <v>-4.6681250000005097</v>
      </c>
      <c r="D363" s="1">
        <f t="shared" si="21"/>
        <v>18.470284791288009</v>
      </c>
      <c r="E363" s="1">
        <f t="shared" si="22"/>
        <v>-4998.96960602937</v>
      </c>
      <c r="G363" s="1">
        <f t="shared" si="23"/>
        <v>2.9200900000000001</v>
      </c>
    </row>
    <row r="364" spans="1:7" x14ac:dyDescent="0.15">
      <c r="A364" s="1">
        <v>18.6568</v>
      </c>
      <c r="B364" s="1">
        <v>2.9200900000000001</v>
      </c>
      <c r="C364" s="1">
        <f t="shared" si="20"/>
        <v>-1.1175764192139785</v>
      </c>
      <c r="D364" s="1">
        <f t="shared" si="21"/>
        <v>270.78411549364739</v>
      </c>
      <c r="E364" s="1">
        <f t="shared" si="22"/>
        <v>840.39327798609008</v>
      </c>
      <c r="G364" s="1">
        <f t="shared" si="23"/>
        <v>2.8454000000000002</v>
      </c>
    </row>
    <row r="365" spans="1:7" x14ac:dyDescent="0.15">
      <c r="A365" s="1">
        <v>18.672799999999999</v>
      </c>
      <c r="B365" s="1">
        <v>2.8454000000000002</v>
      </c>
      <c r="C365" s="1">
        <f t="shared" si="20"/>
        <v>0.86982622432857248</v>
      </c>
      <c r="D365" s="1">
        <f t="shared" si="21"/>
        <v>-583.53979017677</v>
      </c>
      <c r="E365" s="1">
        <f t="shared" si="22"/>
        <v>6911.1468660147921</v>
      </c>
      <c r="G365" s="1">
        <f t="shared" si="23"/>
        <v>2.7430300000000001</v>
      </c>
    </row>
    <row r="366" spans="1:7" x14ac:dyDescent="0.15">
      <c r="A366" s="1">
        <v>18.764399999999998</v>
      </c>
      <c r="B366" s="1">
        <v>2.7430300000000001</v>
      </c>
      <c r="C366" s="1">
        <f t="shared" si="20"/>
        <v>42.814285714294925</v>
      </c>
      <c r="D366" s="1">
        <f t="shared" si="21"/>
        <v>-446.30356788164187</v>
      </c>
      <c r="E366" s="1">
        <f t="shared" si="22"/>
        <v>-1381.8792502113895</v>
      </c>
      <c r="G366" s="1">
        <f t="shared" si="23"/>
        <v>2.7980900000000002</v>
      </c>
    </row>
    <row r="367" spans="1:7" x14ac:dyDescent="0.15">
      <c r="A367" s="1">
        <v>18.8277</v>
      </c>
      <c r="B367" s="1">
        <v>2.7980900000000002</v>
      </c>
      <c r="C367" s="1">
        <f t="shared" si="20"/>
        <v>0.97448275862058675</v>
      </c>
      <c r="D367" s="1">
        <f t="shared" si="21"/>
        <v>149.43729196884436</v>
      </c>
      <c r="E367" s="1">
        <f t="shared" si="22"/>
        <v>-698.00443631003111</v>
      </c>
      <c r="G367" s="1">
        <f t="shared" si="23"/>
        <v>3.1577299999999999</v>
      </c>
    </row>
    <row r="368" spans="1:7" x14ac:dyDescent="0.15">
      <c r="A368" s="1">
        <v>18.836099999999998</v>
      </c>
      <c r="B368" s="1">
        <v>3.1577299999999999</v>
      </c>
      <c r="C368" s="1">
        <f t="shared" si="20"/>
        <v>-9.2458689458689758</v>
      </c>
      <c r="D368" s="1">
        <f t="shared" si="21"/>
        <v>69.288295456584009</v>
      </c>
      <c r="E368" s="1">
        <f t="shared" si="22"/>
        <v>-466.26649791158758</v>
      </c>
      <c r="G368" s="1">
        <f t="shared" si="23"/>
        <v>3.1718600000000001</v>
      </c>
    </row>
    <row r="369" spans="1:7" x14ac:dyDescent="0.15">
      <c r="A369" s="1">
        <v>18.8506</v>
      </c>
      <c r="B369" s="1">
        <v>3.1718600000000001</v>
      </c>
      <c r="C369" s="1">
        <f t="shared" si="20"/>
        <v>-1.8337792642140507</v>
      </c>
      <c r="D369" s="1">
        <f t="shared" si="21"/>
        <v>-69.684387812744163</v>
      </c>
      <c r="E369" s="1">
        <f t="shared" si="22"/>
        <v>5435.4631152827615</v>
      </c>
      <c r="G369" s="1">
        <f t="shared" si="23"/>
        <v>2.8473299999999999</v>
      </c>
    </row>
    <row r="370" spans="1:7" x14ac:dyDescent="0.15">
      <c r="A370" s="1">
        <v>18.8857</v>
      </c>
      <c r="B370" s="1">
        <v>2.8473299999999999</v>
      </c>
      <c r="C370" s="1">
        <f t="shared" si="20"/>
        <v>10.956840077071334</v>
      </c>
      <c r="D370" s="1">
        <f t="shared" si="21"/>
        <v>-179.95641456883439</v>
      </c>
      <c r="E370" s="1">
        <f t="shared" si="22"/>
        <v>-23440.699291505145</v>
      </c>
      <c r="G370" s="1">
        <f t="shared" si="23"/>
        <v>2.5731799999999998</v>
      </c>
    </row>
    <row r="371" spans="1:7" x14ac:dyDescent="0.15">
      <c r="A371" s="1">
        <v>19.0352</v>
      </c>
      <c r="B371" s="1">
        <v>2.5731799999999998</v>
      </c>
      <c r="C371" s="1">
        <f t="shared" si="20"/>
        <v>-3.0775956284153114</v>
      </c>
      <c r="D371" s="1">
        <f t="shared" si="21"/>
        <v>1113.6838068684604</v>
      </c>
      <c r="E371" s="1">
        <f t="shared" si="22"/>
        <v>21916.286653230854</v>
      </c>
      <c r="G371" s="1">
        <f t="shared" si="23"/>
        <v>3.1418400000000002</v>
      </c>
    </row>
    <row r="372" spans="1:7" x14ac:dyDescent="0.15">
      <c r="A372" s="1">
        <v>19.0871</v>
      </c>
      <c r="B372" s="1">
        <v>3.1418400000000002</v>
      </c>
      <c r="C372" s="1">
        <f t="shared" si="20"/>
        <v>-19.003738317757119</v>
      </c>
      <c r="D372" s="1">
        <f t="shared" si="21"/>
        <v>-1462.449045267947</v>
      </c>
      <c r="E372" s="1">
        <f t="shared" si="22"/>
        <v>-1172.5865467573108</v>
      </c>
      <c r="G372" s="1">
        <f t="shared" si="23"/>
        <v>3.0291999999999999</v>
      </c>
    </row>
    <row r="373" spans="1:7" x14ac:dyDescent="0.15">
      <c r="A373" s="1">
        <v>19.123699999999999</v>
      </c>
      <c r="B373" s="1">
        <v>3.0291999999999999</v>
      </c>
      <c r="C373" s="1">
        <f t="shared" si="20"/>
        <v>45.589922480613396</v>
      </c>
      <c r="D373" s="1">
        <f t="shared" si="21"/>
        <v>91.415678446158836</v>
      </c>
      <c r="E373" s="1">
        <f t="shared" si="22"/>
        <v>396.62111007626942</v>
      </c>
      <c r="G373" s="1">
        <f t="shared" si="23"/>
        <v>2.6225200000000002</v>
      </c>
    </row>
    <row r="374" spans="1:7" x14ac:dyDescent="0.15">
      <c r="A374" s="1">
        <v>19.145099999999999</v>
      </c>
      <c r="B374" s="1">
        <v>2.6225200000000002</v>
      </c>
      <c r="C374" s="1">
        <f t="shared" si="20"/>
        <v>-4.5720797720797828</v>
      </c>
      <c r="D374" s="1">
        <f t="shared" si="21"/>
        <v>-31.119615689981998</v>
      </c>
      <c r="E374" s="1">
        <f t="shared" si="22"/>
        <v>-357.94876809964575</v>
      </c>
      <c r="G374" s="1">
        <f t="shared" si="23"/>
        <v>3.2106300000000001</v>
      </c>
    </row>
    <row r="375" spans="1:7" x14ac:dyDescent="0.15">
      <c r="A375" s="1">
        <v>19.158000000000001</v>
      </c>
      <c r="B375" s="1">
        <v>3.2106300000000001</v>
      </c>
      <c r="C375" s="1">
        <f t="shared" si="20"/>
        <v>3.0245631067961742</v>
      </c>
      <c r="D375" s="1">
        <f t="shared" si="21"/>
        <v>42.691572895211621</v>
      </c>
      <c r="E375" s="1">
        <f t="shared" si="22"/>
        <v>89.434762727097095</v>
      </c>
      <c r="G375" s="1">
        <f t="shared" si="23"/>
        <v>2.8896700000000002</v>
      </c>
    </row>
    <row r="376" spans="1:7" x14ac:dyDescent="0.15">
      <c r="A376" s="1">
        <v>19.228200000000001</v>
      </c>
      <c r="B376" s="1">
        <v>2.8896700000000002</v>
      </c>
      <c r="C376" s="1">
        <f t="shared" si="20"/>
        <v>-2.3653543307086387</v>
      </c>
      <c r="D376" s="1">
        <f t="shared" si="21"/>
        <v>-69.310596643167202</v>
      </c>
      <c r="E376" s="1">
        <f t="shared" si="22"/>
        <v>1129.8009603997666</v>
      </c>
      <c r="G376" s="1">
        <f t="shared" si="23"/>
        <v>3.2012</v>
      </c>
    </row>
    <row r="377" spans="1:7" x14ac:dyDescent="0.15">
      <c r="A377" s="1">
        <v>19.331199999999999</v>
      </c>
      <c r="B377" s="1">
        <v>3.2012</v>
      </c>
      <c r="C377" s="1">
        <f t="shared" si="20"/>
        <v>7.9958904109591895</v>
      </c>
      <c r="D377" s="1">
        <f t="shared" si="21"/>
        <v>-43.034663353946307</v>
      </c>
      <c r="E377" s="1">
        <f t="shared" si="22"/>
        <v>-1318.0751216182259</v>
      </c>
      <c r="G377" s="1">
        <f t="shared" si="23"/>
        <v>2.8707600000000002</v>
      </c>
    </row>
    <row r="378" spans="1:7" x14ac:dyDescent="0.15">
      <c r="A378" s="1">
        <v>19.4709</v>
      </c>
      <c r="B378" s="1">
        <v>2.8707600000000002</v>
      </c>
      <c r="C378" s="1">
        <f t="shared" si="20"/>
        <v>-5.228571428557073</v>
      </c>
      <c r="D378" s="1">
        <f t="shared" si="21"/>
        <v>173.32222056261051</v>
      </c>
      <c r="E378" s="1">
        <f t="shared" si="22"/>
        <v>-1741.4454201165033</v>
      </c>
      <c r="G378" s="1">
        <f t="shared" si="23"/>
        <v>3.27935</v>
      </c>
    </row>
    <row r="379" spans="1:7" x14ac:dyDescent="0.15">
      <c r="A379" s="1">
        <v>19.521999999999998</v>
      </c>
      <c r="B379" s="1">
        <v>3.27935</v>
      </c>
      <c r="C379" s="1">
        <f t="shared" si="20"/>
        <v>-7.4577669902914945</v>
      </c>
      <c r="D379" s="1">
        <f t="shared" si="21"/>
        <v>23.588886746782489</v>
      </c>
      <c r="E379" s="1">
        <f t="shared" si="22"/>
        <v>2364.7636565171865</v>
      </c>
      <c r="G379" s="1">
        <f t="shared" si="23"/>
        <v>3.27569</v>
      </c>
    </row>
    <row r="380" spans="1:7" x14ac:dyDescent="0.15">
      <c r="A380" s="1">
        <v>19.5227</v>
      </c>
      <c r="B380" s="1">
        <v>3.27569</v>
      </c>
      <c r="C380" s="1">
        <f t="shared" si="20"/>
        <v>3.3748717948716629</v>
      </c>
      <c r="D380" s="1">
        <f t="shared" si="21"/>
        <v>-153.16782339504516</v>
      </c>
      <c r="E380" s="1">
        <f t="shared" si="22"/>
        <v>-2162.6389921166838</v>
      </c>
      <c r="G380" s="1">
        <f t="shared" si="23"/>
        <v>2.8148</v>
      </c>
    </row>
    <row r="381" spans="1:7" x14ac:dyDescent="0.15">
      <c r="A381" s="1">
        <v>19.584499999999998</v>
      </c>
      <c r="B381" s="1">
        <v>2.8148</v>
      </c>
      <c r="C381" s="1">
        <f t="shared" si="20"/>
        <v>5.7526315789473275</v>
      </c>
      <c r="D381" s="1">
        <f t="shared" si="21"/>
        <v>121.14476076094768</v>
      </c>
      <c r="E381" s="1">
        <f t="shared" si="22"/>
        <v>-2282.7732715424236</v>
      </c>
      <c r="G381" s="1">
        <f t="shared" si="23"/>
        <v>2.9464199999999998</v>
      </c>
    </row>
    <row r="382" spans="1:7" x14ac:dyDescent="0.15">
      <c r="A382" s="1">
        <v>19.6235</v>
      </c>
      <c r="B382" s="1">
        <v>2.9464199999999998</v>
      </c>
      <c r="C382" s="1">
        <f t="shared" si="20"/>
        <v>-2.5490644490643626</v>
      </c>
      <c r="D382" s="1">
        <f t="shared" si="21"/>
        <v>-100.0932081325959</v>
      </c>
      <c r="E382" s="1">
        <f t="shared" si="22"/>
        <v>26494.68159500838</v>
      </c>
      <c r="G382" s="1">
        <f t="shared" si="23"/>
        <v>3.0338599999999998</v>
      </c>
    </row>
    <row r="383" spans="1:7" x14ac:dyDescent="0.15">
      <c r="A383" s="1">
        <v>19.6387</v>
      </c>
      <c r="B383" s="1">
        <v>3.0338599999999998</v>
      </c>
      <c r="C383" s="1">
        <f t="shared" si="20"/>
        <v>5.1193989071038306</v>
      </c>
      <c r="D383" s="1">
        <f t="shared" si="21"/>
        <v>-328.14225795968781</v>
      </c>
      <c r="E383" s="1">
        <f t="shared" si="22"/>
        <v>-160711.55950647406</v>
      </c>
      <c r="G383" s="1">
        <f t="shared" si="23"/>
        <v>2.9112499999999999</v>
      </c>
    </row>
    <row r="384" spans="1:7" x14ac:dyDescent="0.15">
      <c r="A384" s="1">
        <v>19.686800000000002</v>
      </c>
      <c r="B384" s="1">
        <v>2.9112499999999999</v>
      </c>
      <c r="C384" s="1">
        <f t="shared" si="20"/>
        <v>-3.3584958217271983</v>
      </c>
      <c r="D384" s="1">
        <f t="shared" si="21"/>
        <v>2867.1163423983121</v>
      </c>
      <c r="E384" s="1">
        <f t="shared" si="22"/>
        <v>243737.74571195868</v>
      </c>
      <c r="G384" s="1">
        <f t="shared" si="23"/>
        <v>3.0986199999999999</v>
      </c>
    </row>
    <row r="385" spans="1:7" x14ac:dyDescent="0.15">
      <c r="A385" s="1">
        <v>19.723400000000002</v>
      </c>
      <c r="B385" s="1">
        <v>3.0986199999999999</v>
      </c>
      <c r="C385" s="1">
        <f t="shared" si="20"/>
        <v>-27.148809523803912</v>
      </c>
      <c r="D385" s="1">
        <f t="shared" si="21"/>
        <v>-10134.448821675398</v>
      </c>
      <c r="E385" s="1">
        <f t="shared" si="22"/>
        <v>-67687.518200958875</v>
      </c>
      <c r="G385" s="1">
        <f t="shared" si="23"/>
        <v>2.9780500000000001</v>
      </c>
    </row>
    <row r="386" spans="1:7" x14ac:dyDescent="0.15">
      <c r="A386" s="1">
        <v>19.7593</v>
      </c>
      <c r="B386" s="1">
        <v>2.9780500000000001</v>
      </c>
      <c r="C386" s="1">
        <f t="shared" ref="C386:C449" si="24">(B388-B387)/(A388-A387)</f>
        <v>99.864444444440693</v>
      </c>
      <c r="D386" s="1">
        <f t="shared" ref="D386:D449" si="25">(C388-C387)/(A389-A387)</f>
        <v>1759.9531690681749</v>
      </c>
      <c r="E386" s="1">
        <f t="shared" ref="E386:E449" si="26" xml:space="preserve"> (D388-D387)/(A390-A387)</f>
        <v>9267.2471134605785</v>
      </c>
      <c r="G386" s="1">
        <f t="shared" ref="G386:G449" si="27" xml:space="preserve"> B387 + C387*(A387-A387) + D387*(A387-A387)*(A387-A388) + E387*(A387-A387)*(A387-A388)*(A387-A389)</f>
        <v>2.75</v>
      </c>
    </row>
    <row r="387" spans="1:7" x14ac:dyDescent="0.15">
      <c r="A387" s="1">
        <v>19.767700000000001</v>
      </c>
      <c r="B387" s="1">
        <v>2.75</v>
      </c>
      <c r="C387" s="1">
        <f t="shared" si="24"/>
        <v>-30.869945355191302</v>
      </c>
      <c r="D387" s="1">
        <f t="shared" si="25"/>
        <v>-351.89739880186988</v>
      </c>
      <c r="E387" s="1">
        <f t="shared" si="26"/>
        <v>-4205.9141470214363</v>
      </c>
      <c r="G387" s="1">
        <f t="shared" si="27"/>
        <v>3.1993900000000002</v>
      </c>
    </row>
    <row r="388" spans="1:7" x14ac:dyDescent="0.15">
      <c r="A388" s="1">
        <v>19.772200000000002</v>
      </c>
      <c r="B388" s="1">
        <v>3.1993900000000002</v>
      </c>
      <c r="C388" s="1">
        <f t="shared" si="24"/>
        <v>9.2569868995633549</v>
      </c>
      <c r="D388" s="1">
        <f t="shared" si="25"/>
        <v>283.83575318152566</v>
      </c>
      <c r="E388" s="1">
        <f t="shared" si="26"/>
        <v>1762.7569939976324</v>
      </c>
      <c r="G388" s="1">
        <f t="shared" si="27"/>
        <v>2.6344699999999999</v>
      </c>
    </row>
    <row r="389" spans="1:7" x14ac:dyDescent="0.15">
      <c r="A389" s="1">
        <v>19.790500000000002</v>
      </c>
      <c r="B389" s="1">
        <v>2.6344699999999999</v>
      </c>
      <c r="C389" s="1">
        <f t="shared" si="24"/>
        <v>-13.29963636363644</v>
      </c>
      <c r="D389" s="1">
        <f t="shared" si="25"/>
        <v>-101.42598268563651</v>
      </c>
      <c r="E389" s="1">
        <f t="shared" si="26"/>
        <v>-3688.4371757033127</v>
      </c>
      <c r="G389" s="1">
        <f t="shared" si="27"/>
        <v>3.05844</v>
      </c>
    </row>
    <row r="390" spans="1:7" x14ac:dyDescent="0.15">
      <c r="A390" s="1">
        <v>19.836300000000001</v>
      </c>
      <c r="B390" s="1">
        <v>3.05844</v>
      </c>
      <c r="C390" s="1">
        <f t="shared" si="24"/>
        <v>7.5055243445693041</v>
      </c>
      <c r="D390" s="1">
        <f t="shared" si="25"/>
        <v>216.04655193333619</v>
      </c>
      <c r="E390" s="1">
        <f t="shared" si="26"/>
        <v>16564.010755012656</v>
      </c>
      <c r="G390" s="1">
        <f t="shared" si="27"/>
        <v>2.6926999999999999</v>
      </c>
    </row>
    <row r="391" spans="1:7" x14ac:dyDescent="0.15">
      <c r="A391" s="1">
        <v>19.863800000000001</v>
      </c>
      <c r="B391" s="1">
        <v>2.6926999999999999</v>
      </c>
      <c r="C391" s="1">
        <f t="shared" si="24"/>
        <v>-6.1159851301116426</v>
      </c>
      <c r="D391" s="1">
        <f t="shared" si="25"/>
        <v>-676.1864008692861</v>
      </c>
      <c r="E391" s="1">
        <f t="shared" si="26"/>
        <v>-26944.602543653185</v>
      </c>
      <c r="G391" s="1">
        <f t="shared" si="27"/>
        <v>3.4942899999999999</v>
      </c>
    </row>
    <row r="392" spans="1:7" x14ac:dyDescent="0.15">
      <c r="A392" s="1">
        <v>19.970600000000001</v>
      </c>
      <c r="B392" s="1">
        <v>3.4942899999999999</v>
      </c>
      <c r="C392" s="1">
        <f t="shared" si="24"/>
        <v>40.204395604395138</v>
      </c>
      <c r="D392" s="1">
        <f t="shared" si="25"/>
        <v>3025.8700028760063</v>
      </c>
      <c r="E392" s="1">
        <f t="shared" si="26"/>
        <v>6711.3005339781548</v>
      </c>
      <c r="G392" s="1">
        <f t="shared" si="27"/>
        <v>2.8362099999999999</v>
      </c>
    </row>
    <row r="393" spans="1:7" x14ac:dyDescent="0.15">
      <c r="A393" s="1">
        <v>20.078199999999999</v>
      </c>
      <c r="B393" s="1">
        <v>2.8362099999999999</v>
      </c>
      <c r="C393" s="1">
        <f t="shared" si="24"/>
        <v>-38.706557377049222</v>
      </c>
      <c r="D393" s="1">
        <f t="shared" si="25"/>
        <v>-282.92718948455138</v>
      </c>
      <c r="E393" s="1">
        <f t="shared" si="26"/>
        <v>-1946.3785204287701</v>
      </c>
      <c r="G393" s="1">
        <f t="shared" si="27"/>
        <v>3.20207</v>
      </c>
    </row>
    <row r="394" spans="1:7" x14ac:dyDescent="0.15">
      <c r="A394" s="1">
        <v>20.087299999999999</v>
      </c>
      <c r="B394" s="1">
        <v>3.20207</v>
      </c>
      <c r="C394" s="1">
        <f t="shared" si="24"/>
        <v>7.2866666666663873</v>
      </c>
      <c r="D394" s="1">
        <f t="shared" si="25"/>
        <v>100.95920105901048</v>
      </c>
      <c r="E394" s="1">
        <f t="shared" si="26"/>
        <v>517.75773320106441</v>
      </c>
      <c r="G394" s="1">
        <f t="shared" si="27"/>
        <v>2.9659599999999999</v>
      </c>
    </row>
    <row r="395" spans="1:7" x14ac:dyDescent="0.15">
      <c r="A395" s="1">
        <v>20.093399999999999</v>
      </c>
      <c r="B395" s="1">
        <v>2.9659599999999999</v>
      </c>
      <c r="C395" s="1">
        <f t="shared" si="24"/>
        <v>-6.3221311475409827</v>
      </c>
      <c r="D395" s="1">
        <f t="shared" si="25"/>
        <v>-16.407423722847426</v>
      </c>
      <c r="E395" s="1">
        <f t="shared" si="26"/>
        <v>417.26442531016409</v>
      </c>
      <c r="G395" s="1">
        <f t="shared" si="27"/>
        <v>3.2719999999999998</v>
      </c>
    </row>
    <row r="396" spans="1:7" x14ac:dyDescent="0.15">
      <c r="A396" s="1">
        <v>20.135400000000001</v>
      </c>
      <c r="B396" s="1">
        <v>3.2719999999999998</v>
      </c>
      <c r="C396" s="1">
        <f t="shared" si="24"/>
        <v>-0.85014245014245482</v>
      </c>
      <c r="D396" s="1">
        <f t="shared" si="25"/>
        <v>29.828341852008396</v>
      </c>
      <c r="E396" s="1">
        <f t="shared" si="26"/>
        <v>-1755.8262503591861</v>
      </c>
      <c r="G396" s="1">
        <f t="shared" si="27"/>
        <v>3.1948699999999999</v>
      </c>
    </row>
    <row r="397" spans="1:7" x14ac:dyDescent="0.15">
      <c r="A397" s="1">
        <v>20.147600000000001</v>
      </c>
      <c r="B397" s="1">
        <v>3.1948699999999999</v>
      </c>
      <c r="C397" s="1">
        <f t="shared" si="24"/>
        <v>-1.6262135922331364</v>
      </c>
      <c r="D397" s="1">
        <f t="shared" si="25"/>
        <v>58.160596330567735</v>
      </c>
      <c r="E397" s="1">
        <f t="shared" si="26"/>
        <v>2165.2314532458026</v>
      </c>
      <c r="G397" s="1">
        <f t="shared" si="27"/>
        <v>3.1650299999999998</v>
      </c>
    </row>
    <row r="398" spans="1:7" x14ac:dyDescent="0.15">
      <c r="A398" s="1">
        <v>20.182700000000001</v>
      </c>
      <c r="B398" s="1">
        <v>3.1650299999999998</v>
      </c>
      <c r="C398" s="1">
        <f t="shared" si="24"/>
        <v>3.5225048923674007E-2</v>
      </c>
      <c r="D398" s="1">
        <f t="shared" si="25"/>
        <v>-129.36164720779297</v>
      </c>
      <c r="E398" s="1">
        <f t="shared" si="26"/>
        <v>-2329.9480865390879</v>
      </c>
      <c r="G398" s="1">
        <f t="shared" si="27"/>
        <v>3.1315300000000001</v>
      </c>
    </row>
    <row r="399" spans="1:7" x14ac:dyDescent="0.15">
      <c r="A399" s="1">
        <v>20.203299999999999</v>
      </c>
      <c r="B399" s="1">
        <v>3.1315300000000001</v>
      </c>
      <c r="C399" s="1">
        <f t="shared" si="24"/>
        <v>4.205339805825373</v>
      </c>
      <c r="D399" s="1">
        <f t="shared" si="25"/>
        <v>159.69675180051726</v>
      </c>
      <c r="E399" s="1">
        <f t="shared" si="26"/>
        <v>1968.0307790800689</v>
      </c>
      <c r="G399" s="1">
        <f t="shared" si="27"/>
        <v>3.1333299999999999</v>
      </c>
    </row>
    <row r="400" spans="1:7" x14ac:dyDescent="0.15">
      <c r="A400" s="1">
        <v>20.2544</v>
      </c>
      <c r="B400" s="1">
        <v>3.1333299999999999</v>
      </c>
      <c r="C400" s="1">
        <f t="shared" si="24"/>
        <v>-10.399590163934423</v>
      </c>
      <c r="D400" s="1">
        <f t="shared" si="25"/>
        <v>-160.20512048129891</v>
      </c>
      <c r="E400" s="1">
        <f t="shared" si="26"/>
        <v>1820.9815926992314</v>
      </c>
      <c r="G400" s="1">
        <f t="shared" si="27"/>
        <v>3.3932199999999999</v>
      </c>
    </row>
    <row r="401" spans="1:7" x14ac:dyDescent="0.15">
      <c r="A401" s="1">
        <v>20.316199999999998</v>
      </c>
      <c r="B401" s="1">
        <v>3.3932199999999999</v>
      </c>
      <c r="C401" s="1">
        <f t="shared" si="24"/>
        <v>3.3662698412698546</v>
      </c>
      <c r="D401" s="1">
        <f t="shared" si="25"/>
        <v>108.62788394103421</v>
      </c>
      <c r="E401" s="1">
        <f t="shared" si="26"/>
        <v>-5118.2315964760692</v>
      </c>
      <c r="G401" s="1">
        <f t="shared" si="27"/>
        <v>3.1394700000000002</v>
      </c>
    </row>
    <row r="402" spans="1:7" x14ac:dyDescent="0.15">
      <c r="A402" s="1">
        <v>20.340599999999998</v>
      </c>
      <c r="B402" s="1">
        <v>3.1394700000000002</v>
      </c>
      <c r="C402" s="1">
        <f t="shared" si="24"/>
        <v>-8.6170731707312633</v>
      </c>
      <c r="D402" s="1">
        <f t="shared" si="25"/>
        <v>304.56550331547419</v>
      </c>
      <c r="E402" s="1">
        <f t="shared" si="26"/>
        <v>4166.1629959241263</v>
      </c>
      <c r="G402" s="1">
        <f t="shared" si="27"/>
        <v>3.3091300000000001</v>
      </c>
    </row>
    <row r="403" spans="1:7" x14ac:dyDescent="0.15">
      <c r="A403" s="1">
        <v>20.390999999999998</v>
      </c>
      <c r="B403" s="1">
        <v>3.3091300000000001</v>
      </c>
      <c r="C403" s="1">
        <f t="shared" si="24"/>
        <v>0.42076677316294492</v>
      </c>
      <c r="D403" s="1">
        <f t="shared" si="25"/>
        <v>-441.67266345074319</v>
      </c>
      <c r="E403" s="1">
        <f t="shared" si="26"/>
        <v>504.68585328947142</v>
      </c>
      <c r="G403" s="1">
        <f t="shared" si="27"/>
        <v>3.0264899999999999</v>
      </c>
    </row>
    <row r="404" spans="1:7" x14ac:dyDescent="0.15">
      <c r="A404" s="1">
        <v>20.4238</v>
      </c>
      <c r="B404" s="1">
        <v>3.0264899999999999</v>
      </c>
      <c r="C404" s="1">
        <f t="shared" si="24"/>
        <v>29.476315789459633</v>
      </c>
      <c r="D404" s="1">
        <f t="shared" si="25"/>
        <v>-28.389294255056207</v>
      </c>
      <c r="E404" s="1">
        <f t="shared" si="26"/>
        <v>-492.16277170550171</v>
      </c>
      <c r="G404" s="1">
        <f t="shared" si="27"/>
        <v>3.0528300000000002</v>
      </c>
    </row>
    <row r="405" spans="1:7" x14ac:dyDescent="0.15">
      <c r="A405" s="1">
        <v>20.4864</v>
      </c>
      <c r="B405" s="1">
        <v>3.0528300000000002</v>
      </c>
      <c r="C405" s="1">
        <f t="shared" si="24"/>
        <v>0.14925093632959308</v>
      </c>
      <c r="D405" s="1">
        <f t="shared" si="25"/>
        <v>32.072070969023208</v>
      </c>
      <c r="E405" s="1">
        <f t="shared" si="26"/>
        <v>45.583882318133426</v>
      </c>
      <c r="G405" s="1">
        <f t="shared" si="27"/>
        <v>3.1648399999999999</v>
      </c>
    </row>
    <row r="406" spans="1:7" x14ac:dyDescent="0.15">
      <c r="A406" s="1">
        <v>20.490200000000002</v>
      </c>
      <c r="B406" s="1">
        <v>3.1648399999999999</v>
      </c>
      <c r="C406" s="1">
        <f t="shared" si="24"/>
        <v>-1.47461669505967</v>
      </c>
      <c r="D406" s="1">
        <f t="shared" si="25"/>
        <v>-24.969594271644389</v>
      </c>
      <c r="E406" s="1">
        <f t="shared" si="26"/>
        <v>3163.8373503698554</v>
      </c>
      <c r="G406" s="1">
        <f t="shared" si="27"/>
        <v>3.1728100000000001</v>
      </c>
    </row>
    <row r="407" spans="1:7" x14ac:dyDescent="0.15">
      <c r="A407" s="1">
        <v>20.543600000000001</v>
      </c>
      <c r="B407" s="1">
        <v>3.1728100000000001</v>
      </c>
      <c r="C407" s="1">
        <f t="shared" si="24"/>
        <v>2.1206624605677704</v>
      </c>
      <c r="D407" s="1">
        <f t="shared" si="25"/>
        <v>-16.969622924811993</v>
      </c>
      <c r="E407" s="1">
        <f t="shared" si="26"/>
        <v>-6524.0610830647174</v>
      </c>
      <c r="G407" s="1">
        <f t="shared" si="27"/>
        <v>3.0862500000000002</v>
      </c>
    </row>
    <row r="408" spans="1:7" x14ac:dyDescent="0.15">
      <c r="A408" s="1">
        <v>20.6023</v>
      </c>
      <c r="B408" s="1">
        <v>3.0862500000000002</v>
      </c>
      <c r="C408" s="1">
        <f t="shared" si="24"/>
        <v>-0.92812500000000109</v>
      </c>
      <c r="D408" s="1">
        <f t="shared" si="25"/>
        <v>470.57771276718171</v>
      </c>
      <c r="E408" s="1">
        <f t="shared" si="26"/>
        <v>10157.553344303475</v>
      </c>
      <c r="G408" s="1">
        <f t="shared" si="27"/>
        <v>3.2206999999999999</v>
      </c>
    </row>
    <row r="409" spans="1:7" x14ac:dyDescent="0.15">
      <c r="A409" s="1">
        <v>20.665700000000001</v>
      </c>
      <c r="B409" s="1">
        <v>3.2206999999999999</v>
      </c>
      <c r="C409" s="1">
        <f t="shared" si="24"/>
        <v>-2.5470270270270903</v>
      </c>
      <c r="D409" s="1">
        <f t="shared" si="25"/>
        <v>-634.59823470397862</v>
      </c>
      <c r="E409" s="1">
        <f t="shared" si="26"/>
        <v>-10986.021975760254</v>
      </c>
      <c r="G409" s="1">
        <f t="shared" si="27"/>
        <v>3.1909999999999998</v>
      </c>
    </row>
    <row r="410" spans="1:7" x14ac:dyDescent="0.15">
      <c r="A410" s="1">
        <v>20.697700000000001</v>
      </c>
      <c r="B410" s="1">
        <v>3.1909999999999998</v>
      </c>
      <c r="C410" s="1">
        <f t="shared" si="24"/>
        <v>47.334210526293276</v>
      </c>
      <c r="D410" s="1">
        <f t="shared" si="25"/>
        <v>480.70112250054177</v>
      </c>
      <c r="E410" s="1">
        <f t="shared" si="26"/>
        <v>30704.676972965666</v>
      </c>
      <c r="G410" s="1">
        <f t="shared" si="27"/>
        <v>3.0025200000000001</v>
      </c>
    </row>
    <row r="411" spans="1:7" x14ac:dyDescent="0.15">
      <c r="A411" s="1">
        <v>20.771699999999999</v>
      </c>
      <c r="B411" s="1">
        <v>3.0025200000000001</v>
      </c>
      <c r="C411" s="1">
        <f t="shared" si="24"/>
        <v>-2.0375321336761805</v>
      </c>
      <c r="D411" s="1">
        <f t="shared" si="25"/>
        <v>-801.36764207065801</v>
      </c>
      <c r="E411" s="1">
        <f t="shared" si="26"/>
        <v>-33816.135874810388</v>
      </c>
      <c r="G411" s="1">
        <f t="shared" si="27"/>
        <v>3.1823899999999998</v>
      </c>
    </row>
    <row r="412" spans="1:7" x14ac:dyDescent="0.15">
      <c r="A412" s="1">
        <v>20.775500000000001</v>
      </c>
      <c r="B412" s="1">
        <v>3.1823899999999998</v>
      </c>
      <c r="C412" s="1">
        <f t="shared" si="24"/>
        <v>18.488405797096934</v>
      </c>
      <c r="D412" s="1">
        <f t="shared" si="25"/>
        <v>721.58433578848962</v>
      </c>
      <c r="E412" s="1">
        <f t="shared" si="26"/>
        <v>22077.53686207061</v>
      </c>
      <c r="G412" s="1">
        <f t="shared" si="27"/>
        <v>3.1031300000000002</v>
      </c>
    </row>
    <row r="413" spans="1:7" x14ac:dyDescent="0.15">
      <c r="A413" s="1">
        <v>20.814399999999999</v>
      </c>
      <c r="B413" s="1">
        <v>3.1031300000000002</v>
      </c>
      <c r="C413" s="1">
        <f t="shared" si="24"/>
        <v>-18.21423220973908</v>
      </c>
      <c r="D413" s="1">
        <f t="shared" si="25"/>
        <v>-1730.0855151351959</v>
      </c>
      <c r="E413" s="1">
        <f t="shared" si="26"/>
        <v>-13232.77104511883</v>
      </c>
      <c r="G413" s="1">
        <f t="shared" si="27"/>
        <v>3.2307000000000001</v>
      </c>
    </row>
    <row r="414" spans="1:7" x14ac:dyDescent="0.15">
      <c r="A414" s="1">
        <v>20.821300000000001</v>
      </c>
      <c r="B414" s="1">
        <v>3.2307000000000001</v>
      </c>
      <c r="C414" s="1">
        <f t="shared" si="24"/>
        <v>6.0310014727540633</v>
      </c>
      <c r="D414" s="1">
        <f t="shared" si="25"/>
        <v>2009.8492292995552</v>
      </c>
      <c r="E414" s="1">
        <f t="shared" si="26"/>
        <v>1426.864055154685</v>
      </c>
      <c r="G414" s="1">
        <f t="shared" si="27"/>
        <v>2.74438</v>
      </c>
    </row>
    <row r="415" spans="1:7" x14ac:dyDescent="0.15">
      <c r="A415" s="1">
        <v>20.847999999999999</v>
      </c>
      <c r="B415" s="1">
        <v>2.74438</v>
      </c>
      <c r="C415" s="1">
        <f t="shared" si="24"/>
        <v>-275.10789473671161</v>
      </c>
      <c r="D415" s="1">
        <f t="shared" si="25"/>
        <v>-190.76059550370186</v>
      </c>
      <c r="E415" s="1">
        <f t="shared" si="26"/>
        <v>-1579.9879449572736</v>
      </c>
      <c r="G415" s="1">
        <f t="shared" si="27"/>
        <v>3.5633900000000001</v>
      </c>
    </row>
    <row r="416" spans="1:7" x14ac:dyDescent="0.15">
      <c r="A416" s="1">
        <v>20.983799999999999</v>
      </c>
      <c r="B416" s="1">
        <v>3.5633900000000001</v>
      </c>
      <c r="C416" s="1">
        <f t="shared" si="24"/>
        <v>5.4670576735093048</v>
      </c>
      <c r="D416" s="1">
        <f t="shared" si="25"/>
        <v>154.39781943821802</v>
      </c>
      <c r="E416" s="1">
        <f t="shared" si="26"/>
        <v>7020.8623467720681</v>
      </c>
      <c r="G416" s="1">
        <f t="shared" si="27"/>
        <v>2.5179800000000001</v>
      </c>
    </row>
    <row r="417" spans="1:7" x14ac:dyDescent="0.15">
      <c r="A417" s="1">
        <v>20.9876</v>
      </c>
      <c r="B417" s="1">
        <v>2.5179800000000001</v>
      </c>
      <c r="C417" s="1">
        <f t="shared" si="24"/>
        <v>-14.772641509433733</v>
      </c>
      <c r="D417" s="1">
        <f t="shared" si="25"/>
        <v>-29.986773738298286</v>
      </c>
      <c r="E417" s="1">
        <f t="shared" si="26"/>
        <v>-14860.920157754448</v>
      </c>
      <c r="G417" s="1">
        <f t="shared" si="27"/>
        <v>3.0772599999999999</v>
      </c>
    </row>
    <row r="418" spans="1:7" x14ac:dyDescent="0.15">
      <c r="A418" s="1">
        <v>21.0899</v>
      </c>
      <c r="B418" s="1">
        <v>3.0772599999999999</v>
      </c>
      <c r="C418" s="1">
        <f t="shared" si="24"/>
        <v>2.6588723051410503</v>
      </c>
      <c r="D418" s="1">
        <f t="shared" si="25"/>
        <v>1186.0265847226085</v>
      </c>
      <c r="E418" s="1">
        <f t="shared" si="26"/>
        <v>9472.2862430997611</v>
      </c>
      <c r="G418" s="1">
        <f t="shared" si="27"/>
        <v>2.9206699999999999</v>
      </c>
    </row>
    <row r="419" spans="1:7" x14ac:dyDescent="0.15">
      <c r="A419" s="1">
        <v>21.1005</v>
      </c>
      <c r="B419" s="1">
        <v>2.9206699999999999</v>
      </c>
      <c r="C419" s="1">
        <f t="shared" si="24"/>
        <v>0.5328100470957563</v>
      </c>
      <c r="D419" s="1">
        <f t="shared" si="25"/>
        <v>-1760.893882560094</v>
      </c>
      <c r="E419" s="1">
        <f t="shared" si="26"/>
        <v>-115.17712476337439</v>
      </c>
      <c r="G419" s="1">
        <f t="shared" si="27"/>
        <v>3.081</v>
      </c>
    </row>
    <row r="420" spans="1:7" x14ac:dyDescent="0.15">
      <c r="A420" s="1">
        <v>21.160799999999998</v>
      </c>
      <c r="B420" s="1">
        <v>3.081</v>
      </c>
      <c r="C420" s="1">
        <f t="shared" si="24"/>
        <v>223.14999999952883</v>
      </c>
      <c r="D420" s="1">
        <f t="shared" si="25"/>
        <v>24.63207426422256</v>
      </c>
      <c r="E420" s="1">
        <f t="shared" si="26"/>
        <v>270.79265452432992</v>
      </c>
      <c r="G420" s="1">
        <f t="shared" si="27"/>
        <v>3.1488800000000001</v>
      </c>
    </row>
    <row r="421" spans="1:7" x14ac:dyDescent="0.15">
      <c r="A421" s="1">
        <v>21.2882</v>
      </c>
      <c r="B421" s="1">
        <v>3.1488800000000001</v>
      </c>
      <c r="C421" s="1">
        <f t="shared" si="24"/>
        <v>-2.5965957446808567</v>
      </c>
      <c r="D421" s="1">
        <f t="shared" si="25"/>
        <v>-3.6669452901388668</v>
      </c>
      <c r="E421" s="1">
        <f t="shared" si="26"/>
        <v>-695.26593614470494</v>
      </c>
      <c r="G421" s="1">
        <f t="shared" si="27"/>
        <v>3.3273999999999999</v>
      </c>
    </row>
    <row r="422" spans="1:7" x14ac:dyDescent="0.15">
      <c r="A422" s="1">
        <v>21.289000000000001</v>
      </c>
      <c r="B422" s="1">
        <v>3.3273999999999999</v>
      </c>
      <c r="C422" s="1">
        <f t="shared" si="24"/>
        <v>0.3173786407767063</v>
      </c>
      <c r="D422" s="1">
        <f t="shared" si="25"/>
        <v>56.259469156095179</v>
      </c>
      <c r="E422" s="1">
        <f t="shared" si="26"/>
        <v>1159.0462860370303</v>
      </c>
      <c r="G422" s="1">
        <f t="shared" si="27"/>
        <v>3.0223</v>
      </c>
    </row>
    <row r="423" spans="1:7" x14ac:dyDescent="0.15">
      <c r="A423" s="1">
        <v>21.406500000000001</v>
      </c>
      <c r="B423" s="1">
        <v>3.0223</v>
      </c>
      <c r="C423" s="1">
        <f t="shared" si="24"/>
        <v>-0.49118279569890549</v>
      </c>
      <c r="D423" s="1">
        <f t="shared" si="25"/>
        <v>-129.37653579454067</v>
      </c>
      <c r="E423" s="1">
        <f t="shared" si="26"/>
        <v>-896.3269443450564</v>
      </c>
      <c r="G423" s="1">
        <f t="shared" si="27"/>
        <v>3.0549900000000001</v>
      </c>
    </row>
    <row r="424" spans="1:7" x14ac:dyDescent="0.15">
      <c r="A424" s="1">
        <v>21.509499999999999</v>
      </c>
      <c r="B424" s="1">
        <v>3.0549900000000001</v>
      </c>
      <c r="C424" s="1">
        <f t="shared" si="24"/>
        <v>7.9196078431373085</v>
      </c>
      <c r="D424" s="1">
        <f t="shared" si="25"/>
        <v>61.634292144361453</v>
      </c>
      <c r="E424" s="1">
        <f t="shared" si="26"/>
        <v>5735.4725563939028</v>
      </c>
      <c r="G424" s="1">
        <f t="shared" si="27"/>
        <v>3.0321500000000001</v>
      </c>
    </row>
    <row r="425" spans="1:7" x14ac:dyDescent="0.15">
      <c r="A425" s="1">
        <v>21.556000000000001</v>
      </c>
      <c r="B425" s="1">
        <v>3.0321500000000001</v>
      </c>
      <c r="C425" s="1">
        <f t="shared" si="24"/>
        <v>-7.5862068965516768E-2</v>
      </c>
      <c r="D425" s="1">
        <f t="shared" si="25"/>
        <v>-149.71960133220387</v>
      </c>
      <c r="E425" s="1">
        <f t="shared" si="26"/>
        <v>-7566.9036771791889</v>
      </c>
      <c r="G425" s="1">
        <f t="shared" si="27"/>
        <v>3.1533199999999999</v>
      </c>
    </row>
    <row r="426" spans="1:7" x14ac:dyDescent="0.15">
      <c r="A426" s="1">
        <v>21.571300000000001</v>
      </c>
      <c r="B426" s="1">
        <v>3.1533199999999999</v>
      </c>
      <c r="C426" s="1">
        <f t="shared" si="24"/>
        <v>11.591509433962067</v>
      </c>
      <c r="D426" s="1">
        <f t="shared" si="25"/>
        <v>996.80136269093464</v>
      </c>
      <c r="E426" s="1">
        <f t="shared" si="26"/>
        <v>13483.972379359915</v>
      </c>
      <c r="G426" s="1">
        <f t="shared" si="27"/>
        <v>3.14012</v>
      </c>
    </row>
    <row r="427" spans="1:7" x14ac:dyDescent="0.15">
      <c r="A427" s="1">
        <v>21.7453</v>
      </c>
      <c r="B427" s="1">
        <v>3.14012</v>
      </c>
      <c r="C427" s="1">
        <f t="shared" si="24"/>
        <v>-16.046728971962715</v>
      </c>
      <c r="D427" s="1">
        <f t="shared" si="25"/>
        <v>-561.98079480797458</v>
      </c>
      <c r="E427" s="1">
        <f t="shared" si="26"/>
        <v>-4622.3478821894014</v>
      </c>
      <c r="G427" s="1">
        <f t="shared" si="27"/>
        <v>3.2629899999999998</v>
      </c>
    </row>
    <row r="428" spans="1:7" x14ac:dyDescent="0.15">
      <c r="A428" s="1">
        <v>21.7559</v>
      </c>
      <c r="B428" s="1">
        <v>3.2629899999999998</v>
      </c>
      <c r="C428" s="1">
        <f t="shared" si="24"/>
        <v>15.850914634147225</v>
      </c>
      <c r="D428" s="1">
        <f t="shared" si="25"/>
        <v>311.78061537452351</v>
      </c>
      <c r="E428" s="1">
        <f t="shared" si="26"/>
        <v>1566.8943090516552</v>
      </c>
      <c r="G428" s="1">
        <f t="shared" si="27"/>
        <v>2.9195899999999999</v>
      </c>
    </row>
    <row r="429" spans="1:7" x14ac:dyDescent="0.15">
      <c r="A429" s="1">
        <v>21.7773</v>
      </c>
      <c r="B429" s="1">
        <v>2.9195899999999999</v>
      </c>
      <c r="C429" s="1">
        <f t="shared" si="24"/>
        <v>-14.608444444443888</v>
      </c>
      <c r="D429" s="1">
        <f t="shared" si="25"/>
        <v>-146.75629453866387</v>
      </c>
      <c r="E429" s="1">
        <f t="shared" si="26"/>
        <v>-325.42993805293958</v>
      </c>
      <c r="G429" s="1">
        <f t="shared" si="27"/>
        <v>3.4394999999999998</v>
      </c>
    </row>
    <row r="430" spans="1:7" x14ac:dyDescent="0.15">
      <c r="A430" s="1">
        <v>21.810099999999998</v>
      </c>
      <c r="B430" s="1">
        <v>3.4394999999999998</v>
      </c>
      <c r="C430" s="1">
        <f t="shared" si="24"/>
        <v>9.648087431694</v>
      </c>
      <c r="D430" s="1">
        <f t="shared" si="25"/>
        <v>32.496414416845234</v>
      </c>
      <c r="E430" s="1">
        <f t="shared" si="26"/>
        <v>286.88089651290909</v>
      </c>
      <c r="G430" s="1">
        <f t="shared" si="27"/>
        <v>2.7821199999999999</v>
      </c>
    </row>
    <row r="431" spans="1:7" x14ac:dyDescent="0.15">
      <c r="A431" s="1">
        <v>21.8551</v>
      </c>
      <c r="B431" s="1">
        <v>2.7821199999999999</v>
      </c>
      <c r="C431" s="1">
        <f t="shared" si="24"/>
        <v>-2.3272262026612163</v>
      </c>
      <c r="D431" s="1">
        <f t="shared" si="25"/>
        <v>-25.853173476047274</v>
      </c>
      <c r="E431" s="1">
        <f t="shared" si="26"/>
        <v>-177.58161474311584</v>
      </c>
      <c r="G431" s="1">
        <f t="shared" si="27"/>
        <v>3.13524</v>
      </c>
    </row>
    <row r="432" spans="1:7" x14ac:dyDescent="0.15">
      <c r="A432" s="1">
        <v>21.8917</v>
      </c>
      <c r="B432" s="1">
        <v>3.13524</v>
      </c>
      <c r="C432" s="1">
        <f t="shared" si="24"/>
        <v>2.0370422535210873</v>
      </c>
      <c r="D432" s="1">
        <f t="shared" si="25"/>
        <v>33.043474578053292</v>
      </c>
      <c r="E432" s="1">
        <f t="shared" si="26"/>
        <v>72.345580226408487</v>
      </c>
      <c r="G432" s="1">
        <f t="shared" si="27"/>
        <v>2.90787</v>
      </c>
    </row>
    <row r="433" spans="1:7" x14ac:dyDescent="0.15">
      <c r="A433" s="1">
        <v>21.9894</v>
      </c>
      <c r="B433" s="1">
        <v>2.90787</v>
      </c>
      <c r="C433" s="1">
        <f t="shared" si="24"/>
        <v>-2.3243881118881178</v>
      </c>
      <c r="D433" s="1">
        <f t="shared" si="25"/>
        <v>-17.229880555722978</v>
      </c>
      <c r="E433" s="1">
        <f t="shared" si="26"/>
        <v>-75.375808065785421</v>
      </c>
      <c r="G433" s="1">
        <f t="shared" si="27"/>
        <v>3.0525000000000002</v>
      </c>
    </row>
    <row r="434" spans="1:7" x14ac:dyDescent="0.15">
      <c r="A434" s="1">
        <v>22.060400000000001</v>
      </c>
      <c r="B434" s="1">
        <v>3.0525000000000002</v>
      </c>
      <c r="C434" s="1">
        <f t="shared" si="24"/>
        <v>3.8018720748830064</v>
      </c>
      <c r="D434" s="1">
        <f t="shared" si="25"/>
        <v>5.4576934032787969</v>
      </c>
      <c r="E434" s="1">
        <f t="shared" si="26"/>
        <v>150.93265389902331</v>
      </c>
      <c r="G434" s="1">
        <f t="shared" si="27"/>
        <v>2.7865899999999999</v>
      </c>
    </row>
    <row r="435" spans="1:7" x14ac:dyDescent="0.15">
      <c r="A435" s="1">
        <v>22.174800000000001</v>
      </c>
      <c r="B435" s="1">
        <v>2.7865899999999999</v>
      </c>
      <c r="C435" s="1">
        <f t="shared" si="24"/>
        <v>-0.37809694793537846</v>
      </c>
      <c r="D435" s="1">
        <f t="shared" si="25"/>
        <v>-17.026910142744811</v>
      </c>
      <c r="E435" s="1">
        <f t="shared" si="26"/>
        <v>-277.91352965847699</v>
      </c>
      <c r="G435" s="1">
        <f t="shared" si="27"/>
        <v>3.27399</v>
      </c>
    </row>
    <row r="436" spans="1:7" x14ac:dyDescent="0.15">
      <c r="A436" s="1">
        <v>22.303000000000001</v>
      </c>
      <c r="B436" s="1">
        <v>3.27399</v>
      </c>
      <c r="C436" s="1">
        <f t="shared" si="24"/>
        <v>0.62557286892757991</v>
      </c>
      <c r="D436" s="1">
        <f t="shared" si="25"/>
        <v>27.196357449668913</v>
      </c>
      <c r="E436" s="1">
        <f t="shared" si="26"/>
        <v>80.878407154736436</v>
      </c>
      <c r="G436" s="1">
        <f t="shared" si="27"/>
        <v>3.2529300000000001</v>
      </c>
    </row>
    <row r="437" spans="1:7" x14ac:dyDescent="0.15">
      <c r="A437" s="1">
        <v>22.358699999999999</v>
      </c>
      <c r="B437" s="1">
        <v>3.2529300000000001</v>
      </c>
      <c r="C437" s="1">
        <f t="shared" si="24"/>
        <v>-2.1804619225967583</v>
      </c>
      <c r="D437" s="1">
        <f t="shared" si="25"/>
        <v>-63.125539689335916</v>
      </c>
      <c r="E437" s="1">
        <f t="shared" si="26"/>
        <v>2472.7780217058462</v>
      </c>
      <c r="G437" s="1">
        <f t="shared" si="27"/>
        <v>3.32118</v>
      </c>
    </row>
    <row r="438" spans="1:7" x14ac:dyDescent="0.15">
      <c r="A438" s="1">
        <v>22.4678</v>
      </c>
      <c r="B438" s="1">
        <v>3.32118</v>
      </c>
      <c r="C438" s="1">
        <f t="shared" si="24"/>
        <v>5.1435171385991127</v>
      </c>
      <c r="D438" s="1">
        <f t="shared" si="25"/>
        <v>-35.918043522482485</v>
      </c>
      <c r="E438" s="1">
        <f t="shared" si="26"/>
        <v>318.54248086957847</v>
      </c>
      <c r="G438" s="1">
        <f t="shared" si="27"/>
        <v>2.97187</v>
      </c>
    </row>
    <row r="439" spans="1:7" x14ac:dyDescent="0.15">
      <c r="A439" s="1">
        <v>22.628</v>
      </c>
      <c r="B439" s="1">
        <v>2.97187</v>
      </c>
      <c r="C439" s="1">
        <f t="shared" si="24"/>
        <v>-9.2049180327869173</v>
      </c>
      <c r="D439" s="1">
        <f t="shared" si="25"/>
        <v>556.3122926760667</v>
      </c>
      <c r="E439" s="1">
        <f t="shared" si="26"/>
        <v>-39862.074550743797</v>
      </c>
      <c r="G439" s="1">
        <f t="shared" si="27"/>
        <v>3.3170000000000002</v>
      </c>
    </row>
    <row r="440" spans="1:7" x14ac:dyDescent="0.15">
      <c r="A440" s="1">
        <v>22.6951</v>
      </c>
      <c r="B440" s="1">
        <v>3.3170000000000002</v>
      </c>
      <c r="C440" s="1">
        <f t="shared" si="24"/>
        <v>-12.053218884119776</v>
      </c>
      <c r="D440" s="1">
        <f t="shared" si="25"/>
        <v>596.4167910175471</v>
      </c>
      <c r="E440" s="1">
        <f t="shared" si="26"/>
        <v>45566.15771567593</v>
      </c>
      <c r="G440" s="1">
        <f t="shared" si="27"/>
        <v>3.2046999999999999</v>
      </c>
    </row>
    <row r="441" spans="1:7" x14ac:dyDescent="0.15">
      <c r="A441" s="1">
        <v>22.7073</v>
      </c>
      <c r="B441" s="1">
        <v>3.2046999999999999</v>
      </c>
      <c r="C441" s="1">
        <f t="shared" si="24"/>
        <v>20.657943925233788</v>
      </c>
      <c r="D441" s="1">
        <f t="shared" si="25"/>
        <v>-2600.5215879521606</v>
      </c>
      <c r="E441" s="1">
        <f t="shared" si="26"/>
        <v>-21744.004597942981</v>
      </c>
      <c r="G441" s="1">
        <f t="shared" si="27"/>
        <v>2.6430199999999999</v>
      </c>
    </row>
    <row r="442" spans="1:7" x14ac:dyDescent="0.15">
      <c r="A442" s="1">
        <v>22.753900000000002</v>
      </c>
      <c r="B442" s="1">
        <v>2.6430199999999999</v>
      </c>
      <c r="C442" s="1">
        <f t="shared" si="24"/>
        <v>61.214285714427824</v>
      </c>
      <c r="D442" s="1">
        <f t="shared" si="25"/>
        <v>529.87344711476521</v>
      </c>
      <c r="E442" s="1">
        <f t="shared" si="26"/>
        <v>13862.841094053816</v>
      </c>
      <c r="G442" s="1">
        <f t="shared" si="27"/>
        <v>3.0851000000000002</v>
      </c>
    </row>
    <row r="443" spans="1:7" x14ac:dyDescent="0.15">
      <c r="A443" s="1">
        <v>22.775300000000001</v>
      </c>
      <c r="B443" s="1">
        <v>3.0851000000000002</v>
      </c>
      <c r="C443" s="1">
        <f t="shared" si="24"/>
        <v>3.7427586206896688</v>
      </c>
      <c r="D443" s="1">
        <f t="shared" si="25"/>
        <v>-581.24518784008103</v>
      </c>
      <c r="E443" s="1">
        <f t="shared" si="26"/>
        <v>783.94858646141347</v>
      </c>
      <c r="G443" s="1">
        <f t="shared" si="27"/>
        <v>3.1279499999999998</v>
      </c>
    </row>
    <row r="444" spans="1:7" x14ac:dyDescent="0.15">
      <c r="A444" s="1">
        <v>22.776</v>
      </c>
      <c r="B444" s="1">
        <v>3.1279499999999998</v>
      </c>
      <c r="C444" s="1">
        <f t="shared" si="24"/>
        <v>19.479999999997286</v>
      </c>
      <c r="D444" s="1">
        <f t="shared" si="25"/>
        <v>-10.09613476506512</v>
      </c>
      <c r="E444" s="1">
        <f t="shared" si="26"/>
        <v>-69.039077661437545</v>
      </c>
      <c r="G444" s="1">
        <f t="shared" si="27"/>
        <v>3.2364899999999999</v>
      </c>
    </row>
    <row r="445" spans="1:7" x14ac:dyDescent="0.15">
      <c r="A445" s="1">
        <v>22.805</v>
      </c>
      <c r="B445" s="1">
        <v>3.2364899999999999</v>
      </c>
      <c r="C445" s="1">
        <f t="shared" si="24"/>
        <v>-4.0604301075268863</v>
      </c>
      <c r="D445" s="1">
        <f t="shared" si="25"/>
        <v>94.561001527534756</v>
      </c>
      <c r="E445" s="1">
        <f t="shared" si="26"/>
        <v>-12959.787802171611</v>
      </c>
      <c r="G445" s="1">
        <f t="shared" si="27"/>
        <v>3.4605100000000002</v>
      </c>
    </row>
    <row r="446" spans="1:7" x14ac:dyDescent="0.15">
      <c r="A446" s="1">
        <v>22.816500000000001</v>
      </c>
      <c r="B446" s="1">
        <v>3.4605100000000002</v>
      </c>
      <c r="C446" s="1">
        <f t="shared" si="24"/>
        <v>-5.1154761904762074</v>
      </c>
      <c r="D446" s="1">
        <f t="shared" si="25"/>
        <v>83.866848397777986</v>
      </c>
      <c r="E446" s="1">
        <f t="shared" si="26"/>
        <v>57194.119666269922</v>
      </c>
      <c r="G446" s="1">
        <f t="shared" si="27"/>
        <v>3.0828899999999999</v>
      </c>
    </row>
    <row r="447" spans="1:7" x14ac:dyDescent="0.15">
      <c r="A447" s="1">
        <v>22.909500000000001</v>
      </c>
      <c r="B447" s="1">
        <v>3.0828899999999999</v>
      </c>
      <c r="C447" s="1">
        <f t="shared" si="24"/>
        <v>8.4445714285722531</v>
      </c>
      <c r="D447" s="1">
        <f t="shared" si="25"/>
        <v>-2001.3630089716091</v>
      </c>
      <c r="E447" s="1">
        <f t="shared" si="26"/>
        <v>-67764.032041480154</v>
      </c>
      <c r="G447" s="1">
        <f t="shared" si="27"/>
        <v>2.8250700000000002</v>
      </c>
    </row>
    <row r="448" spans="1:7" x14ac:dyDescent="0.15">
      <c r="A448" s="1">
        <v>22.959900000000001</v>
      </c>
      <c r="B448" s="1">
        <v>2.8250700000000002</v>
      </c>
      <c r="C448" s="1">
        <f t="shared" si="24"/>
        <v>14.139130434781217</v>
      </c>
      <c r="D448" s="1">
        <f t="shared" si="25"/>
        <v>2802.9430429950435</v>
      </c>
      <c r="E448" s="1">
        <f t="shared" si="26"/>
        <v>-9875.1318256838749</v>
      </c>
      <c r="G448" s="1">
        <f t="shared" si="27"/>
        <v>2.9728500000000002</v>
      </c>
    </row>
    <row r="449" spans="1:7" x14ac:dyDescent="0.15">
      <c r="A449" s="1">
        <v>22.977399999999999</v>
      </c>
      <c r="B449" s="1">
        <v>2.9728500000000002</v>
      </c>
      <c r="C449" s="1">
        <f t="shared" si="24"/>
        <v>-53.106666666664552</v>
      </c>
      <c r="D449" s="1">
        <f t="shared" si="25"/>
        <v>322.77947027687185</v>
      </c>
      <c r="E449" s="1">
        <f t="shared" si="26"/>
        <v>13758.052723210874</v>
      </c>
      <c r="G449" s="1">
        <f t="shared" si="27"/>
        <v>3.2004899999999998</v>
      </c>
    </row>
    <row r="450" spans="1:7" x14ac:dyDescent="0.15">
      <c r="A450" s="1">
        <v>22.993500000000001</v>
      </c>
      <c r="B450" s="1">
        <v>3.2004899999999998</v>
      </c>
      <c r="C450" s="1">
        <f t="shared" ref="C450:C500" si="28">(B452-B451)/(A452-A451)</f>
        <v>0.42954545454546428</v>
      </c>
      <c r="D450" s="1">
        <f t="shared" ref="D450:D500" si="29">(C452-C451)/(A453-A451)</f>
        <v>-430.69308802280591</v>
      </c>
      <c r="E450" s="1">
        <f t="shared" ref="E450:E500" si="30" xml:space="preserve"> (D452-D451)/(A454-A451)</f>
        <v>-13425.113780780832</v>
      </c>
      <c r="G450" s="1">
        <f t="shared" ref="G450:G500" si="31" xml:space="preserve"> B451 + C451*(A451-A451) + D451*(A451-A451)*(A451-A452) + E451*(A451-A451)*(A451-A452)*(A451-A453)</f>
        <v>3.0411700000000002</v>
      </c>
    </row>
    <row r="451" spans="1:7" x14ac:dyDescent="0.15">
      <c r="A451" s="1">
        <v>22.996500000000001</v>
      </c>
      <c r="B451" s="1">
        <v>3.0411700000000002</v>
      </c>
      <c r="C451" s="1">
        <f t="shared" si="28"/>
        <v>19.860869565212589</v>
      </c>
      <c r="D451" s="1">
        <f t="shared" si="29"/>
        <v>492.47224970464282</v>
      </c>
      <c r="E451" s="1">
        <f t="shared" si="30"/>
        <v>34940.508330052915</v>
      </c>
      <c r="G451" s="1">
        <f t="shared" si="31"/>
        <v>3.0657399999999999</v>
      </c>
    </row>
    <row r="452" spans="1:7" x14ac:dyDescent="0.15">
      <c r="A452" s="1">
        <v>23.053699999999999</v>
      </c>
      <c r="B452" s="1">
        <v>3.0657399999999999</v>
      </c>
      <c r="C452" s="1">
        <f t="shared" si="28"/>
        <v>-7.7465573770491938</v>
      </c>
      <c r="D452" s="1">
        <f t="shared" si="29"/>
        <v>-777.54351395722108</v>
      </c>
      <c r="E452" s="1">
        <f t="shared" si="30"/>
        <v>-53206.400802629774</v>
      </c>
      <c r="G452" s="1">
        <f t="shared" si="31"/>
        <v>3.2027800000000002</v>
      </c>
    </row>
    <row r="453" spans="1:7" x14ac:dyDescent="0.15">
      <c r="A453" s="1">
        <v>23.060600000000001</v>
      </c>
      <c r="B453" s="1">
        <v>3.2027800000000002</v>
      </c>
      <c r="C453" s="1">
        <f t="shared" si="28"/>
        <v>10.671904761905262</v>
      </c>
      <c r="D453" s="1">
        <f t="shared" si="29"/>
        <v>1996.73284744897</v>
      </c>
      <c r="E453" s="1">
        <f t="shared" si="30"/>
        <v>-181762.88778029726</v>
      </c>
      <c r="G453" s="1">
        <f t="shared" si="31"/>
        <v>2.96651</v>
      </c>
    </row>
    <row r="454" spans="1:7" x14ac:dyDescent="0.15">
      <c r="A454" s="1">
        <v>23.091100000000001</v>
      </c>
      <c r="B454" s="1">
        <v>2.96651</v>
      </c>
      <c r="C454" s="1">
        <f t="shared" si="28"/>
        <v>-45.699999999991718</v>
      </c>
      <c r="D454" s="1">
        <f t="shared" si="29"/>
        <v>-2387.4745786877129</v>
      </c>
      <c r="E454" s="1">
        <f t="shared" si="30"/>
        <v>1173620.0235722768</v>
      </c>
      <c r="G454" s="1">
        <f t="shared" si="31"/>
        <v>3.41473</v>
      </c>
    </row>
    <row r="455" spans="1:7" x14ac:dyDescent="0.15">
      <c r="A455" s="1">
        <v>23.133099999999999</v>
      </c>
      <c r="B455" s="1">
        <v>3.41473</v>
      </c>
      <c r="C455" s="1">
        <f t="shared" si="28"/>
        <v>57.930434782609495</v>
      </c>
      <c r="D455" s="1">
        <f t="shared" si="29"/>
        <v>-13493.187022063823</v>
      </c>
      <c r="E455" s="1">
        <f t="shared" si="30"/>
        <v>-873593.94486498367</v>
      </c>
      <c r="G455" s="1">
        <f t="shared" si="31"/>
        <v>2.9622999999999999</v>
      </c>
    </row>
    <row r="456" spans="1:7" x14ac:dyDescent="0.15">
      <c r="A456" s="1">
        <v>23.143000000000001</v>
      </c>
      <c r="B456" s="1">
        <v>2.9622999999999999</v>
      </c>
      <c r="C456" s="1">
        <f t="shared" si="28"/>
        <v>12.329670329670192</v>
      </c>
      <c r="D456" s="1">
        <f t="shared" si="29"/>
        <v>19602.897642676471</v>
      </c>
      <c r="E456" s="1">
        <f t="shared" si="30"/>
        <v>-86763.353786629275</v>
      </c>
      <c r="G456" s="1">
        <f t="shared" si="31"/>
        <v>3.49526</v>
      </c>
    </row>
    <row r="457" spans="1:7" x14ac:dyDescent="0.15">
      <c r="A457" s="1">
        <v>23.152200000000001</v>
      </c>
      <c r="B457" s="1">
        <v>3.49526</v>
      </c>
      <c r="C457" s="1">
        <f t="shared" si="28"/>
        <v>-234.59565217409755</v>
      </c>
      <c r="D457" s="1">
        <f t="shared" si="29"/>
        <v>1606.8623784594015</v>
      </c>
      <c r="E457" s="1">
        <f t="shared" si="30"/>
        <v>33773.764664207549</v>
      </c>
      <c r="G457" s="1">
        <f t="shared" si="31"/>
        <v>3.6074600000000001</v>
      </c>
    </row>
    <row r="458" spans="1:7" x14ac:dyDescent="0.15">
      <c r="A458" s="1">
        <v>23.161300000000001</v>
      </c>
      <c r="B458" s="1">
        <v>3.6074600000000001</v>
      </c>
      <c r="C458" s="1">
        <f t="shared" si="28"/>
        <v>-11.122619047619084</v>
      </c>
      <c r="D458" s="1">
        <f t="shared" si="29"/>
        <v>-839.86419832339016</v>
      </c>
      <c r="E458" s="1">
        <f t="shared" si="30"/>
        <v>-6202.6855809040089</v>
      </c>
      <c r="G458" s="1">
        <f t="shared" si="31"/>
        <v>3.0678899999999998</v>
      </c>
    </row>
    <row r="459" spans="1:7" x14ac:dyDescent="0.15">
      <c r="A459" s="1">
        <v>23.163599999999999</v>
      </c>
      <c r="B459" s="1">
        <v>3.0678899999999998</v>
      </c>
      <c r="C459" s="1">
        <f t="shared" si="28"/>
        <v>19.568452380952461</v>
      </c>
      <c r="D459" s="1">
        <f t="shared" si="29"/>
        <v>372.61395312159493</v>
      </c>
      <c r="E459" s="1">
        <f t="shared" si="30"/>
        <v>-7008.4273948703085</v>
      </c>
      <c r="G459" s="1">
        <f t="shared" si="31"/>
        <v>2.88103</v>
      </c>
    </row>
    <row r="460" spans="1:7" x14ac:dyDescent="0.15">
      <c r="A460" s="1">
        <v>23.180399999999999</v>
      </c>
      <c r="B460" s="1">
        <v>2.88103</v>
      </c>
      <c r="C460" s="1">
        <f t="shared" si="28"/>
        <v>-8.650984682713327</v>
      </c>
      <c r="D460" s="1">
        <f t="shared" si="29"/>
        <v>-119.25901344409255</v>
      </c>
      <c r="E460" s="1">
        <f t="shared" si="30"/>
        <v>20483.103766089938</v>
      </c>
      <c r="G460" s="1">
        <f t="shared" si="31"/>
        <v>3.2097799999999999</v>
      </c>
    </row>
    <row r="461" spans="1:7" x14ac:dyDescent="0.15">
      <c r="A461" s="1">
        <v>23.197199999999999</v>
      </c>
      <c r="B461" s="1">
        <v>3.2097799999999999</v>
      </c>
      <c r="C461" s="1">
        <f t="shared" si="28"/>
        <v>14.637387387386358</v>
      </c>
      <c r="D461" s="1">
        <f t="shared" si="29"/>
        <v>-712.87281378961859</v>
      </c>
      <c r="E461" s="1">
        <f t="shared" si="30"/>
        <v>-29409.648778136616</v>
      </c>
      <c r="G461" s="1">
        <f t="shared" si="31"/>
        <v>2.8144300000000002</v>
      </c>
    </row>
    <row r="462" spans="1:7" x14ac:dyDescent="0.15">
      <c r="A462" s="1">
        <v>23.242899999999999</v>
      </c>
      <c r="B462" s="1">
        <v>2.8144300000000002</v>
      </c>
      <c r="C462" s="1">
        <f t="shared" si="28"/>
        <v>6.5397003745322806</v>
      </c>
      <c r="D462" s="1">
        <f t="shared" si="29"/>
        <v>1224.8288024824851</v>
      </c>
      <c r="E462" s="1">
        <f t="shared" si="30"/>
        <v>7476.3786162233846</v>
      </c>
      <c r="G462" s="1">
        <f t="shared" si="31"/>
        <v>3.1393800000000001</v>
      </c>
    </row>
    <row r="463" spans="1:7" x14ac:dyDescent="0.15">
      <c r="A463" s="1">
        <v>23.2651</v>
      </c>
      <c r="B463" s="1">
        <v>3.1393800000000001</v>
      </c>
      <c r="C463" s="1">
        <f t="shared" si="28"/>
        <v>-28.319780219779872</v>
      </c>
      <c r="D463" s="1">
        <f t="shared" si="29"/>
        <v>-480.93082664943353</v>
      </c>
      <c r="E463" s="1">
        <f t="shared" si="30"/>
        <v>494.50440702378978</v>
      </c>
      <c r="G463" s="1">
        <f t="shared" si="31"/>
        <v>3.31399</v>
      </c>
    </row>
    <row r="464" spans="1:7" x14ac:dyDescent="0.15">
      <c r="A464" s="1">
        <v>23.291799999999999</v>
      </c>
      <c r="B464" s="1">
        <v>3.31399</v>
      </c>
      <c r="C464" s="1">
        <f t="shared" si="28"/>
        <v>15.529090909090987</v>
      </c>
      <c r="D464" s="1">
        <f t="shared" si="29"/>
        <v>-7.6760602425072282</v>
      </c>
      <c r="E464" s="1">
        <f t="shared" si="30"/>
        <v>-1087.1953965668604</v>
      </c>
      <c r="G464" s="1">
        <f t="shared" si="31"/>
        <v>3.0562800000000001</v>
      </c>
    </row>
    <row r="465" spans="1:7" x14ac:dyDescent="0.15">
      <c r="A465" s="1">
        <v>23.300899999999999</v>
      </c>
      <c r="B465" s="1">
        <v>3.0562800000000001</v>
      </c>
      <c r="C465" s="1">
        <f t="shared" si="28"/>
        <v>-2.0729773462782615</v>
      </c>
      <c r="D465" s="1">
        <f t="shared" si="29"/>
        <v>40.983173408634478</v>
      </c>
      <c r="E465" s="1">
        <f t="shared" si="30"/>
        <v>3103.7765436484092</v>
      </c>
      <c r="G465" s="1">
        <f t="shared" si="31"/>
        <v>3.48333</v>
      </c>
    </row>
    <row r="466" spans="1:7" x14ac:dyDescent="0.15">
      <c r="A466" s="1">
        <v>23.328399999999998</v>
      </c>
      <c r="B466" s="1">
        <v>3.48333</v>
      </c>
      <c r="C466" s="1">
        <f t="shared" si="28"/>
        <v>-2.7584495259341684</v>
      </c>
      <c r="D466" s="1">
        <f t="shared" si="29"/>
        <v>-251.0375101092273</v>
      </c>
      <c r="E466" s="1">
        <f t="shared" si="30"/>
        <v>-2940.9910771995965</v>
      </c>
      <c r="G466" s="1">
        <f t="shared" si="31"/>
        <v>3.3552200000000001</v>
      </c>
    </row>
    <row r="467" spans="1:7" x14ac:dyDescent="0.15">
      <c r="A467" s="1">
        <v>23.3902</v>
      </c>
      <c r="B467" s="1">
        <v>3.3552200000000001</v>
      </c>
      <c r="C467" s="1">
        <f t="shared" si="28"/>
        <v>7.1225935828877267</v>
      </c>
      <c r="D467" s="1">
        <f t="shared" si="29"/>
        <v>729.44550002931373</v>
      </c>
      <c r="E467" s="1">
        <f t="shared" si="30"/>
        <v>319.16367641789833</v>
      </c>
      <c r="G467" s="1">
        <f t="shared" si="31"/>
        <v>2.86063</v>
      </c>
    </row>
    <row r="468" spans="1:7" x14ac:dyDescent="0.15">
      <c r="A468" s="1">
        <v>23.569500000000001</v>
      </c>
      <c r="B468" s="1">
        <v>2.86063</v>
      </c>
      <c r="C468" s="1">
        <f t="shared" si="28"/>
        <v>-56.666037735867206</v>
      </c>
      <c r="D468" s="1">
        <f t="shared" si="29"/>
        <v>-33.447585396259896</v>
      </c>
      <c r="E468" s="1">
        <f t="shared" si="30"/>
        <v>-224.36268864377521</v>
      </c>
      <c r="G468" s="1">
        <f t="shared" si="31"/>
        <v>3.3934000000000002</v>
      </c>
    </row>
    <row r="469" spans="1:7" x14ac:dyDescent="0.15">
      <c r="A469" s="1">
        <v>23.644300000000001</v>
      </c>
      <c r="B469" s="1">
        <v>3.3934000000000002</v>
      </c>
      <c r="C469" s="1">
        <f t="shared" si="28"/>
        <v>1.762546816479408</v>
      </c>
      <c r="D469" s="1">
        <f t="shared" si="29"/>
        <v>9.1607654055288759</v>
      </c>
      <c r="E469" s="1">
        <f t="shared" si="30"/>
        <v>223.32475086778408</v>
      </c>
      <c r="G469" s="1">
        <f t="shared" si="31"/>
        <v>3.09307</v>
      </c>
    </row>
    <row r="470" spans="1:7" x14ac:dyDescent="0.15">
      <c r="A470" s="1">
        <v>23.6496</v>
      </c>
      <c r="B470" s="1">
        <v>3.09307</v>
      </c>
      <c r="C470" s="1">
        <f t="shared" si="28"/>
        <v>-0.2008264462809877</v>
      </c>
      <c r="D470" s="1">
        <f t="shared" si="29"/>
        <v>-23.012844145988435</v>
      </c>
      <c r="E470" s="1">
        <f t="shared" si="30"/>
        <v>-1091.6533160548565</v>
      </c>
      <c r="G470" s="1">
        <f t="shared" si="31"/>
        <v>3.1871900000000002</v>
      </c>
    </row>
    <row r="471" spans="1:7" x14ac:dyDescent="0.15">
      <c r="A471" s="1">
        <v>23.702999999999999</v>
      </c>
      <c r="B471" s="1">
        <v>3.1871900000000002</v>
      </c>
      <c r="C471" s="1">
        <f t="shared" si="28"/>
        <v>1.0642752562225632</v>
      </c>
      <c r="D471" s="1">
        <f t="shared" si="29"/>
        <v>38.334464917391685</v>
      </c>
      <c r="E471" s="1">
        <f t="shared" si="30"/>
        <v>2380.1048092614765</v>
      </c>
      <c r="G471" s="1">
        <f t="shared" si="31"/>
        <v>3.1701800000000002</v>
      </c>
    </row>
    <row r="472" spans="1:7" x14ac:dyDescent="0.15">
      <c r="A472" s="1">
        <v>23.787700000000001</v>
      </c>
      <c r="B472" s="1">
        <v>3.1701800000000002</v>
      </c>
      <c r="C472" s="1">
        <f t="shared" si="28"/>
        <v>-4.0284671532846632</v>
      </c>
      <c r="D472" s="1">
        <f t="shared" si="29"/>
        <v>-233.15971478545057</v>
      </c>
      <c r="E472" s="1">
        <f t="shared" si="30"/>
        <v>-1019.800983121171</v>
      </c>
      <c r="G472" s="1">
        <f t="shared" si="31"/>
        <v>3.3155600000000001</v>
      </c>
    </row>
    <row r="473" spans="1:7" x14ac:dyDescent="0.15">
      <c r="A473" s="1">
        <v>23.924299999999999</v>
      </c>
      <c r="B473" s="1">
        <v>3.3155600000000001</v>
      </c>
      <c r="C473" s="1">
        <f t="shared" si="28"/>
        <v>2.2583850931674938</v>
      </c>
      <c r="D473" s="1">
        <f t="shared" si="29"/>
        <v>195.49716136254008</v>
      </c>
      <c r="E473" s="1">
        <f t="shared" si="30"/>
        <v>-8359.1853830731361</v>
      </c>
      <c r="G473" s="1">
        <f t="shared" si="31"/>
        <v>3.2051799999999999</v>
      </c>
    </row>
    <row r="474" spans="1:7" x14ac:dyDescent="0.15">
      <c r="A474" s="1">
        <v>23.951699999999999</v>
      </c>
      <c r="B474" s="1">
        <v>3.2051799999999999</v>
      </c>
      <c r="C474" s="1">
        <f t="shared" si="28"/>
        <v>-7.88406249999999</v>
      </c>
      <c r="D474" s="1">
        <f t="shared" si="29"/>
        <v>118.50218713688996</v>
      </c>
      <c r="E474" s="1">
        <f t="shared" si="30"/>
        <v>43043.943877425183</v>
      </c>
      <c r="G474" s="1">
        <f t="shared" si="31"/>
        <v>3.2415400000000001</v>
      </c>
    </row>
    <row r="475" spans="1:7" x14ac:dyDescent="0.15">
      <c r="A475" s="1">
        <v>23.9678</v>
      </c>
      <c r="B475" s="1">
        <v>3.2415400000000001</v>
      </c>
      <c r="C475" s="1">
        <f t="shared" si="28"/>
        <v>1.5193509615384981</v>
      </c>
      <c r="D475" s="1">
        <f t="shared" si="29"/>
        <v>-979.05885366060886</v>
      </c>
      <c r="E475" s="1">
        <f t="shared" si="30"/>
        <v>-41569.713111805126</v>
      </c>
      <c r="G475" s="1">
        <f t="shared" si="31"/>
        <v>2.9892500000000002</v>
      </c>
    </row>
    <row r="476" spans="1:7" x14ac:dyDescent="0.15">
      <c r="A476" s="1">
        <v>23.9998</v>
      </c>
      <c r="B476" s="1">
        <v>2.9892500000000002</v>
      </c>
      <c r="C476" s="1">
        <f t="shared" si="28"/>
        <v>15.170802919707981</v>
      </c>
      <c r="D476" s="1">
        <f t="shared" si="29"/>
        <v>4569.3055121394118</v>
      </c>
      <c r="E476" s="1">
        <f t="shared" si="30"/>
        <v>-11641.851082671496</v>
      </c>
      <c r="G476" s="1">
        <f t="shared" si="31"/>
        <v>3.1156600000000001</v>
      </c>
    </row>
    <row r="477" spans="1:7" x14ac:dyDescent="0.15">
      <c r="A477" s="1">
        <v>24.082999999999998</v>
      </c>
      <c r="B477" s="1">
        <v>3.1156600000000001</v>
      </c>
      <c r="C477" s="1">
        <f t="shared" si="28"/>
        <v>-79.700000000003044</v>
      </c>
      <c r="D477" s="1">
        <f t="shared" si="29"/>
        <v>412.33420095898776</v>
      </c>
      <c r="E477" s="1">
        <f t="shared" si="30"/>
        <v>5113.7223389551827</v>
      </c>
      <c r="G477" s="1">
        <f t="shared" si="31"/>
        <v>3.3235000000000001</v>
      </c>
    </row>
    <row r="478" spans="1:7" x14ac:dyDescent="0.15">
      <c r="A478" s="1">
        <v>24.096699999999998</v>
      </c>
      <c r="B478" s="1">
        <v>3.3235000000000001</v>
      </c>
      <c r="C478" s="1">
        <f t="shared" si="28"/>
        <v>-2.9356673960612656</v>
      </c>
      <c r="D478" s="1">
        <f t="shared" si="29"/>
        <v>-315.28149170798065</v>
      </c>
      <c r="E478" s="1">
        <f t="shared" si="30"/>
        <v>-66.429632956521914</v>
      </c>
      <c r="G478" s="1">
        <f t="shared" si="31"/>
        <v>3.0764300000000002</v>
      </c>
    </row>
    <row r="479" spans="1:7" x14ac:dyDescent="0.15">
      <c r="A479" s="1">
        <v>24.099799999999998</v>
      </c>
      <c r="B479" s="1">
        <v>3.0764300000000002</v>
      </c>
      <c r="C479" s="1">
        <f t="shared" si="28"/>
        <v>17.186241610737319</v>
      </c>
      <c r="D479" s="1">
        <f t="shared" si="29"/>
        <v>86.657084133904689</v>
      </c>
      <c r="E479" s="1">
        <f t="shared" si="30"/>
        <v>54457.035975344465</v>
      </c>
      <c r="G479" s="1">
        <f t="shared" si="31"/>
        <v>2.9422700000000002</v>
      </c>
    </row>
    <row r="480" spans="1:7" x14ac:dyDescent="0.15">
      <c r="A480" s="1">
        <v>24.145499999999998</v>
      </c>
      <c r="B480" s="1">
        <v>2.9422700000000002</v>
      </c>
      <c r="C480" s="1">
        <f t="shared" si="28"/>
        <v>-6.6175110132157462</v>
      </c>
      <c r="D480" s="1">
        <f t="shared" si="29"/>
        <v>75.609836173234882</v>
      </c>
      <c r="E480" s="1">
        <f t="shared" si="30"/>
        <v>-128615.99624165452</v>
      </c>
      <c r="G480" s="1">
        <f t="shared" si="31"/>
        <v>3.4544199999999998</v>
      </c>
    </row>
    <row r="481" spans="1:7" x14ac:dyDescent="0.15">
      <c r="A481" s="1">
        <v>24.1753</v>
      </c>
      <c r="B481" s="1">
        <v>3.4544199999999998</v>
      </c>
      <c r="C481" s="1">
        <f t="shared" si="28"/>
        <v>3.8333333333334321</v>
      </c>
      <c r="D481" s="1">
        <f t="shared" si="29"/>
        <v>6724.8139287629683</v>
      </c>
      <c r="E481" s="1">
        <f t="shared" si="30"/>
        <v>439510.31242300698</v>
      </c>
      <c r="G481" s="1">
        <f t="shared" si="31"/>
        <v>2.8535499999999998</v>
      </c>
    </row>
    <row r="482" spans="1:7" x14ac:dyDescent="0.15">
      <c r="A482" s="1">
        <v>24.266100000000002</v>
      </c>
      <c r="B482" s="1">
        <v>2.8535499999999998</v>
      </c>
      <c r="C482" s="1">
        <f t="shared" si="28"/>
        <v>10.812121212123133</v>
      </c>
      <c r="D482" s="1">
        <f t="shared" si="29"/>
        <v>-6419.740887134104</v>
      </c>
      <c r="E482" s="1">
        <f t="shared" si="30"/>
        <v>22717.70636654173</v>
      </c>
      <c r="G482" s="1">
        <f t="shared" si="31"/>
        <v>2.8593000000000002</v>
      </c>
    </row>
    <row r="483" spans="1:7" x14ac:dyDescent="0.15">
      <c r="A483" s="1">
        <v>24.267600000000002</v>
      </c>
      <c r="B483" s="1">
        <v>2.8593000000000002</v>
      </c>
      <c r="C483" s="1">
        <f t="shared" si="28"/>
        <v>87.475000000009544</v>
      </c>
      <c r="D483" s="1">
        <f t="shared" si="29"/>
        <v>-706.10682563583737</v>
      </c>
      <c r="E483" s="1">
        <f t="shared" si="30"/>
        <v>128.19249468272335</v>
      </c>
      <c r="G483" s="1">
        <f t="shared" si="31"/>
        <v>2.9663400000000002</v>
      </c>
    </row>
    <row r="484" spans="1:7" x14ac:dyDescent="0.15">
      <c r="A484" s="1">
        <v>24.2775</v>
      </c>
      <c r="B484" s="1">
        <v>2.9663400000000002</v>
      </c>
      <c r="C484" s="1">
        <f t="shared" si="28"/>
        <v>13.647979797979758</v>
      </c>
      <c r="D484" s="1">
        <f t="shared" si="29"/>
        <v>4.9573836368757558</v>
      </c>
      <c r="E484" s="1">
        <f t="shared" si="30"/>
        <v>-1997.2707035850958</v>
      </c>
      <c r="G484" s="1">
        <f t="shared" si="31"/>
        <v>3.1063000000000001</v>
      </c>
    </row>
    <row r="485" spans="1:7" x14ac:dyDescent="0.15">
      <c r="A485" s="1">
        <v>24.2791</v>
      </c>
      <c r="B485" s="1">
        <v>3.1063000000000001</v>
      </c>
      <c r="C485" s="1">
        <f t="shared" si="28"/>
        <v>-1.4627062706270653</v>
      </c>
      <c r="D485" s="1">
        <f t="shared" si="29"/>
        <v>34.890331145291576</v>
      </c>
      <c r="E485" s="1">
        <f t="shared" si="30"/>
        <v>2918.3793359234783</v>
      </c>
      <c r="G485" s="1">
        <f t="shared" si="31"/>
        <v>3.3765299999999998</v>
      </c>
    </row>
    <row r="486" spans="1:7" x14ac:dyDescent="0.15">
      <c r="A486" s="1">
        <v>24.2989</v>
      </c>
      <c r="B486" s="1">
        <v>3.3765299999999998</v>
      </c>
      <c r="C486" s="1">
        <f t="shared" si="28"/>
        <v>-0.31308900523557975</v>
      </c>
      <c r="D486" s="1">
        <f t="shared" si="29"/>
        <v>-466.42461545456996</v>
      </c>
      <c r="E486" s="1">
        <f t="shared" si="30"/>
        <v>-3314.6842446450978</v>
      </c>
      <c r="G486" s="1">
        <f t="shared" si="31"/>
        <v>3.06629</v>
      </c>
    </row>
    <row r="487" spans="1:7" x14ac:dyDescent="0.15">
      <c r="A487" s="1">
        <v>24.510999999999999</v>
      </c>
      <c r="B487" s="1">
        <v>3.06629</v>
      </c>
      <c r="C487" s="1">
        <f t="shared" si="28"/>
        <v>7.7535555555558746</v>
      </c>
      <c r="D487" s="1">
        <f t="shared" si="29"/>
        <v>339.63175712749285</v>
      </c>
      <c r="E487" s="1">
        <f t="shared" si="30"/>
        <v>-4136.9858076235241</v>
      </c>
      <c r="G487" s="1">
        <f t="shared" si="31"/>
        <v>3.0603099999999999</v>
      </c>
    </row>
    <row r="488" spans="1:7" x14ac:dyDescent="0.15">
      <c r="A488" s="1">
        <v>24.530100000000001</v>
      </c>
      <c r="B488" s="1">
        <v>3.0603099999999999</v>
      </c>
      <c r="C488" s="1">
        <f t="shared" si="28"/>
        <v>-22.14426229508198</v>
      </c>
      <c r="D488" s="1">
        <f t="shared" si="29"/>
        <v>26.062627584067293</v>
      </c>
      <c r="E488" s="1">
        <f t="shared" si="30"/>
        <v>10125.743650889381</v>
      </c>
      <c r="G488" s="1">
        <f t="shared" si="31"/>
        <v>3.4092199999999999</v>
      </c>
    </row>
    <row r="489" spans="1:7" x14ac:dyDescent="0.15">
      <c r="A489" s="1">
        <v>24.575099999999999</v>
      </c>
      <c r="B489" s="1">
        <v>3.4092199999999999</v>
      </c>
      <c r="C489" s="1">
        <f t="shared" si="28"/>
        <v>3.4979353680430942</v>
      </c>
      <c r="D489" s="1">
        <f t="shared" si="29"/>
        <v>-747.1400198607605</v>
      </c>
      <c r="E489" s="1">
        <f t="shared" si="30"/>
        <v>-5947.0907562579778</v>
      </c>
      <c r="G489" s="1">
        <f t="shared" si="31"/>
        <v>2.7338200000000001</v>
      </c>
    </row>
    <row r="490" spans="1:7" x14ac:dyDescent="0.15">
      <c r="A490" s="1">
        <v>24.605599999999999</v>
      </c>
      <c r="B490" s="1">
        <v>2.7338200000000001</v>
      </c>
      <c r="C490" s="1">
        <f t="shared" si="28"/>
        <v>7.196222222222235</v>
      </c>
      <c r="D490" s="1">
        <f t="shared" si="29"/>
        <v>1601.0199327804826</v>
      </c>
      <c r="E490" s="1">
        <f t="shared" si="30"/>
        <v>-11793.403070613285</v>
      </c>
      <c r="G490" s="1">
        <f t="shared" si="31"/>
        <v>3.1234899999999999</v>
      </c>
    </row>
    <row r="491" spans="1:7" x14ac:dyDescent="0.15">
      <c r="A491" s="1">
        <v>24.716999999999999</v>
      </c>
      <c r="B491" s="1">
        <v>3.1234899999999999</v>
      </c>
      <c r="C491" s="1">
        <f t="shared" si="28"/>
        <v>-143.2777777777346</v>
      </c>
      <c r="D491" s="1">
        <f t="shared" si="29"/>
        <v>371.16156438632572</v>
      </c>
      <c r="E491" s="1">
        <f t="shared" si="30"/>
        <v>-33924.686095898207</v>
      </c>
      <c r="G491" s="1">
        <f t="shared" si="31"/>
        <v>3.77115</v>
      </c>
    </row>
    <row r="492" spans="1:7" x14ac:dyDescent="0.15">
      <c r="A492" s="1">
        <v>24.806999999999999</v>
      </c>
      <c r="B492" s="1">
        <v>3.77115</v>
      </c>
      <c r="C492" s="1">
        <f t="shared" si="28"/>
        <v>9.459523809525809</v>
      </c>
      <c r="D492" s="1">
        <f t="shared" si="29"/>
        <v>-852.99367434332942</v>
      </c>
      <c r="E492" s="1">
        <f t="shared" si="30"/>
        <v>327880.37951469998</v>
      </c>
      <c r="G492" s="1">
        <f t="shared" si="31"/>
        <v>2.9974500000000002</v>
      </c>
    </row>
    <row r="493" spans="1:7" x14ac:dyDescent="0.15">
      <c r="A493" s="1">
        <v>24.8124</v>
      </c>
      <c r="B493" s="1">
        <v>2.9974500000000002</v>
      </c>
      <c r="C493" s="1">
        <f t="shared" si="28"/>
        <v>14.581553398057034</v>
      </c>
      <c r="D493" s="1">
        <f t="shared" si="29"/>
        <v>-2020.0028760422801</v>
      </c>
      <c r="E493" s="1">
        <f t="shared" si="30"/>
        <v>-313706.17053129541</v>
      </c>
      <c r="G493" s="1">
        <f t="shared" si="31"/>
        <v>3.0769099999999998</v>
      </c>
    </row>
    <row r="494" spans="1:7" x14ac:dyDescent="0.15">
      <c r="A494" s="1">
        <v>24.820799999999998</v>
      </c>
      <c r="B494" s="1">
        <v>3.0769099999999998</v>
      </c>
      <c r="C494" s="1">
        <f t="shared" si="28"/>
        <v>-10.155263157899448</v>
      </c>
      <c r="D494" s="1">
        <f t="shared" si="29"/>
        <v>8734.4735720392764</v>
      </c>
      <c r="E494" s="1">
        <f t="shared" si="30"/>
        <v>-1647.3087228905222</v>
      </c>
      <c r="G494" s="1">
        <f t="shared" si="31"/>
        <v>3.3772899999999999</v>
      </c>
    </row>
    <row r="495" spans="1:7" x14ac:dyDescent="0.15">
      <c r="A495" s="1">
        <v>24.8414</v>
      </c>
      <c r="B495" s="1">
        <v>3.3772899999999999</v>
      </c>
      <c r="C495" s="1">
        <f t="shared" si="28"/>
        <v>-59.44333333333104</v>
      </c>
      <c r="D495" s="1">
        <f t="shared" si="29"/>
        <v>138.924499481753</v>
      </c>
      <c r="E495" s="1">
        <f t="shared" si="30"/>
        <v>395.06529130568441</v>
      </c>
      <c r="G495" s="1" t="e">
        <f t="shared" si="31"/>
        <v>#DIV/0!</v>
      </c>
    </row>
    <row r="496" spans="1:7" x14ac:dyDescent="0.15">
      <c r="A496" s="1">
        <v>24.845199999999998</v>
      </c>
      <c r="B496" s="1">
        <v>3.3386999999999998</v>
      </c>
      <c r="C496" s="1">
        <f t="shared" si="28"/>
        <v>-4.8913043478260004E-2</v>
      </c>
      <c r="D496" s="1">
        <f t="shared" si="29"/>
        <v>-129.9162840939799</v>
      </c>
      <c r="E496" s="1" t="e">
        <f t="shared" si="30"/>
        <v>#DIV/0!</v>
      </c>
      <c r="G496" s="1" t="e">
        <f t="shared" si="31"/>
        <v>#DIV/0!</v>
      </c>
    </row>
    <row r="497" spans="1:7" x14ac:dyDescent="0.15">
      <c r="A497" s="1">
        <v>24.848199999999999</v>
      </c>
      <c r="B497" s="1">
        <v>3.1603699999999999</v>
      </c>
      <c r="C497" s="1">
        <f t="shared" si="28"/>
        <v>22.095652173913383</v>
      </c>
      <c r="D497" s="1">
        <f t="shared" si="29"/>
        <v>-65.12557631984707</v>
      </c>
      <c r="E497" s="1" t="e">
        <f t="shared" si="30"/>
        <v>#DIV/0!</v>
      </c>
      <c r="G497" s="1" t="e">
        <f t="shared" si="31"/>
        <v>#DIV/0!</v>
      </c>
    </row>
    <row r="498" spans="1:7" x14ac:dyDescent="0.15">
      <c r="A498" s="1">
        <v>25.0046</v>
      </c>
      <c r="B498" s="1">
        <v>3.15272</v>
      </c>
      <c r="C498" s="1">
        <f t="shared" si="28"/>
        <v>1.1791304347824441</v>
      </c>
      <c r="D498" s="1" t="e">
        <f t="shared" si="29"/>
        <v>#DIV/0!</v>
      </c>
      <c r="E498" s="1" t="e">
        <f t="shared" si="30"/>
        <v>#DIV/0!</v>
      </c>
      <c r="G498" s="1" t="e">
        <f t="shared" si="31"/>
        <v>#DIV/0!</v>
      </c>
    </row>
    <row r="499" spans="1:7" x14ac:dyDescent="0.15">
      <c r="A499" s="1">
        <v>25.0092</v>
      </c>
      <c r="B499" s="1">
        <v>3.2543600000000001</v>
      </c>
      <c r="C499" s="1">
        <f t="shared" si="28"/>
        <v>0.13060865603280483</v>
      </c>
      <c r="D499" s="1" t="e">
        <f t="shared" si="29"/>
        <v>#DIV/0!</v>
      </c>
      <c r="E499" s="1" t="e">
        <f t="shared" si="30"/>
        <v>#DIV/0!</v>
      </c>
      <c r="G499" s="1" t="e">
        <f t="shared" si="31"/>
        <v>#DIV/0!</v>
      </c>
    </row>
    <row r="500" spans="1:7" x14ac:dyDescent="0.15">
      <c r="A500" s="1">
        <v>25.020700000000001</v>
      </c>
      <c r="B500" s="1">
        <v>3.2679200000000002</v>
      </c>
      <c r="C500" s="1" t="e">
        <f t="shared" si="28"/>
        <v>#DIV/0!</v>
      </c>
      <c r="D500" s="1" t="e">
        <f t="shared" si="29"/>
        <v>#DIV/0!</v>
      </c>
      <c r="E500" s="1" t="e">
        <f t="shared" si="30"/>
        <v>#DIV/0!</v>
      </c>
      <c r="G500" s="1">
        <f t="shared" si="31"/>
        <v>0</v>
      </c>
    </row>
  </sheetData>
  <phoneticPr fontId="18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80AC-17A0-4173-828D-4D379942DE47}">
  <dimension ref="A1"/>
  <sheetViews>
    <sheetView workbookViewId="0">
      <selection activeCell="J29" sqref="J29"/>
    </sheetView>
  </sheetViews>
  <sheetFormatPr defaultRowHeight="16.5" x14ac:dyDescent="0.15"/>
  <cols>
    <col min="1" max="16384" width="9" style="1"/>
  </cols>
  <sheetData/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9679-680B-4960-A83F-C6BDE24C1724}">
  <dimension ref="A1"/>
  <sheetViews>
    <sheetView workbookViewId="0">
      <selection activeCell="J28" sqref="J28"/>
    </sheetView>
  </sheetViews>
  <sheetFormatPr defaultRowHeight="16.5" x14ac:dyDescent="0.15"/>
  <cols>
    <col min="1" max="16384" width="9" style="1"/>
  </cols>
  <sheetData>
    <row r="1" spans="1:1" ht="17.25" x14ac:dyDescent="0.15">
      <c r="A1" s="3"/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3FC7C-0F3B-4FD6-9EAD-6897F72A15F6}">
  <dimension ref="A1"/>
  <sheetViews>
    <sheetView workbookViewId="0">
      <selection activeCell="H32" sqref="H32"/>
    </sheetView>
  </sheetViews>
  <sheetFormatPr defaultRowHeight="16.5" x14ac:dyDescent="0.15"/>
  <cols>
    <col min="1" max="16384" width="9" style="1"/>
  </cols>
  <sheetData/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C7183-CC69-421B-8D17-63529796C7CC}">
  <dimension ref="A2:F501"/>
  <sheetViews>
    <sheetView tabSelected="1" workbookViewId="0">
      <selection activeCell="K14" sqref="K14"/>
    </sheetView>
  </sheetViews>
  <sheetFormatPr defaultRowHeight="16.5" x14ac:dyDescent="0.15"/>
  <cols>
    <col min="1" max="16384" width="9" style="1"/>
  </cols>
  <sheetData>
    <row r="2" spans="1:6" x14ac:dyDescent="0.15">
      <c r="A2" s="1" cm="1">
        <f t="array" ref="A2:A501">x</f>
        <v>0.1206</v>
      </c>
      <c r="B2" s="1" cm="1">
        <f t="array" ref="B2:B501">y</f>
        <v>-2.10284</v>
      </c>
      <c r="C2" s="1">
        <f ca="1" xml:space="preserve"> OFFSET(A2, ROW()-ROW(A2)+1, 0) - OFFSET(A2, ROW()-ROW(A2), 0)</f>
        <v>5.7984999999999995E-2</v>
      </c>
    </row>
    <row r="3" spans="1:6" x14ac:dyDescent="0.15">
      <c r="A3" s="1">
        <v>0.17858499999999999</v>
      </c>
      <c r="B3" s="1">
        <v>-2.0302600000000002</v>
      </c>
      <c r="C3" s="1">
        <f t="shared" ref="C3:C66" ca="1" si="0" xml:space="preserve"> OFFSET(A3, ROW()-ROW(A3)+1, 0) - OFFSET(A3, ROW()-ROW(A3), 0)</f>
        <v>8.2400000000000029E-2</v>
      </c>
      <c r="D3" s="1">
        <f ca="1" xml:space="preserve"> 3*((B5-B4)/C4 - (B4-B3)/C3)</f>
        <v>95.475301228089336</v>
      </c>
      <c r="E3" s="1">
        <f ca="1" xml:space="preserve"> C3 / (2*(C2+C3))</f>
        <v>0.2934786480037041</v>
      </c>
      <c r="F3" s="1">
        <f ca="1" xml:space="preserve"> D3 / (2*(C2+C3))</f>
        <v>340.04808643405391</v>
      </c>
    </row>
    <row r="4" spans="1:6" x14ac:dyDescent="0.15">
      <c r="A4" s="1">
        <v>0.26098500000000002</v>
      </c>
      <c r="B4" s="1">
        <v>-1.26223</v>
      </c>
      <c r="C4" s="1">
        <f t="shared" ca="1" si="0"/>
        <v>5.3409999999999846E-3</v>
      </c>
      <c r="D4" s="1">
        <f t="shared" ref="D4:D67" ca="1" si="1" xml:space="preserve"> 3*((B6-B5)/C5 - (B5-B4)/C4)</f>
        <v>-119.53850064488974</v>
      </c>
      <c r="E4" s="1">
        <f ca="1" xml:space="preserve"> C4 / (2*(C3+C4) - C3*E3)</f>
        <v>3.5300876494268323E-2</v>
      </c>
      <c r="F4" s="1">
        <f ca="1" xml:space="preserve"> (D4 - C3*F3) / (2*(C3+C4) - C3*E3)</f>
        <v>-975.27486929116583</v>
      </c>
    </row>
    <row r="5" spans="1:6" x14ac:dyDescent="0.15">
      <c r="A5" s="1">
        <v>0.26632600000000001</v>
      </c>
      <c r="B5" s="1">
        <v>-1.04247</v>
      </c>
      <c r="C5" s="1">
        <f t="shared" ca="1" si="0"/>
        <v>0.15411799999999998</v>
      </c>
      <c r="D5" s="1">
        <f t="shared" ca="1" si="1"/>
        <v>4.0537577802211233</v>
      </c>
      <c r="E5" s="1">
        <f t="shared" ref="E5:E68" ca="1" si="2" xml:space="preserve"> C5 / (2*(C4+C5) - C4*E4)</f>
        <v>0.48353861283504224</v>
      </c>
      <c r="F5" s="1">
        <f t="shared" ref="F5:F68" ca="1" si="3" xml:space="preserve"> (D5 - C4*F4) / (2*(C4+C5) - C4*E4)</f>
        <v>29.061326539084455</v>
      </c>
    </row>
    <row r="6" spans="1:6" x14ac:dyDescent="0.15">
      <c r="A6" s="1">
        <v>0.42044399999999998</v>
      </c>
      <c r="B6" s="1">
        <v>-0.84216500000000005</v>
      </c>
      <c r="C6" s="1">
        <f t="shared" ca="1" si="0"/>
        <v>0.17319299999999999</v>
      </c>
      <c r="D6" s="1">
        <f t="shared" ca="1" si="1"/>
        <v>6.8129730731794496</v>
      </c>
      <c r="E6" s="1">
        <f t="shared" ca="1" si="2"/>
        <v>0.29855714734390398</v>
      </c>
      <c r="F6" s="1">
        <f t="shared" ca="1" si="3"/>
        <v>4.0236158687353143</v>
      </c>
    </row>
    <row r="7" spans="1:6" x14ac:dyDescent="0.15">
      <c r="A7" s="1">
        <v>0.59363699999999997</v>
      </c>
      <c r="B7" s="1">
        <v>-0.38304100000000002</v>
      </c>
      <c r="C7" s="1">
        <f t="shared" ca="1" si="0"/>
        <v>8.0111000000000043E-2</v>
      </c>
      <c r="D7" s="1">
        <f t="shared" ca="1" si="1"/>
        <v>-17.090442075585155</v>
      </c>
      <c r="E7" s="1">
        <f t="shared" ca="1" si="2"/>
        <v>0.17610683977218081</v>
      </c>
      <c r="F7" s="1">
        <f t="shared" ca="1" si="3"/>
        <v>-39.101570658014943</v>
      </c>
    </row>
    <row r="8" spans="1:6" x14ac:dyDescent="0.15">
      <c r="A8" s="1">
        <v>0.67374800000000001</v>
      </c>
      <c r="B8" s="1">
        <v>1.1259699999999999E-2</v>
      </c>
      <c r="C8" s="1">
        <f t="shared" ca="1" si="0"/>
        <v>7.2481000000000018E-2</v>
      </c>
      <c r="D8" s="1">
        <f t="shared" ca="1" si="1"/>
        <v>-63.004652016094369</v>
      </c>
      <c r="E8" s="1">
        <f t="shared" ca="1" si="2"/>
        <v>0.24901064899276612</v>
      </c>
      <c r="F8" s="1">
        <f t="shared" ca="1" si="3"/>
        <v>-205.69269070052803</v>
      </c>
    </row>
    <row r="9" spans="1:6" x14ac:dyDescent="0.15">
      <c r="A9" s="1">
        <v>0.74622900000000003</v>
      </c>
      <c r="B9" s="1">
        <v>-4.4904699999999999E-2</v>
      </c>
      <c r="C9" s="1">
        <f t="shared" ca="1" si="0"/>
        <v>1.1444999999999927E-2</v>
      </c>
      <c r="D9" s="1">
        <f t="shared" ca="1" si="1"/>
        <v>68.108899612822768</v>
      </c>
      <c r="E9" s="1">
        <f t="shared" ca="1" si="2"/>
        <v>7.6400104943589953E-2</v>
      </c>
      <c r="F9" s="1">
        <f t="shared" ca="1" si="3"/>
        <v>554.17753367206478</v>
      </c>
    </row>
    <row r="10" spans="1:6" x14ac:dyDescent="0.15">
      <c r="A10" s="1">
        <v>0.75767399999999996</v>
      </c>
      <c r="B10" s="1">
        <v>-0.29413600000000001</v>
      </c>
      <c r="C10" s="1">
        <f t="shared" ca="1" si="0"/>
        <v>0.12741500000000006</v>
      </c>
      <c r="D10" s="1">
        <f t="shared" ca="1" si="1"/>
        <v>74.336449102192134</v>
      </c>
      <c r="E10" s="1">
        <f t="shared" ca="1" si="2"/>
        <v>0.46023848539513024</v>
      </c>
      <c r="F10" s="1">
        <f t="shared" ca="1" si="3"/>
        <v>245.60219498918801</v>
      </c>
    </row>
    <row r="11" spans="1:6" x14ac:dyDescent="0.15">
      <c r="A11" s="1">
        <v>0.88508900000000001</v>
      </c>
      <c r="B11" s="1">
        <v>-0.17608199999999999</v>
      </c>
      <c r="C11" s="1">
        <f t="shared" ca="1" si="0"/>
        <v>1.144400000000001E-2</v>
      </c>
      <c r="D11" s="1">
        <f t="shared" ca="1" si="1"/>
        <v>-95.990868586817598</v>
      </c>
      <c r="E11" s="1">
        <f t="shared" ca="1" si="2"/>
        <v>5.2237409550568041E-2</v>
      </c>
      <c r="F11" s="1">
        <f t="shared" ca="1" si="3"/>
        <v>-581.00320337844505</v>
      </c>
    </row>
    <row r="12" spans="1:6" x14ac:dyDescent="0.15">
      <c r="A12" s="1">
        <v>0.89653300000000002</v>
      </c>
      <c r="B12" s="1">
        <v>0.11809</v>
      </c>
      <c r="C12" s="1">
        <f t="shared" ca="1" si="0"/>
        <v>2.9756000000000005E-2</v>
      </c>
      <c r="D12" s="1">
        <f t="shared" ca="1" si="1"/>
        <v>4.5713571736079901</v>
      </c>
      <c r="E12" s="1">
        <f t="shared" ca="1" si="2"/>
        <v>0.36375551987380295</v>
      </c>
      <c r="F12" s="1">
        <f t="shared" ca="1" si="3"/>
        <v>137.1645078887891</v>
      </c>
    </row>
    <row r="13" spans="1:6" x14ac:dyDescent="0.15">
      <c r="A13" s="1">
        <v>0.92628900000000003</v>
      </c>
      <c r="B13" s="1">
        <v>-6.9123100000000007E-2</v>
      </c>
      <c r="C13" s="1">
        <f t="shared" ca="1" si="0"/>
        <v>3.814799999999996E-2</v>
      </c>
      <c r="D13" s="1">
        <f t="shared" ca="1" si="1"/>
        <v>43.81046129351747</v>
      </c>
      <c r="E13" s="1">
        <f t="shared" ca="1" si="2"/>
        <v>0.30522284693106932</v>
      </c>
      <c r="F13" s="1">
        <f t="shared" ca="1" si="3"/>
        <v>317.87241046578396</v>
      </c>
    </row>
    <row r="14" spans="1:6" x14ac:dyDescent="0.15">
      <c r="A14" s="1">
        <v>0.96443699999999999</v>
      </c>
      <c r="B14" s="1">
        <v>-0.25100600000000001</v>
      </c>
      <c r="C14" s="1">
        <f t="shared" ca="1" si="0"/>
        <v>4.8832999999999904E-2</v>
      </c>
      <c r="D14" s="1">
        <f t="shared" ca="1" si="1"/>
        <v>-50.77436128902356</v>
      </c>
      <c r="E14" s="1">
        <f t="shared" ca="1" si="2"/>
        <v>0.30084705359519709</v>
      </c>
      <c r="F14" s="1">
        <f t="shared" ca="1" si="3"/>
        <v>-387.51351636881742</v>
      </c>
    </row>
    <row r="15" spans="1:6" x14ac:dyDescent="0.15">
      <c r="A15" s="1">
        <v>1.0132699999999999</v>
      </c>
      <c r="B15" s="1">
        <v>0.229299</v>
      </c>
      <c r="C15" s="1">
        <f t="shared" ca="1" si="0"/>
        <v>2.9750000000000165E-2</v>
      </c>
      <c r="D15" s="1">
        <f t="shared" ca="1" si="1"/>
        <v>729.75052596208297</v>
      </c>
      <c r="E15" s="1">
        <f t="shared" ca="1" si="2"/>
        <v>0.20880895006624031</v>
      </c>
      <c r="F15" s="1">
        <f t="shared" ca="1" si="3"/>
        <v>5254.7840789882221</v>
      </c>
    </row>
    <row r="16" spans="1:6" x14ac:dyDescent="0.15">
      <c r="A16" s="1">
        <v>1.0430200000000001</v>
      </c>
      <c r="B16" s="1">
        <v>1.83976E-2</v>
      </c>
      <c r="C16" s="1">
        <f t="shared" ca="1" si="0"/>
        <v>7.5999999999987189E-4</v>
      </c>
      <c r="D16" s="1">
        <f t="shared" ca="1" si="1"/>
        <v>-708.92836674006503</v>
      </c>
      <c r="E16" s="1">
        <f t="shared" ca="1" si="2"/>
        <v>1.3866605584278756E-2</v>
      </c>
      <c r="F16" s="1">
        <f t="shared" ca="1" si="3"/>
        <v>-15787.097489666165</v>
      </c>
    </row>
    <row r="17" spans="1:6" x14ac:dyDescent="0.15">
      <c r="A17" s="1">
        <v>1.0437799999999999</v>
      </c>
      <c r="B17" s="1">
        <v>0.19788</v>
      </c>
      <c r="C17" s="1">
        <f t="shared" ca="1" si="0"/>
        <v>2.4420000000000108E-2</v>
      </c>
      <c r="D17" s="1">
        <f t="shared" ca="1" si="1"/>
        <v>3.9935157813093447</v>
      </c>
      <c r="E17" s="1">
        <f t="shared" ca="1" si="2"/>
        <v>0.48501015365019767</v>
      </c>
      <c r="F17" s="1">
        <f t="shared" ca="1" si="3"/>
        <v>317.61431870815244</v>
      </c>
    </row>
    <row r="18" spans="1:6" x14ac:dyDescent="0.15">
      <c r="A18" s="1">
        <v>1.0682</v>
      </c>
      <c r="B18" s="1">
        <v>0.19425600000000001</v>
      </c>
      <c r="C18" s="1">
        <f t="shared" ca="1" si="0"/>
        <v>3.6619999999999875E-2</v>
      </c>
      <c r="D18" s="1">
        <f t="shared" ca="1" si="1"/>
        <v>-10.182266992271513</v>
      </c>
      <c r="E18" s="1">
        <f t="shared" ca="1" si="2"/>
        <v>0.33219622183222119</v>
      </c>
      <c r="F18" s="1">
        <f t="shared" ca="1" si="3"/>
        <v>-162.72724142312501</v>
      </c>
    </row>
    <row r="19" spans="1:6" x14ac:dyDescent="0.15">
      <c r="A19" s="1">
        <v>1.1048199999999999</v>
      </c>
      <c r="B19" s="1">
        <v>0.237569</v>
      </c>
      <c r="C19" s="1">
        <f t="shared" ca="1" si="0"/>
        <v>6.408999999999998E-2</v>
      </c>
      <c r="D19" s="1">
        <f t="shared" ca="1" si="1"/>
        <v>1939.4530390033005</v>
      </c>
      <c r="E19" s="1">
        <f t="shared" ca="1" si="2"/>
        <v>0.33864367485143199</v>
      </c>
      <c r="F19" s="1">
        <f t="shared" ca="1" si="3"/>
        <v>10279.318243543756</v>
      </c>
    </row>
    <row r="20" spans="1:6" x14ac:dyDescent="0.15">
      <c r="A20" s="1">
        <v>1.1689099999999999</v>
      </c>
      <c r="B20" s="1">
        <v>9.58455E-2</v>
      </c>
      <c r="C20" s="1">
        <f t="shared" ca="1" si="0"/>
        <v>7.6000000000009393E-4</v>
      </c>
      <c r="D20" s="1">
        <f t="shared" ca="1" si="1"/>
        <v>-1991.1896434632583</v>
      </c>
      <c r="E20" s="1">
        <f t="shared" ca="1" si="2"/>
        <v>7.0372763774939288E-3</v>
      </c>
      <c r="F20" s="1">
        <f t="shared" ca="1" si="3"/>
        <v>-24537.789629332929</v>
      </c>
    </row>
    <row r="21" spans="1:6" x14ac:dyDescent="0.15">
      <c r="A21" s="1">
        <v>1.16967</v>
      </c>
      <c r="B21" s="1">
        <v>0.58549300000000004</v>
      </c>
      <c r="C21" s="1">
        <f t="shared" ca="1" si="0"/>
        <v>1.984000000000008E-2</v>
      </c>
      <c r="D21" s="1">
        <f t="shared" ca="1" si="1"/>
        <v>79.310308105872451</v>
      </c>
      <c r="E21" s="1">
        <f t="shared" ca="1" si="2"/>
        <v>0.4816159184681485</v>
      </c>
      <c r="F21" s="1">
        <f t="shared" ca="1" si="3"/>
        <v>2377.9550075821398</v>
      </c>
    </row>
    <row r="22" spans="1:6" x14ac:dyDescent="0.15">
      <c r="A22" s="1">
        <v>1.1895100000000001</v>
      </c>
      <c r="B22" s="1">
        <v>0.19946900000000001</v>
      </c>
      <c r="C22" s="1">
        <f t="shared" ca="1" si="0"/>
        <v>3.5099999999999909E-2</v>
      </c>
      <c r="D22" s="1">
        <f t="shared" ca="1" si="1"/>
        <v>-90.07181356058824</v>
      </c>
      <c r="E22" s="1">
        <f t="shared" ca="1" si="2"/>
        <v>0.34986385150728461</v>
      </c>
      <c r="F22" s="1">
        <f t="shared" ca="1" si="3"/>
        <v>-1368.0617629117348</v>
      </c>
    </row>
    <row r="23" spans="1:6" x14ac:dyDescent="0.15">
      <c r="A23" s="1">
        <v>1.22461</v>
      </c>
      <c r="B23" s="1">
        <v>0.44446400000000003</v>
      </c>
      <c r="C23" s="1">
        <f t="shared" ca="1" si="0"/>
        <v>6.8600000000000882E-3</v>
      </c>
      <c r="D23" s="1">
        <f t="shared" ca="1" si="1"/>
        <v>63.689733788508399</v>
      </c>
      <c r="E23" s="1">
        <f t="shared" ca="1" si="2"/>
        <v>9.5756856229181606E-2</v>
      </c>
      <c r="F23" s="1">
        <f t="shared" ca="1" si="3"/>
        <v>1559.3110911148058</v>
      </c>
    </row>
    <row r="24" spans="1:6" x14ac:dyDescent="0.15">
      <c r="A24" s="1">
        <v>1.2314700000000001</v>
      </c>
      <c r="B24" s="1">
        <v>0.28638200000000003</v>
      </c>
      <c r="C24" s="1">
        <f t="shared" ca="1" si="0"/>
        <v>5.2649999999999864E-2</v>
      </c>
      <c r="D24" s="1">
        <f t="shared" ca="1" si="1"/>
        <v>21.649896666207102</v>
      </c>
      <c r="E24" s="1">
        <f t="shared" ca="1" si="2"/>
        <v>0.44481765395180889</v>
      </c>
      <c r="F24" s="1">
        <f t="shared" ca="1" si="3"/>
        <v>92.537470241833262</v>
      </c>
    </row>
    <row r="25" spans="1:6" x14ac:dyDescent="0.15">
      <c r="A25" s="1">
        <v>1.2841199999999999</v>
      </c>
      <c r="B25" s="1">
        <v>0.19086900000000001</v>
      </c>
      <c r="C25" s="1">
        <f t="shared" ca="1" si="0"/>
        <v>1.984000000000008E-2</v>
      </c>
      <c r="D25" s="1">
        <f t="shared" ca="1" si="1"/>
        <v>-362.39181245236654</v>
      </c>
      <c r="E25" s="1">
        <f t="shared" ca="1" si="2"/>
        <v>0.16321111213666425</v>
      </c>
      <c r="F25" s="1">
        <f t="shared" ca="1" si="3"/>
        <v>-3021.2475424038403</v>
      </c>
    </row>
    <row r="26" spans="1:6" x14ac:dyDescent="0.15">
      <c r="A26" s="1">
        <v>1.30396</v>
      </c>
      <c r="B26" s="1">
        <v>0.29805500000000001</v>
      </c>
      <c r="C26" s="1">
        <f t="shared" ca="1" si="0"/>
        <v>3.8100000000000911E-3</v>
      </c>
      <c r="D26" s="1">
        <f t="shared" ca="1" si="1"/>
        <v>357.29857846732773</v>
      </c>
      <c r="E26" s="1">
        <f t="shared" ca="1" si="2"/>
        <v>8.6469279171903043E-2</v>
      </c>
      <c r="F26" s="1">
        <f t="shared" ca="1" si="3"/>
        <v>9469.4103038044232</v>
      </c>
    </row>
    <row r="27" spans="1:6" x14ac:dyDescent="0.15">
      <c r="A27" s="1">
        <v>1.3077700000000001</v>
      </c>
      <c r="B27" s="1">
        <v>-0.141599</v>
      </c>
      <c r="C27" s="1">
        <f t="shared" ca="1" si="0"/>
        <v>0.15411999999999981</v>
      </c>
      <c r="D27" s="1">
        <f t="shared" ca="1" si="1"/>
        <v>-39.034315575839123</v>
      </c>
      <c r="E27" s="1">
        <f t="shared" ca="1" si="2"/>
        <v>0.48844715353382934</v>
      </c>
      <c r="F27" s="1">
        <f t="shared" ca="1" si="3"/>
        <v>-238.05228478255242</v>
      </c>
    </row>
    <row r="28" spans="1:6" x14ac:dyDescent="0.15">
      <c r="A28" s="1">
        <v>1.4618899999999999</v>
      </c>
      <c r="B28" s="1">
        <v>0.42938100000000001</v>
      </c>
      <c r="C28" s="1">
        <f t="shared" ca="1" si="0"/>
        <v>1.8310000000000048E-2</v>
      </c>
      <c r="D28" s="1">
        <f t="shared" ca="1" si="1"/>
        <v>3.2933036837486664</v>
      </c>
      <c r="E28" s="1">
        <f t="shared" ca="1" si="2"/>
        <v>6.7920336680682147E-2</v>
      </c>
      <c r="F28" s="1">
        <f t="shared" ca="1" si="3"/>
        <v>148.31161063774815</v>
      </c>
    </row>
    <row r="29" spans="1:6" x14ac:dyDescent="0.15">
      <c r="A29" s="1">
        <v>1.4802</v>
      </c>
      <c r="B29" s="1">
        <v>0.25897599999999998</v>
      </c>
      <c r="C29" s="1">
        <f t="shared" ca="1" si="0"/>
        <v>1.0680000000000023E-2</v>
      </c>
      <c r="D29" s="1">
        <f t="shared" ca="1" si="1"/>
        <v>305.30495764457208</v>
      </c>
      <c r="E29" s="1">
        <f t="shared" ca="1" si="2"/>
        <v>0.18823901448903402</v>
      </c>
      <c r="F29" s="1">
        <f t="shared" ca="1" si="3"/>
        <v>5333.2514223091648</v>
      </c>
    </row>
    <row r="30" spans="1:6" x14ac:dyDescent="0.15">
      <c r="A30" s="1">
        <v>1.49088</v>
      </c>
      <c r="B30" s="1">
        <v>0.17130500000000001</v>
      </c>
      <c r="C30" s="1">
        <f t="shared" ca="1" si="0"/>
        <v>3.8199999999999346E-3</v>
      </c>
      <c r="D30" s="1">
        <f t="shared" ca="1" si="1"/>
        <v>-305.32566172032057</v>
      </c>
      <c r="E30" s="1">
        <f t="shared" ca="1" si="2"/>
        <v>0.14153596063715818</v>
      </c>
      <c r="F30" s="1">
        <f t="shared" ca="1" si="3"/>
        <v>-13423.121816654013</v>
      </c>
    </row>
    <row r="31" spans="1:6" x14ac:dyDescent="0.15">
      <c r="A31" s="1">
        <v>1.4946999999999999</v>
      </c>
      <c r="B31" s="1">
        <v>0.52870200000000001</v>
      </c>
      <c r="C31" s="1">
        <f t="shared" ca="1" si="0"/>
        <v>4.5009999999999994E-2</v>
      </c>
      <c r="D31" s="1">
        <f t="shared" ca="1" si="1"/>
        <v>43.220609447752921</v>
      </c>
      <c r="E31" s="1">
        <f t="shared" ca="1" si="2"/>
        <v>0.46345046635881526</v>
      </c>
      <c r="F31" s="1">
        <f t="shared" ca="1" si="3"/>
        <v>972.9981892176263</v>
      </c>
    </row>
    <row r="32" spans="1:6" x14ac:dyDescent="0.15">
      <c r="A32" s="1">
        <v>1.5397099999999999</v>
      </c>
      <c r="B32" s="1">
        <v>0.15890899999999999</v>
      </c>
      <c r="C32" s="1">
        <f t="shared" ca="1" si="0"/>
        <v>2.8229999999999977E-2</v>
      </c>
      <c r="D32" s="1">
        <f t="shared" ca="1" si="1"/>
        <v>-9.0340196262843229</v>
      </c>
      <c r="E32" s="1">
        <f t="shared" ca="1" si="2"/>
        <v>0.22472519313329148</v>
      </c>
      <c r="F32" s="1">
        <f t="shared" ca="1" si="3"/>
        <v>-420.5431330821441</v>
      </c>
    </row>
    <row r="33" spans="1:6" x14ac:dyDescent="0.15">
      <c r="A33" s="1">
        <v>1.5679399999999999</v>
      </c>
      <c r="B33" s="1">
        <v>0.33368300000000001</v>
      </c>
      <c r="C33" s="1">
        <f t="shared" ca="1" si="0"/>
        <v>9.0790000000000148E-2</v>
      </c>
      <c r="D33" s="1">
        <f t="shared" ca="1" si="1"/>
        <v>-114.18510199180606</v>
      </c>
      <c r="E33" s="1">
        <f t="shared" ca="1" si="2"/>
        <v>0.39184965189047866</v>
      </c>
      <c r="F33" s="1">
        <f t="shared" ca="1" si="3"/>
        <v>-441.58365229220703</v>
      </c>
    </row>
    <row r="34" spans="1:6" x14ac:dyDescent="0.15">
      <c r="A34" s="1">
        <v>1.65873</v>
      </c>
      <c r="B34" s="1">
        <v>0.62237100000000001</v>
      </c>
      <c r="C34" s="1">
        <f t="shared" ca="1" si="0"/>
        <v>3.0499999999999972E-3</v>
      </c>
      <c r="D34" s="1">
        <f t="shared" ca="1" si="1"/>
        <v>92.731194686304661</v>
      </c>
      <c r="E34" s="1">
        <f t="shared" ca="1" si="2"/>
        <v>2.0052073577680206E-2</v>
      </c>
      <c r="F34" s="1">
        <f t="shared" ca="1" si="3"/>
        <v>873.2354217075565</v>
      </c>
    </row>
    <row r="35" spans="1:6" x14ac:dyDescent="0.15">
      <c r="A35" s="1">
        <v>1.66178</v>
      </c>
      <c r="B35" s="1">
        <v>0.51598100000000002</v>
      </c>
      <c r="C35" s="1">
        <f t="shared" ca="1" si="0"/>
        <v>5.4939999999999989E-2</v>
      </c>
      <c r="D35" s="1">
        <f t="shared" ca="1" si="1"/>
        <v>18.580368814114401</v>
      </c>
      <c r="E35" s="1">
        <f t="shared" ca="1" si="2"/>
        <v>0.4739522880217516</v>
      </c>
      <c r="F35" s="1">
        <f t="shared" ca="1" si="3"/>
        <v>137.31159332240114</v>
      </c>
    </row>
    <row r="36" spans="1:6" x14ac:dyDescent="0.15">
      <c r="A36" s="1">
        <v>1.71672</v>
      </c>
      <c r="B36" s="1">
        <v>0.29778300000000002</v>
      </c>
      <c r="C36" s="1">
        <f t="shared" ca="1" si="0"/>
        <v>3.8149999999999906E-2</v>
      </c>
      <c r="D36" s="1">
        <f t="shared" ca="1" si="1"/>
        <v>7.332683215117286</v>
      </c>
      <c r="E36" s="1">
        <f t="shared" ca="1" si="2"/>
        <v>0.23822747077630751</v>
      </c>
      <c r="F36" s="1">
        <f t="shared" ca="1" si="3"/>
        <v>-1.3189354454502709</v>
      </c>
    </row>
    <row r="37" spans="1:6" x14ac:dyDescent="0.15">
      <c r="A37" s="1">
        <v>1.7548699999999999</v>
      </c>
      <c r="B37" s="1">
        <v>0.382548</v>
      </c>
      <c r="C37" s="1">
        <f t="shared" ca="1" si="0"/>
        <v>6.103000000000014E-2</v>
      </c>
      <c r="D37" s="1">
        <f t="shared" ca="1" si="1"/>
        <v>-7.877226375804331</v>
      </c>
      <c r="E37" s="1">
        <f t="shared" ca="1" si="2"/>
        <v>0.32244664761874348</v>
      </c>
      <c r="F37" s="1">
        <f t="shared" ca="1" si="3"/>
        <v>-41.352786573460705</v>
      </c>
    </row>
    <row r="38" spans="1:6" x14ac:dyDescent="0.15">
      <c r="A38" s="1">
        <v>1.8159000000000001</v>
      </c>
      <c r="B38" s="1">
        <v>0.66732100000000005</v>
      </c>
      <c r="C38" s="1">
        <f t="shared" ca="1" si="0"/>
        <v>0.10833999999999988</v>
      </c>
      <c r="D38" s="1">
        <f t="shared" ca="1" si="1"/>
        <v>-407.22897896237441</v>
      </c>
      <c r="E38" s="1">
        <f t="shared" ca="1" si="2"/>
        <v>0.33955880682125755</v>
      </c>
      <c r="F38" s="1">
        <f t="shared" ca="1" si="3"/>
        <v>-1268.425522184717</v>
      </c>
    </row>
    <row r="39" spans="1:6" x14ac:dyDescent="0.15">
      <c r="A39" s="1">
        <v>1.92424</v>
      </c>
      <c r="B39" s="1">
        <v>0.88837500000000003</v>
      </c>
      <c r="C39" s="1">
        <f t="shared" ca="1" si="0"/>
        <v>2.2900000000001253E-3</v>
      </c>
      <c r="D39" s="1">
        <f t="shared" ca="1" si="1"/>
        <v>419.71325150122294</v>
      </c>
      <c r="E39" s="1">
        <f t="shared" ca="1" si="2"/>
        <v>1.2413794674971692E-2</v>
      </c>
      <c r="F39" s="1">
        <f t="shared" ca="1" si="3"/>
        <v>3020.1541261531793</v>
      </c>
    </row>
    <row r="40" spans="1:6" x14ac:dyDescent="0.15">
      <c r="A40" s="1">
        <v>1.9265300000000001</v>
      </c>
      <c r="B40" s="1">
        <v>0.58219600000000005</v>
      </c>
      <c r="C40" s="1">
        <f t="shared" ca="1" si="0"/>
        <v>2.6710000000000012E-2</v>
      </c>
      <c r="D40" s="1">
        <f t="shared" ca="1" si="1"/>
        <v>-35.212919329123899</v>
      </c>
      <c r="E40" s="1">
        <f t="shared" ca="1" si="2"/>
        <v>0.46074306577378477</v>
      </c>
      <c r="F40" s="1">
        <f t="shared" ca="1" si="3"/>
        <v>-726.71950279213843</v>
      </c>
    </row>
    <row r="41" spans="1:6" x14ac:dyDescent="0.15">
      <c r="A41" s="1">
        <v>1.9532400000000001</v>
      </c>
      <c r="B41" s="1">
        <v>0.74784600000000001</v>
      </c>
      <c r="C41" s="1">
        <f t="shared" ca="1" si="0"/>
        <v>5.3399999999999892E-2</v>
      </c>
      <c r="D41" s="1">
        <f t="shared" ca="1" si="1"/>
        <v>5.2915474046726292</v>
      </c>
      <c r="E41" s="1">
        <f t="shared" ca="1" si="2"/>
        <v>0.36102168476439345</v>
      </c>
      <c r="F41" s="1">
        <f t="shared" ca="1" si="3"/>
        <v>167.00447573016208</v>
      </c>
    </row>
    <row r="42" spans="1:6" x14ac:dyDescent="0.15">
      <c r="A42" s="1">
        <v>2.00664</v>
      </c>
      <c r="B42" s="1">
        <v>0.45223200000000002</v>
      </c>
      <c r="C42" s="1">
        <f t="shared" ca="1" si="0"/>
        <v>4.3489999999999807E-2</v>
      </c>
      <c r="D42" s="1">
        <f t="shared" ca="1" si="1"/>
        <v>58.853263381122716</v>
      </c>
      <c r="E42" s="1">
        <f t="shared" ca="1" si="2"/>
        <v>0.24922430149104816</v>
      </c>
      <c r="F42" s="1">
        <f t="shared" ca="1" si="3"/>
        <v>286.15937951689028</v>
      </c>
    </row>
    <row r="43" spans="1:6" x14ac:dyDescent="0.15">
      <c r="A43" s="1">
        <v>2.0501299999999998</v>
      </c>
      <c r="B43" s="1">
        <v>0.288188</v>
      </c>
      <c r="C43" s="1">
        <f t="shared" ca="1" si="0"/>
        <v>3.7390000000000256E-2</v>
      </c>
      <c r="D43" s="1">
        <f t="shared" ca="1" si="1"/>
        <v>-74.551339052395136</v>
      </c>
      <c r="E43" s="1">
        <f t="shared" ca="1" si="2"/>
        <v>0.24774512326413578</v>
      </c>
      <c r="F43" s="1">
        <f t="shared" ca="1" si="3"/>
        <v>-576.43585008903347</v>
      </c>
    </row>
    <row r="44" spans="1:6" x14ac:dyDescent="0.15">
      <c r="A44" s="1">
        <v>2.08752</v>
      </c>
      <c r="B44" s="1">
        <v>0.88066100000000003</v>
      </c>
      <c r="C44" s="1">
        <f t="shared" ca="1" si="0"/>
        <v>3.0520000000000103E-2</v>
      </c>
      <c r="D44" s="1">
        <f t="shared" ca="1" si="1"/>
        <v>-2.6702150390413539</v>
      </c>
      <c r="E44" s="1">
        <f t="shared" ca="1" si="2"/>
        <v>0.24115652123585213</v>
      </c>
      <c r="F44" s="1">
        <f t="shared" ca="1" si="3"/>
        <v>149.20351911120426</v>
      </c>
    </row>
    <row r="45" spans="1:6" x14ac:dyDescent="0.15">
      <c r="A45" s="1">
        <v>2.1180400000000001</v>
      </c>
      <c r="B45" s="1">
        <v>0.60583799999999999</v>
      </c>
      <c r="C45" s="1">
        <f t="shared" ca="1" si="0"/>
        <v>1.2969999999999704E-2</v>
      </c>
      <c r="D45" s="1">
        <f t="shared" ca="1" si="1"/>
        <v>40.851116055722933</v>
      </c>
      <c r="E45" s="1">
        <f t="shared" ca="1" si="2"/>
        <v>0.16289896766867698</v>
      </c>
      <c r="F45" s="1">
        <f t="shared" ca="1" si="3"/>
        <v>455.88380916851639</v>
      </c>
    </row>
    <row r="46" spans="1:6" x14ac:dyDescent="0.15">
      <c r="A46" s="1">
        <v>2.1310099999999998</v>
      </c>
      <c r="B46" s="1">
        <v>0.47750300000000001</v>
      </c>
      <c r="C46" s="1">
        <f t="shared" ca="1" si="0"/>
        <v>6.1800000000000299E-2</v>
      </c>
      <c r="D46" s="1">
        <f t="shared" ca="1" si="1"/>
        <v>30.410201888762828</v>
      </c>
      <c r="E46" s="1">
        <f t="shared" ca="1" si="2"/>
        <v>0.41918994484595795</v>
      </c>
      <c r="F46" s="1">
        <f t="shared" ca="1" si="3"/>
        <v>166.16600477491721</v>
      </c>
    </row>
    <row r="47" spans="1:6" x14ac:dyDescent="0.15">
      <c r="A47" s="1">
        <v>2.1928100000000001</v>
      </c>
      <c r="B47" s="1">
        <v>0.70753999999999995</v>
      </c>
      <c r="C47" s="1">
        <f t="shared" ca="1" si="0"/>
        <v>3.7379999999999747E-2</v>
      </c>
      <c r="D47" s="1">
        <f t="shared" ca="1" si="1"/>
        <v>-46.957299556007953</v>
      </c>
      <c r="E47" s="1">
        <f t="shared" ca="1" si="2"/>
        <v>0.21675337591181287</v>
      </c>
      <c r="F47" s="1">
        <f t="shared" ca="1" si="3"/>
        <v>-331.83537797661126</v>
      </c>
    </row>
    <row r="48" spans="1:6" x14ac:dyDescent="0.15">
      <c r="A48" s="1">
        <v>2.2301899999999999</v>
      </c>
      <c r="B48" s="1">
        <v>1.22559</v>
      </c>
      <c r="C48" s="1">
        <f t="shared" ca="1" si="0"/>
        <v>0.24110000000000031</v>
      </c>
      <c r="D48" s="1">
        <f t="shared" ca="1" si="1"/>
        <v>4.9348363758483504</v>
      </c>
      <c r="E48" s="1">
        <f t="shared" ca="1" si="2"/>
        <v>0.43927592555753281</v>
      </c>
      <c r="F48" s="1">
        <f t="shared" ca="1" si="3"/>
        <v>31.59077652879872</v>
      </c>
    </row>
    <row r="49" spans="1:6" x14ac:dyDescent="0.15">
      <c r="A49" s="1">
        <v>2.4712900000000002</v>
      </c>
      <c r="B49" s="1">
        <v>0.79319700000000004</v>
      </c>
      <c r="C49" s="1">
        <f t="shared" ca="1" si="0"/>
        <v>0.11748999999999965</v>
      </c>
      <c r="D49" s="1">
        <f t="shared" ca="1" si="1"/>
        <v>54.985455949682162</v>
      </c>
      <c r="E49" s="1">
        <f t="shared" ca="1" si="2"/>
        <v>0.19220620937839678</v>
      </c>
      <c r="F49" s="1">
        <f t="shared" ca="1" si="3"/>
        <v>77.49255684212811</v>
      </c>
    </row>
    <row r="50" spans="1:6" x14ac:dyDescent="0.15">
      <c r="A50" s="1">
        <v>2.5887799999999999</v>
      </c>
      <c r="B50" s="1">
        <v>0.77575300000000003</v>
      </c>
      <c r="C50" s="1">
        <f t="shared" ca="1" si="0"/>
        <v>1.5260000000000051E-2</v>
      </c>
      <c r="D50" s="1">
        <f t="shared" ca="1" si="1"/>
        <v>-39.03551513751222</v>
      </c>
      <c r="E50" s="1">
        <f t="shared" ca="1" si="2"/>
        <v>6.281963180802308E-2</v>
      </c>
      <c r="F50" s="1">
        <f t="shared" ca="1" si="3"/>
        <v>-198.17459631432456</v>
      </c>
    </row>
    <row r="51" spans="1:6" x14ac:dyDescent="0.15">
      <c r="A51" s="1">
        <v>2.6040399999999999</v>
      </c>
      <c r="B51" s="1">
        <v>1.05318</v>
      </c>
      <c r="C51" s="1">
        <f t="shared" ca="1" si="0"/>
        <v>3.2049999999999912E-2</v>
      </c>
      <c r="D51" s="1">
        <f t="shared" ca="1" si="1"/>
        <v>-48.904460242348151</v>
      </c>
      <c r="E51" s="1">
        <f t="shared" ca="1" si="2"/>
        <v>0.34219015985326229</v>
      </c>
      <c r="F51" s="1">
        <f t="shared" ca="1" si="3"/>
        <v>-489.85312426914248</v>
      </c>
    </row>
    <row r="52" spans="1:6" x14ac:dyDescent="0.15">
      <c r="A52" s="1">
        <v>2.6360899999999998</v>
      </c>
      <c r="B52" s="1">
        <v>1.21882</v>
      </c>
      <c r="C52" s="1">
        <f t="shared" ca="1" si="0"/>
        <v>3.1280000000000197E-2</v>
      </c>
      <c r="D52" s="1">
        <f t="shared" ca="1" si="1"/>
        <v>49.171045332904029</v>
      </c>
      <c r="E52" s="1">
        <f t="shared" ca="1" si="2"/>
        <v>0.27037117734461114</v>
      </c>
      <c r="F52" s="1">
        <f t="shared" ca="1" si="3"/>
        <v>560.71626713957187</v>
      </c>
    </row>
    <row r="53" spans="1:6" x14ac:dyDescent="0.15">
      <c r="A53" s="1">
        <v>2.66737</v>
      </c>
      <c r="B53" s="1">
        <v>0.87056999999999995</v>
      </c>
      <c r="C53" s="1">
        <f t="shared" ca="1" si="0"/>
        <v>7.24800000000001E-2</v>
      </c>
      <c r="D53" s="1">
        <f t="shared" ca="1" si="1"/>
        <v>-110.03418955552073</v>
      </c>
      <c r="E53" s="1">
        <f t="shared" ca="1" si="2"/>
        <v>0.36410622073365317</v>
      </c>
      <c r="F53" s="1">
        <f t="shared" ca="1" si="3"/>
        <v>-640.87012276636619</v>
      </c>
    </row>
    <row r="54" spans="1:6" x14ac:dyDescent="0.15">
      <c r="A54" s="1">
        <v>2.7398500000000001</v>
      </c>
      <c r="B54" s="1">
        <v>1.2516</v>
      </c>
      <c r="C54" s="1">
        <f t="shared" ca="1" si="0"/>
        <v>1.8310000000000048E-2</v>
      </c>
      <c r="D54" s="1">
        <f t="shared" ca="1" si="1"/>
        <v>58.434902040222042</v>
      </c>
      <c r="E54" s="1">
        <f t="shared" ca="1" si="2"/>
        <v>0.11798472466845143</v>
      </c>
      <c r="F54" s="1">
        <f t="shared" ca="1" si="3"/>
        <v>675.85186956847406</v>
      </c>
    </row>
    <row r="55" spans="1:6" x14ac:dyDescent="0.15">
      <c r="A55" s="1">
        <v>2.7581600000000002</v>
      </c>
      <c r="B55" s="1">
        <v>0.67628100000000002</v>
      </c>
      <c r="C55" s="1">
        <f t="shared" ca="1" si="0"/>
        <v>7.6299999999998036E-3</v>
      </c>
      <c r="D55" s="1">
        <f t="shared" ca="1" si="1"/>
        <v>245.70570633366714</v>
      </c>
      <c r="E55" s="1">
        <f t="shared" ca="1" si="2"/>
        <v>0.15346029938575403</v>
      </c>
      <c r="F55" s="1">
        <f t="shared" ca="1" si="3"/>
        <v>4692.9257427232869</v>
      </c>
    </row>
    <row r="56" spans="1:6" x14ac:dyDescent="0.15">
      <c r="A56" s="1">
        <v>2.76579</v>
      </c>
      <c r="B56" s="1">
        <v>0.58515799999999996</v>
      </c>
      <c r="C56" s="1">
        <f t="shared" ca="1" si="0"/>
        <v>5.3399999999999004E-3</v>
      </c>
      <c r="D56" s="1">
        <f t="shared" ca="1" si="1"/>
        <v>-240.52344173676869</v>
      </c>
      <c r="E56" s="1">
        <f t="shared" ca="1" si="2"/>
        <v>0.21559121846815857</v>
      </c>
      <c r="F56" s="1">
        <f t="shared" ca="1" si="3"/>
        <v>-11156.258742016917</v>
      </c>
    </row>
    <row r="57" spans="1:6" x14ac:dyDescent="0.15">
      <c r="A57" s="1">
        <v>2.7711299999999999</v>
      </c>
      <c r="B57" s="1">
        <v>0.95874000000000004</v>
      </c>
      <c r="C57" s="1">
        <f t="shared" ca="1" si="0"/>
        <v>2.5940000000000296E-2</v>
      </c>
      <c r="D57" s="1">
        <f t="shared" ca="1" si="1"/>
        <v>43.373245436041536</v>
      </c>
      <c r="E57" s="1">
        <f t="shared" ca="1" si="2"/>
        <v>0.42241542128680337</v>
      </c>
      <c r="F57" s="1">
        <f t="shared" ca="1" si="3"/>
        <v>1676.433391531094</v>
      </c>
    </row>
    <row r="58" spans="1:6" x14ac:dyDescent="0.15">
      <c r="A58" s="1">
        <v>2.7970700000000002</v>
      </c>
      <c r="B58" s="1">
        <v>0.69375500000000001</v>
      </c>
      <c r="C58" s="1">
        <f t="shared" ca="1" si="0"/>
        <v>0.17700999999999967</v>
      </c>
      <c r="D58" s="1">
        <f t="shared" ca="1" si="1"/>
        <v>-891.28811610274443</v>
      </c>
      <c r="E58" s="1">
        <f t="shared" ca="1" si="2"/>
        <v>0.44819177549185396</v>
      </c>
      <c r="F58" s="1">
        <f t="shared" ca="1" si="3"/>
        <v>-2366.8627564868257</v>
      </c>
    </row>
    <row r="59" spans="1:6" x14ac:dyDescent="0.15">
      <c r="A59" s="1">
        <v>2.9740799999999998</v>
      </c>
      <c r="B59" s="1">
        <v>1.4447099999999999</v>
      </c>
      <c r="C59" s="1">
        <f t="shared" ca="1" si="0"/>
        <v>1.5300000000002534E-3</v>
      </c>
      <c r="D59" s="1">
        <f t="shared" ca="1" si="1"/>
        <v>873.140316203574</v>
      </c>
      <c r="E59" s="1">
        <f t="shared" ca="1" si="2"/>
        <v>5.5086386398754223E-3</v>
      </c>
      <c r="F59" s="1">
        <f t="shared" ca="1" si="3"/>
        <v>4652.0946309150313</v>
      </c>
    </row>
    <row r="60" spans="1:6" x14ac:dyDescent="0.15">
      <c r="A60" s="1">
        <v>2.9756100000000001</v>
      </c>
      <c r="B60" s="1">
        <v>0.99664399999999997</v>
      </c>
      <c r="C60" s="1">
        <f t="shared" ca="1" si="0"/>
        <v>8.5449999999999804E-2</v>
      </c>
      <c r="D60" s="1">
        <f t="shared" ca="1" si="1"/>
        <v>46.447723314323056</v>
      </c>
      <c r="E60" s="1">
        <f t="shared" ca="1" si="2"/>
        <v>0.4912286743039887</v>
      </c>
      <c r="F60" s="1">
        <f t="shared" ca="1" si="3"/>
        <v>226.09751740623491</v>
      </c>
    </row>
    <row r="61" spans="1:6" x14ac:dyDescent="0.15">
      <c r="A61" s="1">
        <v>3.0610599999999999</v>
      </c>
      <c r="B61" s="1">
        <v>0.84225099999999997</v>
      </c>
      <c r="C61" s="1">
        <f t="shared" ca="1" si="0"/>
        <v>2.5940000000000296E-2</v>
      </c>
      <c r="D61" s="1">
        <f t="shared" ca="1" si="1"/>
        <v>-13.621737962937802</v>
      </c>
      <c r="E61" s="1">
        <f t="shared" ca="1" si="2"/>
        <v>0.14346987268989989</v>
      </c>
      <c r="F61" s="1">
        <f t="shared" ca="1" si="3"/>
        <v>-182.19551528472132</v>
      </c>
    </row>
    <row r="62" spans="1:6" x14ac:dyDescent="0.15">
      <c r="A62" s="1">
        <v>3.0870000000000002</v>
      </c>
      <c r="B62" s="1">
        <v>1.1970000000000001</v>
      </c>
      <c r="C62" s="1">
        <f t="shared" ca="1" si="0"/>
        <v>1.4499999999999957E-2</v>
      </c>
      <c r="D62" s="1">
        <f t="shared" ca="1" si="1"/>
        <v>-37.573582264976714</v>
      </c>
      <c r="E62" s="1">
        <f t="shared" ca="1" si="2"/>
        <v>0.18792512023198851</v>
      </c>
      <c r="F62" s="1">
        <f t="shared" ca="1" si="3"/>
        <v>-425.71429962298868</v>
      </c>
    </row>
    <row r="63" spans="1:6" x14ac:dyDescent="0.15">
      <c r="A63" s="1">
        <v>3.1015000000000001</v>
      </c>
      <c r="B63" s="1">
        <v>1.3294600000000001</v>
      </c>
      <c r="C63" s="1">
        <f t="shared" ca="1" si="0"/>
        <v>3.8139999999999841E-2</v>
      </c>
      <c r="D63" s="1">
        <f t="shared" ca="1" si="1"/>
        <v>0.39349097379394271</v>
      </c>
      <c r="E63" s="1">
        <f t="shared" ca="1" si="2"/>
        <v>0.37189769496664882</v>
      </c>
      <c r="F63" s="1">
        <f t="shared" ca="1" si="3"/>
        <v>64.027525011380419</v>
      </c>
    </row>
    <row r="64" spans="1:6" x14ac:dyDescent="0.15">
      <c r="A64" s="1">
        <v>3.13964</v>
      </c>
      <c r="B64" s="1">
        <v>1.2001900000000001</v>
      </c>
      <c r="C64" s="1">
        <f t="shared" ca="1" si="0"/>
        <v>1.5260000000000051E-2</v>
      </c>
      <c r="D64" s="1">
        <f t="shared" ca="1" si="1"/>
        <v>9.6232588550099134</v>
      </c>
      <c r="E64" s="1">
        <f t="shared" ca="1" si="2"/>
        <v>0.16476666388788971</v>
      </c>
      <c r="F64" s="1">
        <f t="shared" ca="1" si="3"/>
        <v>77.538037266962093</v>
      </c>
    </row>
    <row r="65" spans="1:6" x14ac:dyDescent="0.15">
      <c r="A65" s="1">
        <v>3.1549</v>
      </c>
      <c r="B65" s="1">
        <v>1.1504700000000001</v>
      </c>
      <c r="C65" s="1">
        <f t="shared" ca="1" si="0"/>
        <v>0.11063000000000001</v>
      </c>
      <c r="D65" s="1">
        <f t="shared" ca="1" si="1"/>
        <v>-94.015296916498585</v>
      </c>
      <c r="E65" s="1">
        <f t="shared" ca="1" si="2"/>
        <v>0.44382366863248451</v>
      </c>
      <c r="F65" s="1">
        <f t="shared" ca="1" si="3"/>
        <v>-381.91593296239421</v>
      </c>
    </row>
    <row r="66" spans="1:6" x14ac:dyDescent="0.15">
      <c r="A66" s="1">
        <v>3.26553</v>
      </c>
      <c r="B66" s="1">
        <v>1.14489</v>
      </c>
      <c r="C66" s="1">
        <f t="shared" ca="1" si="0"/>
        <v>6.1100000000000598E-3</v>
      </c>
      <c r="D66" s="1">
        <f t="shared" ca="1" si="1"/>
        <v>100.04004426636621</v>
      </c>
      <c r="E66" s="1">
        <f t="shared" ca="1" si="2"/>
        <v>3.3138122575943584E-2</v>
      </c>
      <c r="F66" s="1">
        <f t="shared" ca="1" si="3"/>
        <v>771.7299484345757</v>
      </c>
    </row>
    <row r="67" spans="1:6" x14ac:dyDescent="0.15">
      <c r="A67" s="1">
        <v>3.2716400000000001</v>
      </c>
      <c r="B67" s="1">
        <v>0.95310399999999995</v>
      </c>
      <c r="C67" s="1">
        <f t="shared" ref="C67:C130" ca="1" si="4" xml:space="preserve"> OFFSET(A67, ROW()-ROW(A67)+1, 0) - OFFSET(A67, ROW()-ROW(A67), 0)</f>
        <v>1.7539999999999889E-2</v>
      </c>
      <c r="D67" s="1">
        <f t="shared" ca="1" si="1"/>
        <v>-3.220070407604803</v>
      </c>
      <c r="E67" s="1">
        <f t="shared" ca="1" si="2"/>
        <v>0.37241871204732679</v>
      </c>
      <c r="F67" s="1">
        <f t="shared" ca="1" si="3"/>
        <v>-168.48741440404413</v>
      </c>
    </row>
    <row r="68" spans="1:6" x14ac:dyDescent="0.15">
      <c r="A68" s="1">
        <v>3.28918</v>
      </c>
      <c r="B68" s="1">
        <v>0.98744399999999999</v>
      </c>
      <c r="C68" s="1">
        <f t="shared" ca="1" si="4"/>
        <v>9.3850000000000211E-2</v>
      </c>
      <c r="D68" s="1">
        <f t="shared" ref="D68:D131" ca="1" si="5" xml:space="preserve"> 3*((B70-B69)/C69 - (B69-B68)/C68)</f>
        <v>1.3809021464364217</v>
      </c>
      <c r="E68" s="1">
        <f t="shared" ca="1" si="2"/>
        <v>0.43399290308002619</v>
      </c>
      <c r="F68" s="1">
        <f t="shared" ca="1" si="3"/>
        <v>20.051865871121795</v>
      </c>
    </row>
    <row r="69" spans="1:6" x14ac:dyDescent="0.15">
      <c r="A69" s="1">
        <v>3.3830300000000002</v>
      </c>
      <c r="B69" s="1">
        <v>1.0704499999999999</v>
      </c>
      <c r="C69" s="1">
        <f t="shared" ca="1" si="4"/>
        <v>0.19378999999999991</v>
      </c>
      <c r="D69" s="1">
        <f t="shared" ca="1" si="5"/>
        <v>9.9489431509437836</v>
      </c>
      <c r="E69" s="1">
        <f t="shared" ref="E69:E132" ca="1" si="6" xml:space="preserve"> C69 / (2*(C68+C69) - C68*E68)</f>
        <v>0.36252938886020464</v>
      </c>
      <c r="F69" s="1">
        <f t="shared" ref="F69:F132" ca="1" si="7" xml:space="preserve"> (D69 - C68*F68) / (2*(C68+C69) - C68*E68)</f>
        <v>15.091346122197548</v>
      </c>
    </row>
    <row r="70" spans="1:6" x14ac:dyDescent="0.15">
      <c r="A70" s="1">
        <v>3.5768200000000001</v>
      </c>
      <c r="B70" s="1">
        <v>1.3310500000000001</v>
      </c>
      <c r="C70" s="1">
        <f t="shared" ca="1" si="4"/>
        <v>4.8829999999999707E-2</v>
      </c>
      <c r="D70" s="1">
        <f t="shared" ca="1" si="5"/>
        <v>-26.753278044303396</v>
      </c>
      <c r="E70" s="1">
        <f t="shared" ca="1" si="6"/>
        <v>0.11766678177458569</v>
      </c>
      <c r="F70" s="1">
        <f t="shared" ca="1" si="7"/>
        <v>-71.515354234085706</v>
      </c>
    </row>
    <row r="71" spans="1:6" x14ac:dyDescent="0.15">
      <c r="A71" s="1">
        <v>3.6256499999999998</v>
      </c>
      <c r="B71" s="1">
        <v>1.5586500000000001</v>
      </c>
      <c r="C71" s="1">
        <f t="shared" ca="1" si="4"/>
        <v>1.8310000000000048E-2</v>
      </c>
      <c r="D71" s="1">
        <f t="shared" ca="1" si="5"/>
        <v>8.7349942300118357</v>
      </c>
      <c r="E71" s="1">
        <f t="shared" ca="1" si="6"/>
        <v>0.14245221374711839</v>
      </c>
      <c r="F71" s="1">
        <f t="shared" ca="1" si="7"/>
        <v>95.127028535990618</v>
      </c>
    </row>
    <row r="72" spans="1:6" x14ac:dyDescent="0.15">
      <c r="A72" s="1">
        <v>3.6439599999999999</v>
      </c>
      <c r="B72" s="1">
        <v>1.48071</v>
      </c>
      <c r="C72" s="1">
        <f t="shared" ca="1" si="4"/>
        <v>8.0110000000000348E-2</v>
      </c>
      <c r="D72" s="1" t="e">
        <f t="shared" ca="1" si="5"/>
        <v>#DIV/0!</v>
      </c>
      <c r="E72" s="1">
        <f t="shared" ca="1" si="6"/>
        <v>0.41244554835232072</v>
      </c>
      <c r="F72" s="1" t="e">
        <f t="shared" ca="1" si="7"/>
        <v>#DIV/0!</v>
      </c>
    </row>
    <row r="73" spans="1:6" x14ac:dyDescent="0.15">
      <c r="A73" s="1">
        <v>3.7240700000000002</v>
      </c>
      <c r="B73" s="1">
        <v>1.37296</v>
      </c>
      <c r="C73" s="1">
        <f t="shared" ca="1" si="4"/>
        <v>0</v>
      </c>
      <c r="D73" s="1" t="e">
        <f t="shared" ca="1" si="5"/>
        <v>#DIV/0!</v>
      </c>
      <c r="E73" s="1">
        <f t="shared" ca="1" si="6"/>
        <v>0</v>
      </c>
      <c r="F73" s="1" t="e">
        <f t="shared" ca="1" si="7"/>
        <v>#DIV/0!</v>
      </c>
    </row>
    <row r="74" spans="1:6" x14ac:dyDescent="0.15">
      <c r="A74" s="1">
        <v>3.7240700000000002</v>
      </c>
      <c r="B74" s="1">
        <v>1.37985</v>
      </c>
      <c r="C74" s="1">
        <f t="shared" ca="1" si="4"/>
        <v>3.8199999999997125E-3</v>
      </c>
      <c r="D74" s="1">
        <f t="shared" ca="1" si="5"/>
        <v>1180.3848856432996</v>
      </c>
      <c r="E74" s="1">
        <f t="shared" ca="1" si="6"/>
        <v>0.5</v>
      </c>
      <c r="F74" s="1" t="e">
        <f t="shared" ca="1" si="7"/>
        <v>#DIV/0!</v>
      </c>
    </row>
    <row r="75" spans="1:6" x14ac:dyDescent="0.15">
      <c r="A75" s="1">
        <v>3.7278899999999999</v>
      </c>
      <c r="B75" s="1">
        <v>1.26414</v>
      </c>
      <c r="C75" s="1">
        <f t="shared" ca="1" si="4"/>
        <v>7.6000000000009393E-4</v>
      </c>
      <c r="D75" s="1">
        <f t="shared" ca="1" si="5"/>
        <v>-1266.5131578946061</v>
      </c>
      <c r="E75" s="1">
        <f t="shared" ca="1" si="6"/>
        <v>0.10482758620691303</v>
      </c>
      <c r="F75" s="1" t="e">
        <f t="shared" ca="1" si="7"/>
        <v>#DIV/0!</v>
      </c>
    </row>
    <row r="76" spans="1:6" x14ac:dyDescent="0.15">
      <c r="A76" s="1">
        <v>3.72865</v>
      </c>
      <c r="B76" s="1">
        <v>1.5401499999999999</v>
      </c>
      <c r="C76" s="1">
        <f t="shared" ca="1" si="4"/>
        <v>7.6299999999998036E-3</v>
      </c>
      <c r="D76" s="1">
        <f t="shared" ca="1" si="5"/>
        <v>264.3202247191</v>
      </c>
      <c r="E76" s="1">
        <f t="shared" ca="1" si="6"/>
        <v>0.456877171131849</v>
      </c>
      <c r="F76" s="1" t="e">
        <f t="shared" ca="1" si="7"/>
        <v>#DIV/0!</v>
      </c>
    </row>
    <row r="77" spans="1:6" x14ac:dyDescent="0.15">
      <c r="A77" s="1">
        <v>3.7362799999999998</v>
      </c>
      <c r="B77" s="1">
        <v>1.0899799999999999</v>
      </c>
      <c r="C77" s="1">
        <f t="shared" ca="1" si="4"/>
        <v>5.3400000000003445E-3</v>
      </c>
      <c r="D77" s="1">
        <f t="shared" ca="1" si="5"/>
        <v>-82.951394082191925</v>
      </c>
      <c r="E77" s="1">
        <f t="shared" ca="1" si="6"/>
        <v>0.23781925425576123</v>
      </c>
      <c r="F77" s="1" t="e">
        <f t="shared" ca="1" si="7"/>
        <v>#DIV/0!</v>
      </c>
    </row>
    <row r="78" spans="1:6" x14ac:dyDescent="0.15">
      <c r="A78" s="1">
        <v>3.7416200000000002</v>
      </c>
      <c r="B78" s="1">
        <v>1.2454099999999999</v>
      </c>
      <c r="C78" s="1">
        <f t="shared" ca="1" si="4"/>
        <v>9.7659999999999858E-2</v>
      </c>
      <c r="D78" s="1">
        <f t="shared" ca="1" si="5"/>
        <v>-22.083418374747119</v>
      </c>
      <c r="E78" s="1">
        <f t="shared" ca="1" si="6"/>
        <v>0.47701840691263236</v>
      </c>
      <c r="F78" s="1" t="e">
        <f t="shared" ca="1" si="7"/>
        <v>#DIV/0!</v>
      </c>
    </row>
    <row r="79" spans="1:6" x14ac:dyDescent="0.15">
      <c r="A79" s="1">
        <v>3.83928</v>
      </c>
      <c r="B79" s="1">
        <v>1.3876299999999999</v>
      </c>
      <c r="C79" s="1">
        <f t="shared" ca="1" si="4"/>
        <v>2.3649999999999949E-2</v>
      </c>
      <c r="D79" s="1">
        <f t="shared" ca="1" si="5"/>
        <v>19.392629280870274</v>
      </c>
      <c r="E79" s="1">
        <f t="shared" ca="1" si="6"/>
        <v>0.1206421022310562</v>
      </c>
      <c r="F79" s="1" t="e">
        <f t="shared" ca="1" si="7"/>
        <v>#DIV/0!</v>
      </c>
    </row>
    <row r="80" spans="1:6" x14ac:dyDescent="0.15">
      <c r="A80" s="1">
        <v>3.86293</v>
      </c>
      <c r="B80" s="1">
        <v>1.2479800000000001</v>
      </c>
      <c r="C80" s="1">
        <f t="shared" ca="1" si="4"/>
        <v>8.0880000000000063E-2</v>
      </c>
      <c r="D80" s="1">
        <f t="shared" ca="1" si="5"/>
        <v>27.226771521004359</v>
      </c>
      <c r="E80" s="1">
        <f t="shared" ca="1" si="6"/>
        <v>0.39222758123453422</v>
      </c>
      <c r="F80" s="1" t="e">
        <f t="shared" ca="1" si="7"/>
        <v>#DIV/0!</v>
      </c>
    </row>
    <row r="81" spans="1:6" x14ac:dyDescent="0.15">
      <c r="A81" s="1">
        <v>3.94381</v>
      </c>
      <c r="B81" s="1">
        <v>1.29322</v>
      </c>
      <c r="C81" s="1">
        <f t="shared" ca="1" si="4"/>
        <v>4.6539999999999804E-2</v>
      </c>
      <c r="D81" s="1">
        <f t="shared" ca="1" si="5"/>
        <v>-374.22940322796586</v>
      </c>
      <c r="E81" s="1">
        <f t="shared" ca="1" si="6"/>
        <v>0.20859045480520505</v>
      </c>
      <c r="F81" s="1" t="e">
        <f t="shared" ca="1" si="7"/>
        <v>#DIV/0!</v>
      </c>
    </row>
    <row r="82" spans="1:6" x14ac:dyDescent="0.15">
      <c r="A82" s="1">
        <v>3.9903499999999998</v>
      </c>
      <c r="B82" s="1">
        <v>1.74163</v>
      </c>
      <c r="C82" s="1">
        <f t="shared" ca="1" si="4"/>
        <v>3.0499999999999972E-3</v>
      </c>
      <c r="D82" s="1">
        <f t="shared" ca="1" si="5"/>
        <v>349.0129396784979</v>
      </c>
      <c r="E82" s="1">
        <f t="shared" ca="1" si="6"/>
        <v>3.4088800678253699E-2</v>
      </c>
      <c r="F82" s="1" t="e">
        <f t="shared" ca="1" si="7"/>
        <v>#DIV/0!</v>
      </c>
    </row>
    <row r="83" spans="1:6" x14ac:dyDescent="0.15">
      <c r="A83" s="1">
        <v>3.9933999999999998</v>
      </c>
      <c r="B83" s="1">
        <v>1.39055</v>
      </c>
      <c r="C83" s="1">
        <f t="shared" ca="1" si="4"/>
        <v>0.12360000000000015</v>
      </c>
      <c r="D83" s="1">
        <f t="shared" ca="1" si="5"/>
        <v>187.18050294445351</v>
      </c>
      <c r="E83" s="1">
        <f t="shared" ca="1" si="6"/>
        <v>0.48815931438997556</v>
      </c>
      <c r="F83" s="1" t="e">
        <f t="shared" ca="1" si="7"/>
        <v>#DIV/0!</v>
      </c>
    </row>
    <row r="84" spans="1:6" x14ac:dyDescent="0.15">
      <c r="A84" s="1">
        <v>4.117</v>
      </c>
      <c r="B84" s="1">
        <v>1.54251</v>
      </c>
      <c r="C84" s="1">
        <f t="shared" ca="1" si="4"/>
        <v>3.0499999999999972E-3</v>
      </c>
      <c r="D84" s="1">
        <f t="shared" ca="1" si="5"/>
        <v>-194.60469517452663</v>
      </c>
      <c r="E84" s="1">
        <f t="shared" ca="1" si="6"/>
        <v>1.5806097328420088E-2</v>
      </c>
      <c r="F84" s="1" t="e">
        <f t="shared" ca="1" si="7"/>
        <v>#DIV/0!</v>
      </c>
    </row>
    <row r="85" spans="1:6" x14ac:dyDescent="0.15">
      <c r="A85" s="1">
        <v>4.12005</v>
      </c>
      <c r="B85" s="1">
        <v>1.7365600000000001</v>
      </c>
      <c r="C85" s="1">
        <f t="shared" ca="1" si="4"/>
        <v>0.1785300000000003</v>
      </c>
      <c r="D85" s="1">
        <f t="shared" ca="1" si="5"/>
        <v>7.4413168866741586</v>
      </c>
      <c r="E85" s="1">
        <f t="shared" ca="1" si="6"/>
        <v>0.49166676551625771</v>
      </c>
      <c r="F85" s="1" t="e">
        <f t="shared" ca="1" si="7"/>
        <v>#DIV/0!</v>
      </c>
    </row>
    <row r="86" spans="1:6" x14ac:dyDescent="0.15">
      <c r="A86" s="1">
        <v>4.2985800000000003</v>
      </c>
      <c r="B86" s="1">
        <v>1.51424</v>
      </c>
      <c r="C86" s="1">
        <f t="shared" ca="1" si="4"/>
        <v>1.2970000000000148E-2</v>
      </c>
      <c r="D86" s="1">
        <f t="shared" ca="1" si="5"/>
        <v>59.453295990128041</v>
      </c>
      <c r="E86" s="1">
        <f t="shared" ca="1" si="6"/>
        <v>4.3932931236876832E-2</v>
      </c>
      <c r="F86" s="1" t="e">
        <f t="shared" ca="1" si="7"/>
        <v>#DIV/0!</v>
      </c>
    </row>
    <row r="87" spans="1:6" x14ac:dyDescent="0.15">
      <c r="A87" s="1">
        <v>4.3115500000000004</v>
      </c>
      <c r="B87" s="1">
        <v>1.53026</v>
      </c>
      <c r="C87" s="1">
        <f t="shared" ca="1" si="4"/>
        <v>1.9839999999999414E-2</v>
      </c>
      <c r="D87" s="1">
        <f t="shared" ca="1" si="5"/>
        <v>-448.63068027362681</v>
      </c>
      <c r="E87" s="1">
        <f t="shared" ca="1" si="6"/>
        <v>0.30499526651701592</v>
      </c>
      <c r="F87" s="1" t="e">
        <f t="shared" ca="1" si="7"/>
        <v>#DIV/0!</v>
      </c>
    </row>
    <row r="88" spans="1:6" x14ac:dyDescent="0.15">
      <c r="A88" s="1">
        <v>4.3313899999999999</v>
      </c>
      <c r="B88" s="1">
        <v>1.9479500000000001</v>
      </c>
      <c r="C88" s="1">
        <f t="shared" ca="1" si="4"/>
        <v>5.3400000000003445E-3</v>
      </c>
      <c r="D88" s="1">
        <f t="shared" ca="1" si="5"/>
        <v>387.28569158131984</v>
      </c>
      <c r="E88" s="1">
        <f t="shared" ca="1" si="6"/>
        <v>0.12051756495139514</v>
      </c>
      <c r="F88" s="1" t="e">
        <f t="shared" ca="1" si="7"/>
        <v>#DIV/0!</v>
      </c>
    </row>
    <row r="89" spans="1:6" x14ac:dyDescent="0.15">
      <c r="A89" s="1">
        <v>4.3367300000000002</v>
      </c>
      <c r="B89" s="1">
        <v>1.2618100000000001</v>
      </c>
      <c r="C89" s="1">
        <f t="shared" ca="1" si="4"/>
        <v>7.7059999999999462E-2</v>
      </c>
      <c r="D89" s="1">
        <f t="shared" ca="1" si="5"/>
        <v>12.773920143917778</v>
      </c>
      <c r="E89" s="1">
        <f t="shared" ca="1" si="6"/>
        <v>0.46943026896996243</v>
      </c>
      <c r="F89" s="1" t="e">
        <f t="shared" ca="1" si="7"/>
        <v>#DIV/0!</v>
      </c>
    </row>
    <row r="90" spans="1:6" x14ac:dyDescent="0.15">
      <c r="A90" s="1">
        <v>4.4137899999999997</v>
      </c>
      <c r="B90" s="1">
        <v>1.3084</v>
      </c>
      <c r="C90" s="1">
        <f t="shared" ca="1" si="4"/>
        <v>2.9760000000000453E-2</v>
      </c>
      <c r="D90" s="1">
        <f t="shared" ca="1" si="5"/>
        <v>11.995952974606389</v>
      </c>
      <c r="E90" s="1">
        <f t="shared" ca="1" si="6"/>
        <v>0.16769437371598334</v>
      </c>
      <c r="F90" s="1" t="e">
        <f t="shared" ca="1" si="7"/>
        <v>#DIV/0!</v>
      </c>
    </row>
    <row r="91" spans="1:6" x14ac:dyDescent="0.15">
      <c r="A91" s="1">
        <v>4.4435500000000001</v>
      </c>
      <c r="B91" s="1">
        <v>1.4531099999999999</v>
      </c>
      <c r="C91" s="1">
        <f t="shared" ca="1" si="4"/>
        <v>1.2970000000000148E-2</v>
      </c>
      <c r="D91" s="1">
        <f t="shared" ca="1" si="5"/>
        <v>-32.808528537089231</v>
      </c>
      <c r="E91" s="1">
        <f t="shared" ca="1" si="6"/>
        <v>0.16117924964869237</v>
      </c>
      <c r="F91" s="1" t="e">
        <f t="shared" ca="1" si="7"/>
        <v>#DIV/0!</v>
      </c>
    </row>
    <row r="92" spans="1:6" x14ac:dyDescent="0.15">
      <c r="A92" s="1">
        <v>4.4565200000000003</v>
      </c>
      <c r="B92" s="1">
        <v>1.5680400000000001</v>
      </c>
      <c r="C92" s="1">
        <f t="shared" ca="1" si="4"/>
        <v>2.9749999999999943E-2</v>
      </c>
      <c r="D92" s="1">
        <f t="shared" ca="1" si="5"/>
        <v>-69.830298464213456</v>
      </c>
      <c r="E92" s="1">
        <f t="shared" ca="1" si="6"/>
        <v>0.35693073345624399</v>
      </c>
      <c r="F92" s="1" t="e">
        <f t="shared" ca="1" si="7"/>
        <v>#DIV/0!</v>
      </c>
    </row>
    <row r="93" spans="1:6" x14ac:dyDescent="0.15">
      <c r="A93" s="1">
        <v>4.4862700000000002</v>
      </c>
      <c r="B93" s="1">
        <v>1.50631</v>
      </c>
      <c r="C93" s="1">
        <f t="shared" ca="1" si="4"/>
        <v>1.4499999999999957E-2</v>
      </c>
      <c r="D93" s="1">
        <f t="shared" ca="1" si="5"/>
        <v>84.793800015952144</v>
      </c>
      <c r="E93" s="1">
        <f t="shared" ca="1" si="6"/>
        <v>0.18618073930006152</v>
      </c>
      <c r="F93" s="1" t="e">
        <f t="shared" ca="1" si="7"/>
        <v>#DIV/0!</v>
      </c>
    </row>
    <row r="94" spans="1:6" x14ac:dyDescent="0.15">
      <c r="A94" s="1">
        <v>4.5007700000000002</v>
      </c>
      <c r="B94" s="1">
        <v>1.1387100000000001</v>
      </c>
      <c r="C94" s="1">
        <f t="shared" ca="1" si="4"/>
        <v>7.782E-2</v>
      </c>
      <c r="D94" s="1">
        <f t="shared" ca="1" si="5"/>
        <v>1273.248214503695</v>
      </c>
      <c r="E94" s="1">
        <f t="shared" ca="1" si="6"/>
        <v>0.42772253365578594</v>
      </c>
      <c r="F94" s="1" t="e">
        <f t="shared" ca="1" si="7"/>
        <v>#DIV/0!</v>
      </c>
    </row>
    <row r="95" spans="1:6" x14ac:dyDescent="0.15">
      <c r="A95" s="1">
        <v>4.5785900000000002</v>
      </c>
      <c r="B95" s="1">
        <v>1.3653900000000001</v>
      </c>
      <c r="C95" s="1">
        <f t="shared" ca="1" si="4"/>
        <v>7.5999999999964984E-4</v>
      </c>
      <c r="D95" s="1">
        <f t="shared" ca="1" si="5"/>
        <v>-1359.2775470341146</v>
      </c>
      <c r="E95" s="1">
        <f t="shared" ca="1" si="6"/>
        <v>6.1352351573963904E-3</v>
      </c>
      <c r="F95" s="1" t="e">
        <f t="shared" ca="1" si="7"/>
        <v>#DIV/0!</v>
      </c>
    </row>
    <row r="96" spans="1:6" x14ac:dyDescent="0.15">
      <c r="A96" s="1">
        <v>4.5793499999999998</v>
      </c>
      <c r="B96" s="1">
        <v>1.6901600000000001</v>
      </c>
      <c r="C96" s="1">
        <f t="shared" ca="1" si="4"/>
        <v>1.6029999999999767E-2</v>
      </c>
      <c r="D96" s="1">
        <f t="shared" ca="1" si="5"/>
        <v>88.814541886347882</v>
      </c>
      <c r="E96" s="1">
        <f t="shared" ca="1" si="6"/>
        <v>0.47743377510562579</v>
      </c>
      <c r="F96" s="1" t="e">
        <f t="shared" ca="1" si="7"/>
        <v>#DIV/0!</v>
      </c>
    </row>
    <row r="97" spans="1:6" x14ac:dyDescent="0.15">
      <c r="A97" s="1">
        <v>4.5953799999999996</v>
      </c>
      <c r="B97" s="1">
        <v>1.2771699999999999</v>
      </c>
      <c r="C97" s="1">
        <f t="shared" ca="1" si="4"/>
        <v>6.9430000000000547E-2</v>
      </c>
      <c r="D97" s="1">
        <f t="shared" ca="1" si="5"/>
        <v>-13.009091454555563</v>
      </c>
      <c r="E97" s="1">
        <f t="shared" ca="1" si="6"/>
        <v>0.42525502409261051</v>
      </c>
      <c r="F97" s="1" t="e">
        <f t="shared" ca="1" si="7"/>
        <v>#DIV/0!</v>
      </c>
    </row>
    <row r="98" spans="1:6" x14ac:dyDescent="0.15">
      <c r="A98" s="1">
        <v>4.6648100000000001</v>
      </c>
      <c r="B98" s="1">
        <v>1.5438700000000001</v>
      </c>
      <c r="C98" s="1">
        <f t="shared" ca="1" si="4"/>
        <v>0.13732999999999951</v>
      </c>
      <c r="D98" s="1">
        <f t="shared" ca="1" si="5"/>
        <v>2.9719352575677012</v>
      </c>
      <c r="E98" s="1">
        <f t="shared" ca="1" si="6"/>
        <v>0.35763529003533528</v>
      </c>
      <c r="F98" s="1" t="e">
        <f t="shared" ca="1" si="7"/>
        <v>#DIV/0!</v>
      </c>
    </row>
    <row r="99" spans="1:6" x14ac:dyDescent="0.15">
      <c r="A99" s="1">
        <v>4.8021399999999996</v>
      </c>
      <c r="B99" s="1">
        <v>1.4758800000000001</v>
      </c>
      <c r="C99" s="1">
        <f t="shared" ca="1" si="4"/>
        <v>4.7300000000000786E-2</v>
      </c>
      <c r="D99" s="1">
        <f t="shared" ca="1" si="5"/>
        <v>1.3607056732503899</v>
      </c>
      <c r="E99" s="1">
        <f t="shared" ca="1" si="6"/>
        <v>0.14774511639833623</v>
      </c>
      <c r="F99" s="1" t="e">
        <f t="shared" ca="1" si="7"/>
        <v>#DIV/0!</v>
      </c>
    </row>
    <row r="100" spans="1:6" x14ac:dyDescent="0.15">
      <c r="A100" s="1">
        <v>4.8494400000000004</v>
      </c>
      <c r="B100" s="1">
        <v>1.49932</v>
      </c>
      <c r="C100" s="1">
        <f t="shared" ca="1" si="4"/>
        <v>0.25711999999999957</v>
      </c>
      <c r="D100" s="1">
        <f t="shared" ca="1" si="5"/>
        <v>-2.1766077142263658</v>
      </c>
      <c r="E100" s="1">
        <f t="shared" ca="1" si="6"/>
        <v>0.42721490825707614</v>
      </c>
      <c r="F100" s="1" t="e">
        <f t="shared" ca="1" si="7"/>
        <v>#DIV/0!</v>
      </c>
    </row>
    <row r="101" spans="1:6" x14ac:dyDescent="0.15">
      <c r="A101" s="1">
        <v>5.10656</v>
      </c>
      <c r="B101" s="1">
        <v>1.74336</v>
      </c>
      <c r="C101" s="1">
        <f t="shared" ca="1" si="4"/>
        <v>0.11673000000000044</v>
      </c>
      <c r="D101" s="1">
        <f t="shared" ca="1" si="5"/>
        <v>-26.710080030168157</v>
      </c>
      <c r="E101" s="1">
        <f t="shared" ca="1" si="6"/>
        <v>0.18300411691006771</v>
      </c>
      <c r="F101" s="1" t="e">
        <f t="shared" ca="1" si="7"/>
        <v>#DIV/0!</v>
      </c>
    </row>
    <row r="102" spans="1:6" x14ac:dyDescent="0.15">
      <c r="A102" s="1">
        <v>5.2232900000000004</v>
      </c>
      <c r="B102" s="1">
        <v>1.76946</v>
      </c>
      <c r="C102" s="1">
        <f t="shared" ca="1" si="4"/>
        <v>1.3739999999999419E-2</v>
      </c>
      <c r="D102" s="1">
        <f t="shared" ca="1" si="5"/>
        <v>48.374396447465564</v>
      </c>
      <c r="E102" s="1">
        <f t="shared" ca="1" si="6"/>
        <v>5.7350858789506784E-2</v>
      </c>
      <c r="F102" s="1" t="e">
        <f t="shared" ca="1" si="7"/>
        <v>#DIV/0!</v>
      </c>
    </row>
    <row r="103" spans="1:6" x14ac:dyDescent="0.15">
      <c r="A103" s="1">
        <v>5.2370299999999999</v>
      </c>
      <c r="B103" s="1">
        <v>1.6501999999999999</v>
      </c>
      <c r="C103" s="1">
        <f t="shared" ca="1" si="4"/>
        <v>4.7299999999999898E-2</v>
      </c>
      <c r="D103" s="1">
        <f t="shared" ca="1" si="5"/>
        <v>-164.67570649112929</v>
      </c>
      <c r="E103" s="1">
        <f t="shared" ca="1" si="6"/>
        <v>0.3899680136520487</v>
      </c>
      <c r="F103" s="1" t="e">
        <f t="shared" ca="1" si="7"/>
        <v>#DIV/0!</v>
      </c>
    </row>
    <row r="104" spans="1:6" x14ac:dyDescent="0.15">
      <c r="A104" s="1">
        <v>5.2843299999999997</v>
      </c>
      <c r="B104" s="1">
        <v>2.0023499999999999</v>
      </c>
      <c r="C104" s="1">
        <f t="shared" ca="1" si="4"/>
        <v>6.8700000000001538E-3</v>
      </c>
      <c r="D104" s="1">
        <f t="shared" ca="1" si="5"/>
        <v>153.70521602392543</v>
      </c>
      <c r="E104" s="1">
        <f t="shared" ca="1" si="6"/>
        <v>7.6422906963141038E-2</v>
      </c>
      <c r="F104" s="1" t="e">
        <f t="shared" ca="1" si="7"/>
        <v>#DIV/0!</v>
      </c>
    </row>
    <row r="105" spans="1:6" x14ac:dyDescent="0.15">
      <c r="A105" s="1">
        <v>5.2911999999999999</v>
      </c>
      <c r="B105" s="1">
        <v>1.67639</v>
      </c>
      <c r="C105" s="1">
        <f t="shared" ca="1" si="4"/>
        <v>2.4410000000000487E-2</v>
      </c>
      <c r="D105" s="1">
        <f t="shared" ca="1" si="5"/>
        <v>-23.499124537766637</v>
      </c>
      <c r="E105" s="1">
        <f t="shared" ca="1" si="6"/>
        <v>0.39348770827939727</v>
      </c>
      <c r="F105" s="1" t="e">
        <f t="shared" ca="1" si="7"/>
        <v>#DIV/0!</v>
      </c>
    </row>
    <row r="106" spans="1:6" x14ac:dyDescent="0.15">
      <c r="A106" s="1">
        <v>5.3156100000000004</v>
      </c>
      <c r="B106" s="1">
        <v>1.7688600000000001</v>
      </c>
      <c r="C106" s="1">
        <f t="shared" ca="1" si="4"/>
        <v>7.2479999999999656E-2</v>
      </c>
      <c r="D106" s="1">
        <f t="shared" ca="1" si="5"/>
        <v>45.510021338531047</v>
      </c>
      <c r="E106" s="1">
        <f t="shared" ca="1" si="6"/>
        <v>0.39353882860194334</v>
      </c>
      <c r="F106" s="1" t="e">
        <f t="shared" ca="1" si="7"/>
        <v>#DIV/0!</v>
      </c>
    </row>
    <row r="107" spans="1:6" x14ac:dyDescent="0.15">
      <c r="A107" s="1">
        <v>5.38809</v>
      </c>
      <c r="B107" s="1">
        <v>1.4756899999999999</v>
      </c>
      <c r="C107" s="1">
        <f t="shared" ca="1" si="4"/>
        <v>3.7390000000000256E-2</v>
      </c>
      <c r="D107" s="1">
        <f t="shared" ca="1" si="5"/>
        <v>-44.878721962293483</v>
      </c>
      <c r="E107" s="1">
        <f t="shared" ca="1" si="6"/>
        <v>0.19553771767815883</v>
      </c>
      <c r="F107" s="1" t="e">
        <f t="shared" ca="1" si="7"/>
        <v>#DIV/0!</v>
      </c>
    </row>
    <row r="108" spans="1:6" x14ac:dyDescent="0.15">
      <c r="A108" s="1">
        <v>5.4254800000000003</v>
      </c>
      <c r="B108" s="1">
        <v>1.8916599999999999</v>
      </c>
      <c r="C108" s="1">
        <f t="shared" ca="1" si="4"/>
        <v>0.13351999999999986</v>
      </c>
      <c r="D108" s="1">
        <f t="shared" ca="1" si="5"/>
        <v>16.140653122375362</v>
      </c>
      <c r="E108" s="1">
        <f t="shared" ca="1" si="6"/>
        <v>0.39915237549360039</v>
      </c>
      <c r="F108" s="1" t="e">
        <f t="shared" ca="1" si="7"/>
        <v>#DIV/0!</v>
      </c>
    </row>
    <row r="109" spans="1:6" x14ac:dyDescent="0.15">
      <c r="A109" s="1">
        <v>5.5590000000000002</v>
      </c>
      <c r="B109" s="1">
        <v>1.3796900000000001</v>
      </c>
      <c r="C109" s="1">
        <f t="shared" ca="1" si="4"/>
        <v>8.1640000000000157E-2</v>
      </c>
      <c r="D109" s="1">
        <f t="shared" ca="1" si="5"/>
        <v>2.6612729235821</v>
      </c>
      <c r="E109" s="1">
        <f t="shared" ca="1" si="6"/>
        <v>0.2165372644892751</v>
      </c>
      <c r="F109" s="1" t="e">
        <f t="shared" ca="1" si="7"/>
        <v>#DIV/0!</v>
      </c>
    </row>
    <row r="110" spans="1:6" x14ac:dyDescent="0.15">
      <c r="A110" s="1">
        <v>5.6406400000000003</v>
      </c>
      <c r="B110" s="1">
        <v>1.50589</v>
      </c>
      <c r="C110" s="1">
        <f t="shared" ca="1" si="4"/>
        <v>6.1029999999999696E-2</v>
      </c>
      <c r="D110" s="1">
        <f t="shared" ca="1" si="5"/>
        <v>0.31593146493941981</v>
      </c>
      <c r="E110" s="1">
        <f t="shared" ca="1" si="6"/>
        <v>0.22801153439562447</v>
      </c>
      <c r="F110" s="1" t="e">
        <f t="shared" ca="1" si="7"/>
        <v>#DIV/0!</v>
      </c>
    </row>
    <row r="111" spans="1:6" x14ac:dyDescent="0.15">
      <c r="A111" s="1">
        <v>5.70167</v>
      </c>
      <c r="B111" s="1">
        <v>1.6543699999999999</v>
      </c>
      <c r="C111" s="1">
        <f t="shared" ca="1" si="4"/>
        <v>6.7910000000000359E-2</v>
      </c>
      <c r="D111" s="1">
        <f t="shared" ca="1" si="5"/>
        <v>-4.4535116998916031</v>
      </c>
      <c r="E111" s="1">
        <f t="shared" ca="1" si="6"/>
        <v>0.27836022139412825</v>
      </c>
      <c r="F111" s="1" t="e">
        <f t="shared" ca="1" si="7"/>
        <v>#DIV/0!</v>
      </c>
    </row>
    <row r="112" spans="1:6" x14ac:dyDescent="0.15">
      <c r="A112" s="1">
        <v>5.7695800000000004</v>
      </c>
      <c r="B112" s="1">
        <v>1.82674</v>
      </c>
      <c r="C112" s="1">
        <f t="shared" ca="1" si="4"/>
        <v>3.1279999999999752E-2</v>
      </c>
      <c r="D112" s="1">
        <f t="shared" ca="1" si="5"/>
        <v>-4.0095187775286254</v>
      </c>
      <c r="E112" s="1">
        <f t="shared" ca="1" si="6"/>
        <v>0.17428459994563028</v>
      </c>
      <c r="F112" s="1" t="e">
        <f t="shared" ca="1" si="7"/>
        <v>#DIV/0!</v>
      </c>
    </row>
    <row r="113" spans="1:6" x14ac:dyDescent="0.15">
      <c r="A113" s="1">
        <v>5.8008600000000001</v>
      </c>
      <c r="B113" s="1">
        <v>1.8596999999999999</v>
      </c>
      <c r="C113" s="1">
        <f t="shared" ca="1" si="4"/>
        <v>8.6209999999999454E-2</v>
      </c>
      <c r="D113" s="1">
        <f t="shared" ca="1" si="5"/>
        <v>-0.70705810978262718</v>
      </c>
      <c r="E113" s="1">
        <f t="shared" ca="1" si="6"/>
        <v>0.37559625898429427</v>
      </c>
      <c r="F113" s="1" t="e">
        <f t="shared" ca="1" si="7"/>
        <v>#DIV/0!</v>
      </c>
    </row>
    <row r="114" spans="1:6" x14ac:dyDescent="0.15">
      <c r="A114" s="1">
        <v>5.8870699999999996</v>
      </c>
      <c r="B114" s="1">
        <v>1.8353200000000001</v>
      </c>
      <c r="C114" s="1">
        <f t="shared" ca="1" si="4"/>
        <v>2.1370000000000111E-2</v>
      </c>
      <c r="D114" s="1">
        <f t="shared" ca="1" si="5"/>
        <v>-70.090217723718737</v>
      </c>
      <c r="E114" s="1">
        <f t="shared" ca="1" si="6"/>
        <v>0.11691660983249859</v>
      </c>
      <c r="F114" s="1" t="e">
        <f t="shared" ca="1" si="7"/>
        <v>#DIV/0!</v>
      </c>
    </row>
    <row r="115" spans="1:6" x14ac:dyDescent="0.15">
      <c r="A115" s="1">
        <v>5.9084399999999997</v>
      </c>
      <c r="B115" s="1">
        <v>1.8242400000000001</v>
      </c>
      <c r="C115" s="1">
        <f t="shared" ca="1" si="4"/>
        <v>7.6200000000001822E-3</v>
      </c>
      <c r="D115" s="1">
        <f t="shared" ca="1" si="5"/>
        <v>117.40084170513011</v>
      </c>
      <c r="E115" s="1">
        <f t="shared" ca="1" si="6"/>
        <v>0.13734309800868699</v>
      </c>
      <c r="F115" s="1" t="e">
        <f t="shared" ca="1" si="7"/>
        <v>#DIV/0!</v>
      </c>
    </row>
    <row r="116" spans="1:6" x14ac:dyDescent="0.15">
      <c r="A116" s="1">
        <v>5.9160599999999999</v>
      </c>
      <c r="B116" s="1">
        <v>1.6422600000000001</v>
      </c>
      <c r="C116" s="1">
        <f t="shared" ca="1" si="4"/>
        <v>1.4499999999999957E-2</v>
      </c>
      <c r="D116" s="1">
        <f t="shared" ca="1" si="5"/>
        <v>-44.065788403308311</v>
      </c>
      <c r="E116" s="1">
        <f t="shared" ca="1" si="6"/>
        <v>0.33569908121178965</v>
      </c>
      <c r="F116" s="1" t="e">
        <f t="shared" ca="1" si="7"/>
        <v>#DIV/0!</v>
      </c>
    </row>
    <row r="117" spans="1:6" x14ac:dyDescent="0.15">
      <c r="A117" s="1">
        <v>5.9305599999999998</v>
      </c>
      <c r="B117" s="1">
        <v>1.86341</v>
      </c>
      <c r="C117" s="1">
        <f t="shared" ca="1" si="4"/>
        <v>2.2890000000000299E-2</v>
      </c>
      <c r="D117" s="1">
        <f t="shared" ca="1" si="5"/>
        <v>51.694895465499812</v>
      </c>
      <c r="E117" s="1">
        <f t="shared" ca="1" si="6"/>
        <v>0.32740990165693101</v>
      </c>
      <c r="F117" s="1" t="e">
        <f t="shared" ca="1" si="7"/>
        <v>#DIV/0!</v>
      </c>
    </row>
    <row r="118" spans="1:6" x14ac:dyDescent="0.15">
      <c r="A118" s="1">
        <v>5.9534500000000001</v>
      </c>
      <c r="B118" s="1">
        <v>1.8763000000000001</v>
      </c>
      <c r="C118" s="1">
        <f t="shared" ca="1" si="4"/>
        <v>4.5799999999998064E-3</v>
      </c>
      <c r="D118" s="1">
        <f t="shared" ca="1" si="5"/>
        <v>-75.310917953786046</v>
      </c>
      <c r="E118" s="1">
        <f t="shared" ca="1" si="6"/>
        <v>9.6531632459519581E-2</v>
      </c>
      <c r="F118" s="1" t="e">
        <f t="shared" ca="1" si="7"/>
        <v>#DIV/0!</v>
      </c>
    </row>
    <row r="119" spans="1:6" x14ac:dyDescent="0.15">
      <c r="A119" s="1">
        <v>5.9580299999999999</v>
      </c>
      <c r="B119" s="1">
        <v>1.9578</v>
      </c>
      <c r="C119" s="1">
        <f t="shared" ca="1" si="4"/>
        <v>4.7299999999999898E-2</v>
      </c>
      <c r="D119" s="1">
        <f t="shared" ca="1" si="5"/>
        <v>24.018381597067368</v>
      </c>
      <c r="E119" s="1">
        <f t="shared" ca="1" si="6"/>
        <v>0.45781037758889409</v>
      </c>
      <c r="F119" s="1" t="e">
        <f t="shared" ca="1" si="7"/>
        <v>#DIV/0!</v>
      </c>
    </row>
    <row r="120" spans="1:6" x14ac:dyDescent="0.15">
      <c r="A120" s="1">
        <v>6.0053299999999998</v>
      </c>
      <c r="B120" s="1">
        <v>1.61209</v>
      </c>
      <c r="C120" s="1">
        <f t="shared" ca="1" si="4"/>
        <v>3.8149999999999906E-2</v>
      </c>
      <c r="D120" s="1">
        <f t="shared" ca="1" si="5"/>
        <v>45.751015501423765</v>
      </c>
      <c r="E120" s="1">
        <f t="shared" ca="1" si="6"/>
        <v>0.25561897897418817</v>
      </c>
      <c r="F120" s="1" t="e">
        <f t="shared" ca="1" si="7"/>
        <v>#DIV/0!</v>
      </c>
    </row>
    <row r="121" spans="1:6" x14ac:dyDescent="0.15">
      <c r="A121" s="1">
        <v>6.0434799999999997</v>
      </c>
      <c r="B121" s="1">
        <v>1.63869</v>
      </c>
      <c r="C121" s="1">
        <f t="shared" ca="1" si="4"/>
        <v>1.4499999999999957E-2</v>
      </c>
      <c r="D121" s="1">
        <f t="shared" ca="1" si="5"/>
        <v>-51.594478992071558</v>
      </c>
      <c r="E121" s="1">
        <f t="shared" ca="1" si="6"/>
        <v>0.15175596944417458</v>
      </c>
      <c r="F121" s="1" t="e">
        <f t="shared" ca="1" si="7"/>
        <v>#DIV/0!</v>
      </c>
    </row>
    <row r="122" spans="1:6" x14ac:dyDescent="0.15">
      <c r="A122" s="1">
        <v>6.0579799999999997</v>
      </c>
      <c r="B122" s="1">
        <v>1.8699300000000001</v>
      </c>
      <c r="C122" s="1">
        <f t="shared" ca="1" si="4"/>
        <v>9.1550000000000686E-2</v>
      </c>
      <c r="D122" s="1">
        <f t="shared" ca="1" si="5"/>
        <v>13.910195200097915</v>
      </c>
      <c r="E122" s="1">
        <f t="shared" ca="1" si="6"/>
        <v>0.43616103531754724</v>
      </c>
      <c r="F122" s="1" t="e">
        <f t="shared" ca="1" si="7"/>
        <v>#DIV/0!</v>
      </c>
    </row>
    <row r="123" spans="1:6" x14ac:dyDescent="0.15">
      <c r="A123" s="1">
        <v>6.1495300000000004</v>
      </c>
      <c r="B123" s="1">
        <v>1.7554399999999999</v>
      </c>
      <c r="C123" s="1">
        <f t="shared" ca="1" si="4"/>
        <v>0.10070999999999941</v>
      </c>
      <c r="D123" s="1">
        <f t="shared" ca="1" si="5"/>
        <v>-39.347234909360893</v>
      </c>
      <c r="E123" s="1">
        <f t="shared" ca="1" si="6"/>
        <v>0.29226082774979617</v>
      </c>
      <c r="F123" s="1" t="e">
        <f t="shared" ca="1" si="7"/>
        <v>#DIV/0!</v>
      </c>
    </row>
    <row r="124" spans="1:6" x14ac:dyDescent="0.15">
      <c r="A124" s="1">
        <v>6.2502399999999998</v>
      </c>
      <c r="B124" s="1">
        <v>2.09646</v>
      </c>
      <c r="C124" s="1">
        <f t="shared" ca="1" si="4"/>
        <v>3.9680000000000604E-2</v>
      </c>
      <c r="D124" s="1">
        <f t="shared" ca="1" si="5"/>
        <v>44.115821391426984</v>
      </c>
      <c r="E124" s="1">
        <f t="shared" ca="1" si="6"/>
        <v>0.15786976897091806</v>
      </c>
      <c r="F124" s="1" t="e">
        <f t="shared" ca="1" si="7"/>
        <v>#DIV/0!</v>
      </c>
    </row>
    <row r="125" spans="1:6" x14ac:dyDescent="0.15">
      <c r="A125" s="1">
        <v>6.2899200000000004</v>
      </c>
      <c r="B125" s="1">
        <v>1.7103900000000001</v>
      </c>
      <c r="C125" s="1">
        <f t="shared" ca="1" si="4"/>
        <v>4.7299999999999898E-2</v>
      </c>
      <c r="D125" s="1">
        <f t="shared" ca="1" si="5"/>
        <v>-34.524396936051126</v>
      </c>
      <c r="E125" s="1">
        <f t="shared" ca="1" si="6"/>
        <v>0.28205846795372724</v>
      </c>
      <c r="F125" s="1" t="e">
        <f t="shared" ca="1" si="7"/>
        <v>#DIV/0!</v>
      </c>
    </row>
    <row r="126" spans="1:6" x14ac:dyDescent="0.15">
      <c r="A126" s="1">
        <v>6.3372200000000003</v>
      </c>
      <c r="B126" s="1">
        <v>1.94574</v>
      </c>
      <c r="C126" s="1">
        <f t="shared" ca="1" si="4"/>
        <v>4.653999999999936E-2</v>
      </c>
      <c r="D126" s="1">
        <f t="shared" ca="1" si="5"/>
        <v>25.895069713905968</v>
      </c>
      <c r="E126" s="1">
        <f t="shared" ca="1" si="6"/>
        <v>0.26695172956131258</v>
      </c>
      <c r="F126" s="1" t="e">
        <f t="shared" ca="1" si="7"/>
        <v>#DIV/0!</v>
      </c>
    </row>
    <row r="127" spans="1:6" x14ac:dyDescent="0.15">
      <c r="A127" s="1">
        <v>6.3837599999999997</v>
      </c>
      <c r="B127" s="1">
        <v>1.6417200000000001</v>
      </c>
      <c r="C127" s="1">
        <f t="shared" ca="1" si="4"/>
        <v>0.18006000000000011</v>
      </c>
      <c r="D127" s="1">
        <f t="shared" ca="1" si="5"/>
        <v>-93.426947571777532</v>
      </c>
      <c r="E127" s="1">
        <f t="shared" ca="1" si="6"/>
        <v>0.40850675361580907</v>
      </c>
      <c r="F127" s="1" t="e">
        <f t="shared" ca="1" si="7"/>
        <v>#DIV/0!</v>
      </c>
    </row>
    <row r="128" spans="1:6" x14ac:dyDescent="0.15">
      <c r="A128" s="1">
        <v>6.5638199999999998</v>
      </c>
      <c r="B128" s="1">
        <v>2.0197099999999999</v>
      </c>
      <c r="C128" s="1">
        <f t="shared" ca="1" si="4"/>
        <v>5.3400000000003445E-3</v>
      </c>
      <c r="D128" s="1">
        <f t="shared" ca="1" si="5"/>
        <v>81.514461670535866</v>
      </c>
      <c r="E128" s="1">
        <f t="shared" ca="1" si="6"/>
        <v>1.7965022266526468E-2</v>
      </c>
      <c r="F128" s="1" t="e">
        <f t="shared" ca="1" si="7"/>
        <v>#DIV/0!</v>
      </c>
    </row>
    <row r="129" spans="1:6" x14ac:dyDescent="0.15">
      <c r="A129" s="1">
        <v>6.5691600000000001</v>
      </c>
      <c r="B129" s="1">
        <v>1.8646199999999999</v>
      </c>
      <c r="C129" s="1">
        <f t="shared" ca="1" si="4"/>
        <v>7.1720000000000006E-2</v>
      </c>
      <c r="D129" s="1">
        <f t="shared" ca="1" si="5"/>
        <v>-32.798169535710798</v>
      </c>
      <c r="E129" s="1">
        <f t="shared" ca="1" si="6"/>
        <v>0.46564151628284245</v>
      </c>
      <c r="F129" s="1" t="e">
        <f t="shared" ca="1" si="7"/>
        <v>#DIV/0!</v>
      </c>
    </row>
    <row r="130" spans="1:6" x14ac:dyDescent="0.15">
      <c r="A130" s="1">
        <v>6.6408800000000001</v>
      </c>
      <c r="B130" s="1">
        <v>1.7303900000000001</v>
      </c>
      <c r="C130" s="1">
        <f t="shared" ca="1" si="4"/>
        <v>1.0679999999999801E-2</v>
      </c>
      <c r="D130" s="1">
        <f t="shared" ca="1" si="5"/>
        <v>93.170782983536171</v>
      </c>
      <c r="E130" s="1">
        <f t="shared" ca="1" si="6"/>
        <v>8.1275946857153433E-2</v>
      </c>
      <c r="F130" s="1" t="e">
        <f t="shared" ca="1" si="7"/>
        <v>#DIV/0!</v>
      </c>
    </row>
    <row r="131" spans="1:6" x14ac:dyDescent="0.15">
      <c r="A131" s="1">
        <v>6.6515599999999999</v>
      </c>
      <c r="B131" s="1">
        <v>1.5936399999999999</v>
      </c>
      <c r="C131" s="1">
        <f t="shared" ref="C131:C194" ca="1" si="8" xml:space="preserve"> OFFSET(A131, ROW()-ROW(A131)+1, 0) - OFFSET(A131, ROW()-ROW(A131), 0)</f>
        <v>1.9079999999999764E-2</v>
      </c>
      <c r="D131" s="1">
        <f t="shared" ca="1" si="5"/>
        <v>-54.633313598030718</v>
      </c>
      <c r="E131" s="1">
        <f t="shared" ca="1" si="6"/>
        <v>0.32530875025424866</v>
      </c>
      <c r="F131" s="1" t="e">
        <f t="shared" ca="1" si="7"/>
        <v>#DIV/0!</v>
      </c>
    </row>
    <row r="132" spans="1:6" x14ac:dyDescent="0.15">
      <c r="A132" s="1">
        <v>6.6706399999999997</v>
      </c>
      <c r="B132" s="1">
        <v>1.9419</v>
      </c>
      <c r="C132" s="1">
        <f t="shared" ca="1" si="8"/>
        <v>0.15488000000000035</v>
      </c>
      <c r="D132" s="1">
        <f t="shared" ref="D132:D195" ca="1" si="9" xml:space="preserve"> 3*((B134-B133)/C133 - (B133-B132)/C132)</f>
        <v>-18.619960881227243</v>
      </c>
      <c r="E132" s="1">
        <f t="shared" ca="1" si="6"/>
        <v>0.45324570787694496</v>
      </c>
      <c r="F132" s="1" t="e">
        <f t="shared" ca="1" si="7"/>
        <v>#DIV/0!</v>
      </c>
    </row>
    <row r="133" spans="1:6" x14ac:dyDescent="0.15">
      <c r="A133" s="1">
        <v>6.82552</v>
      </c>
      <c r="B133" s="1">
        <v>1.9483299999999999</v>
      </c>
      <c r="C133" s="1">
        <f t="shared" ca="1" si="8"/>
        <v>1.5259999999999607E-2</v>
      </c>
      <c r="D133" s="1">
        <f t="shared" ca="1" si="9"/>
        <v>38.567031385070514</v>
      </c>
      <c r="E133" s="1">
        <f t="shared" ref="E133:E196" ca="1" si="10" xml:space="preserve"> C133 / (2*(C132+C133) - C132*E132)</f>
        <v>5.6501504290839069E-2</v>
      </c>
      <c r="F133" s="1" t="e">
        <f t="shared" ref="F133:F196" ca="1" si="11" xml:space="preserve"> (D133 - C132*F132) / (2*(C132+C133) - C132*E132)</f>
        <v>#DIV/0!</v>
      </c>
    </row>
    <row r="134" spans="1:6" x14ac:dyDescent="0.15">
      <c r="A134" s="1">
        <v>6.8407799999999996</v>
      </c>
      <c r="B134" s="1">
        <v>1.85425</v>
      </c>
      <c r="C134" s="1">
        <f t="shared" ca="1" si="8"/>
        <v>5.2640000000000242E-2</v>
      </c>
      <c r="D134" s="1">
        <f t="shared" ca="1" si="9"/>
        <v>-45.091794433428504</v>
      </c>
      <c r="E134" s="1">
        <f t="shared" ca="1" si="10"/>
        <v>0.39010570095263336</v>
      </c>
      <c r="F134" s="1" t="e">
        <f t="shared" ca="1" si="11"/>
        <v>#DIV/0!</v>
      </c>
    </row>
    <row r="135" spans="1:6" x14ac:dyDescent="0.15">
      <c r="A135" s="1">
        <v>6.8934199999999999</v>
      </c>
      <c r="B135" s="1">
        <v>2.2064400000000002</v>
      </c>
      <c r="C135" s="1">
        <f t="shared" ca="1" si="8"/>
        <v>5.7990000000000208E-2</v>
      </c>
      <c r="D135" s="1">
        <f t="shared" ca="1" si="9"/>
        <v>42.585094743831007</v>
      </c>
      <c r="E135" s="1">
        <f t="shared" ca="1" si="10"/>
        <v>0.28890296379843511</v>
      </c>
      <c r="F135" s="1" t="e">
        <f t="shared" ca="1" si="11"/>
        <v>#DIV/0!</v>
      </c>
    </row>
    <row r="136" spans="1:6" x14ac:dyDescent="0.15">
      <c r="A136" s="1">
        <v>6.9514100000000001</v>
      </c>
      <c r="B136" s="1">
        <v>1.7228000000000001</v>
      </c>
      <c r="C136" s="1">
        <f t="shared" ca="1" si="8"/>
        <v>4.8059999999999548E-2</v>
      </c>
      <c r="D136" s="1">
        <f t="shared" ca="1" si="9"/>
        <v>-76.792366808258606</v>
      </c>
      <c r="E136" s="1">
        <f t="shared" ca="1" si="10"/>
        <v>0.24602435050419486</v>
      </c>
      <c r="F136" s="1" t="e">
        <f t="shared" ca="1" si="11"/>
        <v>#DIV/0!</v>
      </c>
    </row>
    <row r="137" spans="1:6" x14ac:dyDescent="0.15">
      <c r="A137" s="1">
        <v>6.9994699999999996</v>
      </c>
      <c r="B137" s="1">
        <v>2.0041899999999999</v>
      </c>
      <c r="C137" s="1">
        <f t="shared" ca="1" si="8"/>
        <v>2.5940000000000296E-2</v>
      </c>
      <c r="D137" s="1">
        <f t="shared" ca="1" si="9"/>
        <v>223.96479161375839</v>
      </c>
      <c r="E137" s="1">
        <f t="shared" ca="1" si="10"/>
        <v>0.19048868170695282</v>
      </c>
      <c r="F137" s="1" t="e">
        <f t="shared" ca="1" si="11"/>
        <v>#DIV/0!</v>
      </c>
    </row>
    <row r="138" spans="1:6" x14ac:dyDescent="0.15">
      <c r="A138" s="1">
        <v>7.0254099999999999</v>
      </c>
      <c r="B138" s="1">
        <v>1.49207</v>
      </c>
      <c r="C138" s="1">
        <f t="shared" ca="1" si="8"/>
        <v>1.6790000000000305E-2</v>
      </c>
      <c r="D138" s="1">
        <f t="shared" ca="1" si="9"/>
        <v>-188.91860964159059</v>
      </c>
      <c r="E138" s="1">
        <f t="shared" ca="1" si="10"/>
        <v>0.20852292796063873</v>
      </c>
      <c r="F138" s="1" t="e">
        <f t="shared" ca="1" si="11"/>
        <v>#DIV/0!</v>
      </c>
    </row>
    <row r="139" spans="1:6" x14ac:dyDescent="0.15">
      <c r="A139" s="1">
        <v>7.0422000000000002</v>
      </c>
      <c r="B139" s="1">
        <v>2.41405</v>
      </c>
      <c r="C139" s="1">
        <f t="shared" ca="1" si="8"/>
        <v>3.1279999999999752E-2</v>
      </c>
      <c r="D139" s="1">
        <f t="shared" ca="1" si="9"/>
        <v>22.352113442282054</v>
      </c>
      <c r="E139" s="1">
        <f t="shared" ca="1" si="10"/>
        <v>0.33765513177130296</v>
      </c>
      <c r="F139" s="1" t="e">
        <f t="shared" ca="1" si="11"/>
        <v>#DIV/0!</v>
      </c>
    </row>
    <row r="140" spans="1:6" x14ac:dyDescent="0.15">
      <c r="A140" s="1">
        <v>7.07348</v>
      </c>
      <c r="B140" s="1">
        <v>2.1619199999999998</v>
      </c>
      <c r="C140" s="1">
        <f t="shared" ca="1" si="8"/>
        <v>4.4249999999999901E-2</v>
      </c>
      <c r="D140" s="1">
        <f t="shared" ca="1" si="9"/>
        <v>-12.046145313068074</v>
      </c>
      <c r="E140" s="1">
        <f t="shared" ca="1" si="10"/>
        <v>0.31495077190870452</v>
      </c>
      <c r="F140" s="1" t="e">
        <f t="shared" ca="1" si="11"/>
        <v>#DIV/0!</v>
      </c>
    </row>
    <row r="141" spans="1:6" x14ac:dyDescent="0.15">
      <c r="A141" s="1">
        <v>7.1177299999999999</v>
      </c>
      <c r="B141" s="1">
        <v>2.1349399999999998</v>
      </c>
      <c r="C141" s="1">
        <f t="shared" ca="1" si="8"/>
        <v>2.5179999999999758E-2</v>
      </c>
      <c r="D141" s="1">
        <f t="shared" ca="1" si="9"/>
        <v>37.644528624671509</v>
      </c>
      <c r="E141" s="1">
        <f t="shared" ca="1" si="10"/>
        <v>0.20156347239250905</v>
      </c>
      <c r="F141" s="1" t="e">
        <f t="shared" ca="1" si="11"/>
        <v>#DIV/0!</v>
      </c>
    </row>
    <row r="142" spans="1:6" x14ac:dyDescent="0.15">
      <c r="A142" s="1">
        <v>7.1429099999999996</v>
      </c>
      <c r="B142" s="1">
        <v>2.0184799999999998</v>
      </c>
      <c r="C142" s="1">
        <f t="shared" ca="1" si="8"/>
        <v>2.8990000000000293E-2</v>
      </c>
      <c r="D142" s="1">
        <f t="shared" ca="1" si="9"/>
        <v>-44.140752864158188</v>
      </c>
      <c r="E142" s="1">
        <f t="shared" ca="1" si="10"/>
        <v>0.28073503487553236</v>
      </c>
      <c r="F142" s="1" t="e">
        <f t="shared" ca="1" si="11"/>
        <v>#DIV/0!</v>
      </c>
    </row>
    <row r="143" spans="1:6" x14ac:dyDescent="0.15">
      <c r="A143" s="1">
        <v>7.1718999999999999</v>
      </c>
      <c r="B143" s="1">
        <v>2.24817</v>
      </c>
      <c r="C143" s="1">
        <f t="shared" ca="1" si="8"/>
        <v>6.1099999999996157E-3</v>
      </c>
      <c r="D143" s="1">
        <f t="shared" ca="1" si="9"/>
        <v>-5.2530097402781211</v>
      </c>
      <c r="E143" s="1">
        <f t="shared" ca="1" si="10"/>
        <v>9.8450744063318482E-2</v>
      </c>
      <c r="F143" s="1" t="e">
        <f t="shared" ca="1" si="11"/>
        <v>#DIV/0!</v>
      </c>
    </row>
    <row r="144" spans="1:6" x14ac:dyDescent="0.15">
      <c r="A144" s="1">
        <v>7.1780099999999996</v>
      </c>
      <c r="B144" s="1">
        <v>2.20668</v>
      </c>
      <c r="C144" s="1">
        <f t="shared" ca="1" si="8"/>
        <v>3.204000000000029E-2</v>
      </c>
      <c r="D144" s="1">
        <f t="shared" ca="1" si="9"/>
        <v>8.7764735827785643</v>
      </c>
      <c r="E144" s="1">
        <f t="shared" ca="1" si="10"/>
        <v>0.42325824699758463</v>
      </c>
      <c r="F144" s="1" t="e">
        <f t="shared" ca="1" si="11"/>
        <v>#DIV/0!</v>
      </c>
    </row>
    <row r="145" spans="1:6" x14ac:dyDescent="0.15">
      <c r="A145" s="1">
        <v>7.2100499999999998</v>
      </c>
      <c r="B145" s="1">
        <v>1.9330099999999999</v>
      </c>
      <c r="C145" s="1">
        <f t="shared" ca="1" si="8"/>
        <v>2.0599999999999952E-2</v>
      </c>
      <c r="D145" s="1">
        <f t="shared" ca="1" si="9"/>
        <v>22.04647989842492</v>
      </c>
      <c r="E145" s="1">
        <f t="shared" ca="1" si="10"/>
        <v>0.22459952272505407</v>
      </c>
      <c r="F145" s="1" t="e">
        <f t="shared" ca="1" si="11"/>
        <v>#DIV/0!</v>
      </c>
    </row>
    <row r="146" spans="1:6" x14ac:dyDescent="0.15">
      <c r="A146" s="1">
        <v>7.2306499999999998</v>
      </c>
      <c r="B146" s="1">
        <v>1.81732</v>
      </c>
      <c r="C146" s="1">
        <f t="shared" ca="1" si="8"/>
        <v>7.0960000000000356E-2</v>
      </c>
      <c r="D146" s="1">
        <f t="shared" ca="1" si="9"/>
        <v>7.8852903428173793</v>
      </c>
      <c r="E146" s="1">
        <f t="shared" ca="1" si="10"/>
        <v>0.39755004778523911</v>
      </c>
      <c r="F146" s="1" t="e">
        <f t="shared" ca="1" si="11"/>
        <v>#DIV/0!</v>
      </c>
    </row>
    <row r="147" spans="1:6" x14ac:dyDescent="0.15">
      <c r="A147" s="1">
        <v>7.3016100000000002</v>
      </c>
      <c r="B147" s="1">
        <v>1.94028</v>
      </c>
      <c r="C147" s="1">
        <f t="shared" ca="1" si="8"/>
        <v>5.7220000000000049E-2</v>
      </c>
      <c r="D147" s="1">
        <f t="shared" ca="1" si="9"/>
        <v>-1.3965844560378913</v>
      </c>
      <c r="E147" s="1">
        <f t="shared" ca="1" si="10"/>
        <v>0.25080007875886312</v>
      </c>
      <c r="F147" s="1" t="e">
        <f t="shared" ca="1" si="11"/>
        <v>#DIV/0!</v>
      </c>
    </row>
    <row r="148" spans="1:6" x14ac:dyDescent="0.15">
      <c r="A148" s="1">
        <v>7.3588300000000002</v>
      </c>
      <c r="B148" s="1">
        <v>2.1898300000000002</v>
      </c>
      <c r="C148" s="1">
        <f t="shared" ca="1" si="8"/>
        <v>1.6779999999999795E-2</v>
      </c>
      <c r="D148" s="1">
        <f t="shared" ca="1" si="9"/>
        <v>-33.500230981053065</v>
      </c>
      <c r="E148" s="1">
        <f t="shared" ca="1" si="10"/>
        <v>0.12555254765873319</v>
      </c>
      <c r="F148" s="1" t="e">
        <f t="shared" ca="1" si="11"/>
        <v>#DIV/0!</v>
      </c>
    </row>
    <row r="149" spans="1:6" x14ac:dyDescent="0.15">
      <c r="A149" s="1">
        <v>7.37561</v>
      </c>
      <c r="B149" s="1">
        <v>2.2551999999999999</v>
      </c>
      <c r="C149" s="1">
        <f t="shared" ca="1" si="8"/>
        <v>1.4499999999999957E-2</v>
      </c>
      <c r="D149" s="1">
        <f t="shared" ca="1" si="9"/>
        <v>27.67623193989597</v>
      </c>
      <c r="E149" s="1">
        <f t="shared" ca="1" si="10"/>
        <v>0.23985485009944629</v>
      </c>
      <c r="F149" s="1" t="e">
        <f t="shared" ca="1" si="11"/>
        <v>#DIV/0!</v>
      </c>
    </row>
    <row r="150" spans="1:6" x14ac:dyDescent="0.15">
      <c r="A150" s="1">
        <v>7.39011</v>
      </c>
      <c r="B150" s="1">
        <v>2.1497700000000002</v>
      </c>
      <c r="C150" s="1">
        <f t="shared" ca="1" si="8"/>
        <v>0.13961999999999986</v>
      </c>
      <c r="D150" s="1">
        <f t="shared" ca="1" si="9"/>
        <v>-16.74359404682615</v>
      </c>
      <c r="E150" s="1">
        <f t="shared" ca="1" si="10"/>
        <v>0.45812782448642086</v>
      </c>
      <c r="F150" s="1" t="e">
        <f t="shared" ca="1" si="11"/>
        <v>#DIV/0!</v>
      </c>
    </row>
    <row r="151" spans="1:6" x14ac:dyDescent="0.15">
      <c r="A151" s="1">
        <v>7.5297299999999998</v>
      </c>
      <c r="B151" s="1">
        <v>2.4226399999999999</v>
      </c>
      <c r="C151" s="1">
        <f t="shared" ca="1" si="8"/>
        <v>9.5369999999999955E-2</v>
      </c>
      <c r="D151" s="1">
        <f t="shared" ca="1" si="9"/>
        <v>4.0986991734396323</v>
      </c>
      <c r="E151" s="1">
        <f t="shared" ca="1" si="10"/>
        <v>0.23489210925607665</v>
      </c>
      <c r="F151" s="1" t="e">
        <f t="shared" ca="1" si="11"/>
        <v>#DIV/0!</v>
      </c>
    </row>
    <row r="152" spans="1:6" x14ac:dyDescent="0.15">
      <c r="A152" s="1">
        <v>7.6250999999999998</v>
      </c>
      <c r="B152" s="1">
        <v>2.0767500000000001</v>
      </c>
      <c r="C152" s="1">
        <f t="shared" ca="1" si="8"/>
        <v>5.2649999999999864E-2</v>
      </c>
      <c r="D152" s="1">
        <f t="shared" ca="1" si="9"/>
        <v>3.0525208239452777</v>
      </c>
      <c r="E152" s="1">
        <f t="shared" ca="1" si="10"/>
        <v>0.1924072485180971</v>
      </c>
      <c r="F152" s="1" t="e">
        <f t="shared" ca="1" si="11"/>
        <v>#DIV/0!</v>
      </c>
    </row>
    <row r="153" spans="1:6" x14ac:dyDescent="0.15">
      <c r="A153" s="1">
        <v>7.6777499999999996</v>
      </c>
      <c r="B153" s="1">
        <v>1.95773</v>
      </c>
      <c r="C153" s="1">
        <f t="shared" ca="1" si="8"/>
        <v>6.8660000000000387E-2</v>
      </c>
      <c r="D153" s="1">
        <f t="shared" ca="1" si="9"/>
        <v>115.69867787221483</v>
      </c>
      <c r="E153" s="1">
        <f t="shared" ca="1" si="10"/>
        <v>0.2953248370281002</v>
      </c>
      <c r="F153" s="1" t="e">
        <f t="shared" ca="1" si="11"/>
        <v>#DIV/0!</v>
      </c>
    </row>
    <row r="154" spans="1:6" x14ac:dyDescent="0.15">
      <c r="A154" s="1">
        <v>7.74641</v>
      </c>
      <c r="B154" s="1">
        <v>1.8723799999999999</v>
      </c>
      <c r="C154" s="1">
        <f t="shared" ca="1" si="8"/>
        <v>2.2900000000003473E-3</v>
      </c>
      <c r="D154" s="1">
        <f t="shared" ca="1" si="9"/>
        <v>-66.876401623856268</v>
      </c>
      <c r="E154" s="1">
        <f t="shared" ca="1" si="10"/>
        <v>1.8828676009717053E-2</v>
      </c>
      <c r="F154" s="1" t="e">
        <f t="shared" ca="1" si="11"/>
        <v>#DIV/0!</v>
      </c>
    </row>
    <row r="155" spans="1:6" x14ac:dyDescent="0.15">
      <c r="A155" s="1">
        <v>7.7487000000000004</v>
      </c>
      <c r="B155" s="1">
        <v>1.9578500000000001</v>
      </c>
      <c r="C155" s="1">
        <f t="shared" ca="1" si="8"/>
        <v>3.1279999999999752E-2</v>
      </c>
      <c r="D155" s="1">
        <f t="shared" ca="1" si="9"/>
        <v>-63.096835382991657</v>
      </c>
      <c r="E155" s="1">
        <f t="shared" ca="1" si="10"/>
        <v>0.46619155634166554</v>
      </c>
      <c r="F155" s="1" t="e">
        <f t="shared" ca="1" si="11"/>
        <v>#DIV/0!</v>
      </c>
    </row>
    <row r="156" spans="1:6" x14ac:dyDescent="0.15">
      <c r="A156" s="1">
        <v>7.7799800000000001</v>
      </c>
      <c r="B156" s="1">
        <v>2.4280200000000001</v>
      </c>
      <c r="C156" s="1">
        <f t="shared" ca="1" si="8"/>
        <v>4.7309999999999519E-2</v>
      </c>
      <c r="D156" s="1">
        <f t="shared" ca="1" si="9"/>
        <v>12.890413440207398</v>
      </c>
      <c r="E156" s="1">
        <f t="shared" ca="1" si="10"/>
        <v>0.33177293200322955</v>
      </c>
      <c r="F156" s="1" t="e">
        <f t="shared" ca="1" si="11"/>
        <v>#DIV/0!</v>
      </c>
    </row>
    <row r="157" spans="1:6" x14ac:dyDescent="0.15">
      <c r="A157" s="1">
        <v>7.8272899999999996</v>
      </c>
      <c r="B157" s="1">
        <v>2.1440999999999999</v>
      </c>
      <c r="C157" s="1">
        <f t="shared" ca="1" si="8"/>
        <v>0.13352000000000075</v>
      </c>
      <c r="D157" s="1">
        <f t="shared" ca="1" si="9"/>
        <v>17.7545759630733</v>
      </c>
      <c r="E157" s="1">
        <f t="shared" ca="1" si="10"/>
        <v>0.38593630687050262</v>
      </c>
      <c r="F157" s="1" t="e">
        <f t="shared" ca="1" si="11"/>
        <v>#DIV/0!</v>
      </c>
    </row>
    <row r="158" spans="1:6" x14ac:dyDescent="0.15">
      <c r="A158" s="1">
        <v>7.9608100000000004</v>
      </c>
      <c r="B158" s="1">
        <v>1.91652</v>
      </c>
      <c r="C158" s="1">
        <f t="shared" ca="1" si="8"/>
        <v>9.994000000000014E-2</v>
      </c>
      <c r="D158" s="1">
        <f t="shared" ca="1" si="9"/>
        <v>-16.579207577530322</v>
      </c>
      <c r="E158" s="1">
        <f t="shared" ca="1" si="10"/>
        <v>0.24059330242513075</v>
      </c>
      <c r="F158" s="1" t="e">
        <f t="shared" ca="1" si="11"/>
        <v>#DIV/0!</v>
      </c>
    </row>
    <row r="159" spans="1:6" x14ac:dyDescent="0.15">
      <c r="A159" s="1">
        <v>8.0607500000000005</v>
      </c>
      <c r="B159" s="1">
        <v>2.3376399999999999</v>
      </c>
      <c r="C159" s="1">
        <f t="shared" ca="1" si="8"/>
        <v>0.14344000000000001</v>
      </c>
      <c r="D159" s="1">
        <f t="shared" ca="1" si="9"/>
        <v>40.418494688460143</v>
      </c>
      <c r="E159" s="1">
        <f t="shared" ca="1" si="10"/>
        <v>0.30999636350699028</v>
      </c>
      <c r="F159" s="1" t="e">
        <f t="shared" ca="1" si="11"/>
        <v>#DIV/0!</v>
      </c>
    </row>
    <row r="160" spans="1:6" x14ac:dyDescent="0.15">
      <c r="A160" s="1">
        <v>8.2041900000000005</v>
      </c>
      <c r="B160" s="1">
        <v>2.1493500000000001</v>
      </c>
      <c r="C160" s="1">
        <f t="shared" ca="1" si="8"/>
        <v>3.8149999999999906E-2</v>
      </c>
      <c r="D160" s="1">
        <f t="shared" ca="1" si="9"/>
        <v>-93.768257655555104</v>
      </c>
      <c r="E160" s="1">
        <f t="shared" ca="1" si="10"/>
        <v>0.11969974786890214</v>
      </c>
      <c r="F160" s="1" t="e">
        <f t="shared" ca="1" si="11"/>
        <v>#DIV/0!</v>
      </c>
    </row>
    <row r="161" spans="1:6" x14ac:dyDescent="0.15">
      <c r="A161" s="1">
        <v>8.2423400000000004</v>
      </c>
      <c r="B161" s="1">
        <v>2.6132599999999999</v>
      </c>
      <c r="C161" s="1">
        <f t="shared" ca="1" si="8"/>
        <v>3.5859999999999559E-2</v>
      </c>
      <c r="D161" s="1">
        <f t="shared" ca="1" si="9"/>
        <v>109.26999557162604</v>
      </c>
      <c r="E161" s="1">
        <f t="shared" ca="1" si="10"/>
        <v>0.24997655229210436</v>
      </c>
      <c r="F161" s="1" t="e">
        <f t="shared" ca="1" si="11"/>
        <v>#DIV/0!</v>
      </c>
    </row>
    <row r="162" spans="1:6" x14ac:dyDescent="0.15">
      <c r="A162" s="1">
        <v>8.2782</v>
      </c>
      <c r="B162" s="1">
        <v>1.92848</v>
      </c>
      <c r="C162" s="1">
        <f t="shared" ca="1" si="8"/>
        <v>3.204000000000029E-2</v>
      </c>
      <c r="D162" s="1">
        <f t="shared" ca="1" si="9"/>
        <v>-89.242811125645716</v>
      </c>
      <c r="E162" s="1">
        <f t="shared" ca="1" si="10"/>
        <v>0.25260998617677954</v>
      </c>
      <c r="F162" s="1" t="e">
        <f t="shared" ca="1" si="11"/>
        <v>#DIV/0!</v>
      </c>
    </row>
    <row r="163" spans="1:6" x14ac:dyDescent="0.15">
      <c r="A163" s="1">
        <v>8.3102400000000003</v>
      </c>
      <c r="B163" s="1">
        <v>2.4836499999999999</v>
      </c>
      <c r="C163" s="1">
        <f t="shared" ca="1" si="8"/>
        <v>3.8909999999999556E-2</v>
      </c>
      <c r="D163" s="1">
        <f t="shared" ca="1" si="9"/>
        <v>23.240088567305655</v>
      </c>
      <c r="E163" s="1">
        <f t="shared" ca="1" si="10"/>
        <v>0.29079331755854293</v>
      </c>
      <c r="F163" s="1" t="e">
        <f t="shared" ca="1" si="11"/>
        <v>#DIV/0!</v>
      </c>
    </row>
    <row r="164" spans="1:6" x14ac:dyDescent="0.15">
      <c r="A164" s="1">
        <v>8.3491499999999998</v>
      </c>
      <c r="B164" s="1">
        <v>2.0003799999999998</v>
      </c>
      <c r="C164" s="1">
        <f t="shared" ca="1" si="8"/>
        <v>1.7549999999999955E-2</v>
      </c>
      <c r="D164" s="1">
        <f t="shared" ca="1" si="9"/>
        <v>12.521789416257494</v>
      </c>
      <c r="E164" s="1">
        <f t="shared" ca="1" si="10"/>
        <v>0.17272732567174262</v>
      </c>
      <c r="F164" s="1" t="e">
        <f t="shared" ca="1" si="11"/>
        <v>#DIV/0!</v>
      </c>
    </row>
    <row r="165" spans="1:6" x14ac:dyDescent="0.15">
      <c r="A165" s="1">
        <v>8.3666999999999998</v>
      </c>
      <c r="B165" s="1">
        <v>1.9183600000000001</v>
      </c>
      <c r="C165" s="1">
        <f t="shared" ca="1" si="8"/>
        <v>5.8749999999999858E-2</v>
      </c>
      <c r="D165" s="1">
        <f t="shared" ca="1" si="9"/>
        <v>6.8653546476133283</v>
      </c>
      <c r="E165" s="1">
        <f t="shared" ca="1" si="10"/>
        <v>0.39279625590850231</v>
      </c>
      <c r="F165" s="1" t="e">
        <f t="shared" ca="1" si="11"/>
        <v>#DIV/0!</v>
      </c>
    </row>
    <row r="166" spans="1:6" x14ac:dyDescent="0.15">
      <c r="A166" s="1">
        <v>8.4254499999999997</v>
      </c>
      <c r="B166" s="1">
        <v>1.8890100000000001</v>
      </c>
      <c r="C166" s="1">
        <f t="shared" ca="1" si="8"/>
        <v>2.8230000000000643E-2</v>
      </c>
      <c r="D166" s="1">
        <f t="shared" ca="1" si="9"/>
        <v>-4.4027607168022769</v>
      </c>
      <c r="E166" s="1">
        <f t="shared" ca="1" si="10"/>
        <v>0.18709834007041098</v>
      </c>
      <c r="F166" s="1" t="e">
        <f t="shared" ca="1" si="11"/>
        <v>#DIV/0!</v>
      </c>
    </row>
    <row r="167" spans="1:6" x14ac:dyDescent="0.15">
      <c r="A167" s="1">
        <v>8.4536800000000003</v>
      </c>
      <c r="B167" s="1">
        <v>1.9395100000000001</v>
      </c>
      <c r="C167" s="1">
        <f t="shared" ca="1" si="8"/>
        <v>0.1754800000000003</v>
      </c>
      <c r="D167" s="1">
        <f t="shared" ca="1" si="9"/>
        <v>16.695958533273416</v>
      </c>
      <c r="E167" s="1">
        <f t="shared" ca="1" si="10"/>
        <v>0.43636738303406519</v>
      </c>
      <c r="F167" s="1" t="e">
        <f t="shared" ca="1" si="11"/>
        <v>#DIV/0!</v>
      </c>
    </row>
    <row r="168" spans="1:6" x14ac:dyDescent="0.15">
      <c r="A168" s="1">
        <v>8.6291600000000006</v>
      </c>
      <c r="B168" s="1">
        <v>1.9958899999999999</v>
      </c>
      <c r="C168" s="1">
        <f t="shared" ca="1" si="8"/>
        <v>1.7549999999999955E-2</v>
      </c>
      <c r="D168" s="1">
        <f t="shared" ca="1" si="9"/>
        <v>-17.397483935031161</v>
      </c>
      <c r="E168" s="1">
        <f t="shared" ca="1" si="10"/>
        <v>5.670688086414475E-2</v>
      </c>
      <c r="F168" s="1" t="e">
        <f t="shared" ca="1" si="11"/>
        <v>#DIV/0!</v>
      </c>
    </row>
    <row r="169" spans="1:6" x14ac:dyDescent="0.15">
      <c r="A169" s="1">
        <v>8.6467100000000006</v>
      </c>
      <c r="B169" s="1">
        <v>2.0992000000000002</v>
      </c>
      <c r="C169" s="1">
        <f t="shared" ca="1" si="8"/>
        <v>5.5690000000000239E-2</v>
      </c>
      <c r="D169" s="1">
        <f t="shared" ca="1" si="9"/>
        <v>-2.8137315229219282</v>
      </c>
      <c r="E169" s="1">
        <f t="shared" ca="1" si="10"/>
        <v>0.38278914501409228</v>
      </c>
      <c r="F169" s="1" t="e">
        <f t="shared" ca="1" si="11"/>
        <v>#DIV/0!</v>
      </c>
    </row>
    <row r="170" spans="1:6" x14ac:dyDescent="0.15">
      <c r="A170" s="1">
        <v>8.7024000000000008</v>
      </c>
      <c r="B170" s="1">
        <v>2.1040700000000001</v>
      </c>
      <c r="C170" s="1">
        <f t="shared" ca="1" si="8"/>
        <v>7.2489999999998389E-2</v>
      </c>
      <c r="D170" s="1">
        <f t="shared" ca="1" si="9"/>
        <v>27.90429901948324</v>
      </c>
      <c r="E170" s="1">
        <f t="shared" ca="1" si="10"/>
        <v>0.3084123444779987</v>
      </c>
      <c r="F170" s="1" t="e">
        <f t="shared" ca="1" si="11"/>
        <v>#DIV/0!</v>
      </c>
    </row>
    <row r="171" spans="1:6" x14ac:dyDescent="0.15">
      <c r="A171" s="1">
        <v>8.7748899999999992</v>
      </c>
      <c r="B171" s="1">
        <v>2.0424199999999999</v>
      </c>
      <c r="C171" s="1">
        <f t="shared" ca="1" si="8"/>
        <v>2.0599999999999952E-2</v>
      </c>
      <c r="D171" s="1">
        <f t="shared" ca="1" si="9"/>
        <v>-28.269428047856564</v>
      </c>
      <c r="E171" s="1">
        <f t="shared" ca="1" si="10"/>
        <v>0.12574532401081923</v>
      </c>
      <c r="F171" s="1" t="e">
        <f t="shared" ca="1" si="11"/>
        <v>#DIV/0!</v>
      </c>
    </row>
    <row r="172" spans="1:6" x14ac:dyDescent="0.15">
      <c r="A172" s="1">
        <v>8.7954899999999991</v>
      </c>
      <c r="B172" s="1">
        <v>2.21651</v>
      </c>
      <c r="C172" s="1">
        <f t="shared" ca="1" si="8"/>
        <v>4.9590000000000245E-2</v>
      </c>
      <c r="D172" s="1">
        <f t="shared" ca="1" si="9"/>
        <v>-27.381865452451674</v>
      </c>
      <c r="E172" s="1">
        <f t="shared" ca="1" si="10"/>
        <v>0.3598964169114568</v>
      </c>
      <c r="F172" s="1" t="e">
        <f t="shared" ca="1" si="11"/>
        <v>#DIV/0!</v>
      </c>
    </row>
    <row r="173" spans="1:6" x14ac:dyDescent="0.15">
      <c r="A173" s="1">
        <v>8.8450799999999994</v>
      </c>
      <c r="B173" s="1">
        <v>2.1682999999999999</v>
      </c>
      <c r="C173" s="1">
        <f t="shared" ca="1" si="8"/>
        <v>1.2970000000001036E-2</v>
      </c>
      <c r="D173" s="1">
        <f t="shared" ca="1" si="9"/>
        <v>-468.62318774885443</v>
      </c>
      <c r="E173" s="1">
        <f t="shared" ca="1" si="10"/>
        <v>0.12090676905207275</v>
      </c>
      <c r="F173" s="1" t="e">
        <f t="shared" ca="1" si="11"/>
        <v>#DIV/0!</v>
      </c>
    </row>
    <row r="174" spans="1:6" x14ac:dyDescent="0.15">
      <c r="A174" s="1">
        <v>8.8580500000000004</v>
      </c>
      <c r="B174" s="1">
        <v>2.0373100000000002</v>
      </c>
      <c r="C174" s="1">
        <f t="shared" ca="1" si="8"/>
        <v>1.5299999999989211E-3</v>
      </c>
      <c r="D174" s="1">
        <f t="shared" ca="1" si="9"/>
        <v>705.57343542898479</v>
      </c>
      <c r="E174" s="1">
        <f t="shared" ca="1" si="10"/>
        <v>5.5774605141971315E-2</v>
      </c>
      <c r="F174" s="1" t="e">
        <f t="shared" ca="1" si="11"/>
        <v>#DIV/0!</v>
      </c>
    </row>
    <row r="175" spans="1:6" x14ac:dyDescent="0.15">
      <c r="A175" s="1">
        <v>8.8595799999999993</v>
      </c>
      <c r="B175" s="1">
        <v>1.7828599999999999</v>
      </c>
      <c r="C175" s="1">
        <f t="shared" ca="1" si="8"/>
        <v>9.9100000000014177E-3</v>
      </c>
      <c r="D175" s="1">
        <f t="shared" ca="1" si="9"/>
        <v>-230.3570609986553</v>
      </c>
      <c r="E175" s="1">
        <f t="shared" ca="1" si="10"/>
        <v>0.43475085347457376</v>
      </c>
      <c r="F175" s="1" t="e">
        <f t="shared" ca="1" si="11"/>
        <v>#DIV/0!</v>
      </c>
    </row>
    <row r="176" spans="1:6" x14ac:dyDescent="0.15">
      <c r="A176" s="1">
        <v>8.8694900000000008</v>
      </c>
      <c r="B176" s="1">
        <v>2.4655</v>
      </c>
      <c r="C176" s="1">
        <f t="shared" ca="1" si="8"/>
        <v>2.1369999999999223E-2</v>
      </c>
      <c r="D176" s="1">
        <f t="shared" ca="1" si="9"/>
        <v>-40.524841559381372</v>
      </c>
      <c r="E176" s="1">
        <f t="shared" ca="1" si="10"/>
        <v>0.36685675611121515</v>
      </c>
      <c r="F176" s="1" t="e">
        <f t="shared" ca="1" si="11"/>
        <v>#DIV/0!</v>
      </c>
    </row>
    <row r="177" spans="1:6" x14ac:dyDescent="0.15">
      <c r="A177" s="1">
        <v>8.89086</v>
      </c>
      <c r="B177" s="1">
        <v>2.29664</v>
      </c>
      <c r="C177" s="1">
        <f t="shared" ca="1" si="8"/>
        <v>2.5169999999999249E-2</v>
      </c>
      <c r="D177" s="1">
        <f t="shared" ca="1" si="9"/>
        <v>154.83003575685569</v>
      </c>
      <c r="E177" s="1">
        <f t="shared" ca="1" si="10"/>
        <v>0.29528296506711116</v>
      </c>
      <c r="F177" s="1" t="e">
        <f t="shared" ca="1" si="11"/>
        <v>#DIV/0!</v>
      </c>
    </row>
    <row r="178" spans="1:6" x14ac:dyDescent="0.15">
      <c r="A178" s="1">
        <v>8.9160299999999992</v>
      </c>
      <c r="B178" s="1">
        <v>1.7577499999999999</v>
      </c>
      <c r="C178" s="1">
        <f t="shared" ca="1" si="8"/>
        <v>8.3999999999999631E-3</v>
      </c>
      <c r="D178" s="1">
        <f t="shared" ca="1" si="9"/>
        <v>-91.824300441826551</v>
      </c>
      <c r="E178" s="1">
        <f t="shared" ca="1" si="10"/>
        <v>0.1406853068075504</v>
      </c>
      <c r="F178" s="1" t="e">
        <f t="shared" ca="1" si="11"/>
        <v>#DIV/0!</v>
      </c>
    </row>
    <row r="179" spans="1:6" x14ac:dyDescent="0.15">
      <c r="A179" s="1">
        <v>8.9244299999999992</v>
      </c>
      <c r="B179" s="1">
        <v>2.0114299999999998</v>
      </c>
      <c r="C179" s="1">
        <f t="shared" ca="1" si="8"/>
        <v>6.7900000000001626E-2</v>
      </c>
      <c r="D179" s="1">
        <f t="shared" ca="1" si="9"/>
        <v>19.369461732150128</v>
      </c>
      <c r="E179" s="1">
        <f t="shared" ca="1" si="10"/>
        <v>0.44842681083281299</v>
      </c>
      <c r="F179" s="1" t="e">
        <f t="shared" ca="1" si="11"/>
        <v>#DIV/0!</v>
      </c>
    </row>
    <row r="180" spans="1:6" x14ac:dyDescent="0.15">
      <c r="A180" s="1">
        <v>8.9923300000000008</v>
      </c>
      <c r="B180" s="1">
        <v>1.9837199999999999</v>
      </c>
      <c r="C180" s="1">
        <f t="shared" ca="1" si="8"/>
        <v>9.9199999999992627E-3</v>
      </c>
      <c r="D180" s="1">
        <f t="shared" ca="1" si="9"/>
        <v>-16.839278937382765</v>
      </c>
      <c r="E180" s="1">
        <f t="shared" ca="1" si="10"/>
        <v>7.9238404203214527E-2</v>
      </c>
      <c r="F180" s="1" t="e">
        <f t="shared" ca="1" si="11"/>
        <v>#DIV/0!</v>
      </c>
    </row>
    <row r="181" spans="1:6" x14ac:dyDescent="0.15">
      <c r="A181" s="1">
        <v>9.0022500000000001</v>
      </c>
      <c r="B181" s="1">
        <v>2.04372</v>
      </c>
      <c r="C181" s="1">
        <f t="shared" ca="1" si="8"/>
        <v>2.9749999999999943E-2</v>
      </c>
      <c r="D181" s="1">
        <f t="shared" ca="1" si="9"/>
        <v>6.9431346850666031</v>
      </c>
      <c r="E181" s="1">
        <f t="shared" ca="1" si="10"/>
        <v>0.37872058750604892</v>
      </c>
      <c r="F181" s="1" t="e">
        <f t="shared" ca="1" si="11"/>
        <v>#DIV/0!</v>
      </c>
    </row>
    <row r="182" spans="1:6" x14ac:dyDescent="0.15">
      <c r="A182" s="1">
        <v>9.032</v>
      </c>
      <c r="B182" s="1">
        <v>2.05667</v>
      </c>
      <c r="C182" s="1">
        <f t="shared" ca="1" si="8"/>
        <v>2.2890000000000299E-2</v>
      </c>
      <c r="D182" s="1">
        <f t="shared" ca="1" si="9"/>
        <v>29.749920262737621</v>
      </c>
      <c r="E182" s="1">
        <f t="shared" ca="1" si="10"/>
        <v>0.24347680403154545</v>
      </c>
      <c r="F182" s="1" t="e">
        <f t="shared" ca="1" si="11"/>
        <v>#DIV/0!</v>
      </c>
    </row>
    <row r="183" spans="1:6" x14ac:dyDescent="0.15">
      <c r="A183" s="1">
        <v>9.0548900000000003</v>
      </c>
      <c r="B183" s="1">
        <v>2.1196100000000002</v>
      </c>
      <c r="C183" s="1">
        <f t="shared" ca="1" si="8"/>
        <v>2.8229999999998867E-2</v>
      </c>
      <c r="D183" s="1">
        <f t="shared" ca="1" si="9"/>
        <v>-241.62147989574666</v>
      </c>
      <c r="E183" s="1">
        <f t="shared" ca="1" si="10"/>
        <v>0.29203403175016385</v>
      </c>
      <c r="F183" s="1" t="e">
        <f t="shared" ca="1" si="11"/>
        <v>#DIV/0!</v>
      </c>
    </row>
    <row r="184" spans="1:6" x14ac:dyDescent="0.15">
      <c r="A184" s="1">
        <v>9.0831199999999992</v>
      </c>
      <c r="B184" s="1">
        <v>2.4771800000000002</v>
      </c>
      <c r="C184" s="1">
        <f t="shared" ca="1" si="8"/>
        <v>7.6300000000006918E-3</v>
      </c>
      <c r="D184" s="1">
        <f t="shared" ca="1" si="9"/>
        <v>1457.7394257130713</v>
      </c>
      <c r="E184" s="1">
        <f t="shared" ca="1" si="10"/>
        <v>0.12020313993446211</v>
      </c>
      <c r="F184" s="1" t="e">
        <f t="shared" ca="1" si="11"/>
        <v>#DIV/0!</v>
      </c>
    </row>
    <row r="185" spans="1:6" x14ac:dyDescent="0.15">
      <c r="A185" s="1">
        <v>9.0907499999999999</v>
      </c>
      <c r="B185" s="1">
        <v>1.9593</v>
      </c>
      <c r="C185" s="1">
        <f t="shared" ca="1" si="8"/>
        <v>7.6999999999927127E-4</v>
      </c>
      <c r="D185" s="1">
        <f t="shared" ca="1" si="9"/>
        <v>-1059.7616199602373</v>
      </c>
      <c r="E185" s="1">
        <f t="shared" ca="1" si="10"/>
        <v>4.8479964108996423E-2</v>
      </c>
      <c r="F185" s="1" t="e">
        <f t="shared" ca="1" si="11"/>
        <v>#DIV/0!</v>
      </c>
    </row>
    <row r="186" spans="1:6" x14ac:dyDescent="0.15">
      <c r="A186" s="1">
        <v>9.0915199999999992</v>
      </c>
      <c r="B186" s="1">
        <v>2.2811900000000001</v>
      </c>
      <c r="C186" s="1">
        <f t="shared" ca="1" si="8"/>
        <v>2.2800000000007259E-3</v>
      </c>
      <c r="D186" s="1">
        <f t="shared" ca="1" si="9"/>
        <v>-255.54798160443494</v>
      </c>
      <c r="E186" s="1">
        <f t="shared" ca="1" si="10"/>
        <v>0.37607190217821573</v>
      </c>
      <c r="F186" s="1" t="e">
        <f t="shared" ca="1" si="11"/>
        <v>#DIV/0!</v>
      </c>
    </row>
    <row r="187" spans="1:6" x14ac:dyDescent="0.15">
      <c r="A187" s="1">
        <v>9.0937999999999999</v>
      </c>
      <c r="B187" s="1">
        <v>2.4289000000000001</v>
      </c>
      <c r="C187" s="1">
        <f t="shared" ca="1" si="8"/>
        <v>2.0599999999999952E-2</v>
      </c>
      <c r="D187" s="1" t="e">
        <f t="shared" ca="1" si="9"/>
        <v>#DIV/0!</v>
      </c>
      <c r="E187" s="1">
        <f t="shared" ca="1" si="10"/>
        <v>0.45877121050929537</v>
      </c>
      <c r="F187" s="1" t="e">
        <f t="shared" ca="1" si="11"/>
        <v>#DIV/0!</v>
      </c>
    </row>
    <row r="188" spans="1:6" x14ac:dyDescent="0.15">
      <c r="A188" s="1">
        <v>9.1143999999999998</v>
      </c>
      <c r="B188" s="1">
        <v>2.0087100000000002</v>
      </c>
      <c r="C188" s="1">
        <f t="shared" ca="1" si="8"/>
        <v>0</v>
      </c>
      <c r="D188" s="1" t="e">
        <f t="shared" ca="1" si="9"/>
        <v>#DIV/0!</v>
      </c>
      <c r="E188" s="1">
        <f t="shared" ca="1" si="10"/>
        <v>0</v>
      </c>
      <c r="F188" s="1" t="e">
        <f t="shared" ca="1" si="11"/>
        <v>#DIV/0!</v>
      </c>
    </row>
    <row r="189" spans="1:6" x14ac:dyDescent="0.15">
      <c r="A189" s="1">
        <v>9.1143999999999998</v>
      </c>
      <c r="B189" s="1">
        <v>2.2592500000000002</v>
      </c>
      <c r="C189" s="1">
        <f t="shared" ca="1" si="8"/>
        <v>6.7149999999999821E-2</v>
      </c>
      <c r="D189" s="1">
        <f t="shared" ca="1" si="9"/>
        <v>-89.327524028452956</v>
      </c>
      <c r="E189" s="1">
        <f t="shared" ca="1" si="10"/>
        <v>0.5</v>
      </c>
      <c r="F189" s="1" t="e">
        <f t="shared" ca="1" si="11"/>
        <v>#DIV/0!</v>
      </c>
    </row>
    <row r="190" spans="1:6" x14ac:dyDescent="0.15">
      <c r="A190" s="1">
        <v>9.1815499999999997</v>
      </c>
      <c r="B190" s="1">
        <v>2.2436099999999999</v>
      </c>
      <c r="C190" s="1">
        <f t="shared" ca="1" si="8"/>
        <v>4.5700000000010732E-3</v>
      </c>
      <c r="D190" s="1">
        <f t="shared" ca="1" si="9"/>
        <v>94.695535264443222</v>
      </c>
      <c r="E190" s="1">
        <f t="shared" ca="1" si="10"/>
        <v>4.1596504801356168E-2</v>
      </c>
      <c r="F190" s="1" t="e">
        <f t="shared" ca="1" si="11"/>
        <v>#DIV/0!</v>
      </c>
    </row>
    <row r="191" spans="1:6" x14ac:dyDescent="0.15">
      <c r="A191" s="1">
        <v>9.1861200000000007</v>
      </c>
      <c r="B191" s="1">
        <v>2.1064699999999998</v>
      </c>
      <c r="C191" s="1">
        <f t="shared" ca="1" si="8"/>
        <v>0.12130999999999936</v>
      </c>
      <c r="D191" s="1">
        <f t="shared" ca="1" si="9"/>
        <v>4.5787728632218592</v>
      </c>
      <c r="E191" s="1">
        <f t="shared" ca="1" si="10"/>
        <v>0.48221189452372182</v>
      </c>
      <c r="F191" s="1" t="e">
        <f t="shared" ca="1" si="11"/>
        <v>#DIV/0!</v>
      </c>
    </row>
    <row r="192" spans="1:6" x14ac:dyDescent="0.15">
      <c r="A192" s="1">
        <v>9.3074300000000001</v>
      </c>
      <c r="B192" s="1">
        <v>2.29528</v>
      </c>
      <c r="C192" s="1">
        <f t="shared" ca="1" si="8"/>
        <v>3.2049999999999912E-2</v>
      </c>
      <c r="D192" s="1">
        <f t="shared" ca="1" si="9"/>
        <v>-50.863220692448635</v>
      </c>
      <c r="E192" s="1">
        <f t="shared" ca="1" si="10"/>
        <v>0.12911783408468683</v>
      </c>
      <c r="F192" s="1" t="e">
        <f t="shared" ca="1" si="11"/>
        <v>#DIV/0!</v>
      </c>
    </row>
    <row r="193" spans="1:6" x14ac:dyDescent="0.15">
      <c r="A193" s="1">
        <v>9.33948</v>
      </c>
      <c r="B193" s="1">
        <v>2.3940800000000002</v>
      </c>
      <c r="C193" s="1">
        <f t="shared" ca="1" si="8"/>
        <v>2.5180000000000646E-2</v>
      </c>
      <c r="D193" s="1">
        <f t="shared" ca="1" si="9"/>
        <v>0.27664618028773802</v>
      </c>
      <c r="E193" s="1">
        <f t="shared" ca="1" si="10"/>
        <v>0.22824143611877964</v>
      </c>
      <c r="F193" s="1" t="e">
        <f t="shared" ca="1" si="11"/>
        <v>#DIV/0!</v>
      </c>
    </row>
    <row r="194" spans="1:6" x14ac:dyDescent="0.15">
      <c r="A194" s="1">
        <v>9.3646600000000007</v>
      </c>
      <c r="B194" s="1">
        <v>2.0447899999999999</v>
      </c>
      <c r="C194" s="1">
        <f t="shared" ca="1" si="8"/>
        <v>1.2199999999999989E-2</v>
      </c>
      <c r="D194" s="1">
        <f t="shared" ca="1" si="9"/>
        <v>94.072469544293767</v>
      </c>
      <c r="E194" s="1">
        <f t="shared" ca="1" si="10"/>
        <v>0.17677859389611777</v>
      </c>
      <c r="F194" s="1" t="e">
        <f t="shared" ca="1" si="11"/>
        <v>#DIV/0!</v>
      </c>
    </row>
    <row r="195" spans="1:6" x14ac:dyDescent="0.15">
      <c r="A195" s="1">
        <v>9.3768600000000006</v>
      </c>
      <c r="B195" s="1">
        <v>1.8766799999999999</v>
      </c>
      <c r="C195" s="1">
        <f t="shared" ref="C195:C258" ca="1" si="12" xml:space="preserve"> OFFSET(A195, ROW()-ROW(A195)+1, 0) - OFFSET(A195, ROW()-ROW(A195), 0)</f>
        <v>3.0519999999999214E-2</v>
      </c>
      <c r="D195" s="1">
        <f t="shared" ca="1" si="9"/>
        <v>-38.500073986387662</v>
      </c>
      <c r="E195" s="1">
        <f t="shared" ca="1" si="10"/>
        <v>0.36646001751772161</v>
      </c>
      <c r="F195" s="1" t="e">
        <f t="shared" ca="1" si="11"/>
        <v>#DIV/0!</v>
      </c>
    </row>
    <row r="196" spans="1:6" x14ac:dyDescent="0.15">
      <c r="A196" s="1">
        <v>9.4073799999999999</v>
      </c>
      <c r="B196" s="1">
        <v>2.41316</v>
      </c>
      <c r="C196" s="1">
        <f t="shared" ca="1" si="12"/>
        <v>2.9759999999999565E-2</v>
      </c>
      <c r="D196" s="1">
        <f t="shared" ref="D196:D259" ca="1" si="13" xml:space="preserve"> 3*((B198-B197)/C197 - (B197-B196)/C196)</f>
        <v>-53.055878556565489</v>
      </c>
      <c r="E196" s="1">
        <f t="shared" ca="1" si="10"/>
        <v>0.27208983579706253</v>
      </c>
      <c r="F196" s="1" t="e">
        <f t="shared" ca="1" si="11"/>
        <v>#DIV/0!</v>
      </c>
    </row>
    <row r="197" spans="1:6" x14ac:dyDescent="0.15">
      <c r="A197" s="1">
        <v>9.4371399999999994</v>
      </c>
      <c r="B197" s="1">
        <v>2.55436</v>
      </c>
      <c r="C197" s="1">
        <f t="shared" ca="1" si="12"/>
        <v>2.8990000000000293E-2</v>
      </c>
      <c r="D197" s="1">
        <f t="shared" ca="1" si="13"/>
        <v>48.454045122335387</v>
      </c>
      <c r="E197" s="1">
        <f t="shared" ref="E197:E260" ca="1" si="14" xml:space="preserve"> C197 / (2*(C196+C197) - C196*E196)</f>
        <v>0.26498454589863984</v>
      </c>
      <c r="F197" s="1" t="e">
        <f t="shared" ref="F197:F260" ca="1" si="15" xml:space="preserve"> (D197 - C196*F196) / (2*(C196+C197) - C196*E196)</f>
        <v>#DIV/0!</v>
      </c>
    </row>
    <row r="198" spans="1:6" x14ac:dyDescent="0.15">
      <c r="A198" s="1">
        <v>9.4661299999999997</v>
      </c>
      <c r="B198" s="1">
        <v>2.1792099999999999</v>
      </c>
      <c r="C198" s="1">
        <f t="shared" ca="1" si="12"/>
        <v>0.1342800000000004</v>
      </c>
      <c r="D198" s="1">
        <f t="shared" ca="1" si="13"/>
        <v>-13.646945790392758</v>
      </c>
      <c r="E198" s="1">
        <f t="shared" ca="1" si="14"/>
        <v>0.4211277707425084</v>
      </c>
      <c r="F198" s="1" t="e">
        <f t="shared" ca="1" si="15"/>
        <v>#DIV/0!</v>
      </c>
    </row>
    <row r="199" spans="1:6" x14ac:dyDescent="0.15">
      <c r="A199" s="1">
        <v>9.6004100000000001</v>
      </c>
      <c r="B199" s="1">
        <v>2.6103399999999999</v>
      </c>
      <c r="C199" s="1">
        <f t="shared" ca="1" si="12"/>
        <v>6.1040000000000205E-2</v>
      </c>
      <c r="D199" s="1">
        <f t="shared" ca="1" si="13"/>
        <v>-0.78254319942996631</v>
      </c>
      <c r="E199" s="1">
        <f t="shared" ca="1" si="14"/>
        <v>0.18270473245367105</v>
      </c>
      <c r="F199" s="1" t="e">
        <f t="shared" ca="1" si="15"/>
        <v>#DIV/0!</v>
      </c>
    </row>
    <row r="200" spans="1:6" x14ac:dyDescent="0.15">
      <c r="A200" s="1">
        <v>9.6614500000000003</v>
      </c>
      <c r="B200" s="1">
        <v>2.5286499999999998</v>
      </c>
      <c r="C200" s="1">
        <f t="shared" ca="1" si="12"/>
        <v>0.32959999999999923</v>
      </c>
      <c r="D200" s="1">
        <f t="shared" ca="1" si="13"/>
        <v>21.516892917105586</v>
      </c>
      <c r="E200" s="1">
        <f t="shared" ca="1" si="14"/>
        <v>0.42798096816927811</v>
      </c>
      <c r="F200" s="1" t="e">
        <f t="shared" ca="1" si="15"/>
        <v>#DIV/0!</v>
      </c>
    </row>
    <row r="201" spans="1:6" x14ac:dyDescent="0.15">
      <c r="A201" s="1">
        <v>9.9910499999999995</v>
      </c>
      <c r="B201" s="1">
        <v>2.0015700000000001</v>
      </c>
      <c r="C201" s="1">
        <f t="shared" ca="1" si="12"/>
        <v>4.6549999999999869E-2</v>
      </c>
      <c r="D201" s="1">
        <f t="shared" ca="1" si="13"/>
        <v>29.959346417992812</v>
      </c>
      <c r="E201" s="1">
        <f t="shared" ca="1" si="14"/>
        <v>7.615698000287717E-2</v>
      </c>
      <c r="F201" s="1" t="e">
        <f t="shared" ca="1" si="15"/>
        <v>#DIV/0!</v>
      </c>
    </row>
    <row r="202" spans="1:6" x14ac:dyDescent="0.15">
      <c r="A202" s="1">
        <v>10.037599999999999</v>
      </c>
      <c r="B202" s="1">
        <v>2.2610000000000001</v>
      </c>
      <c r="C202" s="1">
        <f t="shared" ca="1" si="12"/>
        <v>9.9000000000000199E-3</v>
      </c>
      <c r="D202" s="1">
        <f t="shared" ca="1" si="13"/>
        <v>-56.659755117477282</v>
      </c>
      <c r="E202" s="1">
        <f t="shared" ca="1" si="14"/>
        <v>9.0530928853312709E-2</v>
      </c>
      <c r="F202" s="1" t="e">
        <f t="shared" ca="1" si="15"/>
        <v>#DIV/0!</v>
      </c>
    </row>
    <row r="203" spans="1:6" x14ac:dyDescent="0.15">
      <c r="A203" s="1">
        <v>10.047499999999999</v>
      </c>
      <c r="B203" s="1">
        <v>2.4150399999999999</v>
      </c>
      <c r="C203" s="1">
        <f t="shared" ca="1" si="12"/>
        <v>6.4099999999999824E-2</v>
      </c>
      <c r="D203" s="1">
        <f t="shared" ca="1" si="13"/>
        <v>16.11352108484337</v>
      </c>
      <c r="E203" s="1">
        <f t="shared" ca="1" si="14"/>
        <v>0.43574689768095143</v>
      </c>
      <c r="F203" s="1" t="e">
        <f t="shared" ca="1" si="15"/>
        <v>#DIV/0!</v>
      </c>
    </row>
    <row r="204" spans="1:6" x14ac:dyDescent="0.15">
      <c r="A204" s="1">
        <v>10.111599999999999</v>
      </c>
      <c r="B204" s="1">
        <v>2.2017799999999998</v>
      </c>
      <c r="C204" s="1">
        <f t="shared" ca="1" si="12"/>
        <v>0.16250000000000142</v>
      </c>
      <c r="D204" s="1">
        <f t="shared" ca="1" si="13"/>
        <v>-19.051519363395208</v>
      </c>
      <c r="E204" s="1">
        <f t="shared" ca="1" si="14"/>
        <v>0.38211142530470693</v>
      </c>
      <c r="F204" s="1" t="e">
        <f t="shared" ca="1" si="15"/>
        <v>#DIV/0!</v>
      </c>
    </row>
    <row r="205" spans="1:6" x14ac:dyDescent="0.15">
      <c r="A205" s="1">
        <v>10.274100000000001</v>
      </c>
      <c r="B205" s="1">
        <v>2.53396</v>
      </c>
      <c r="C205" s="1">
        <f t="shared" ca="1" si="12"/>
        <v>8.6999999999999744E-2</v>
      </c>
      <c r="D205" s="1">
        <f t="shared" ca="1" si="13"/>
        <v>17.216368114644016</v>
      </c>
      <c r="E205" s="1">
        <f t="shared" ca="1" si="14"/>
        <v>0.1991270939338122</v>
      </c>
      <c r="F205" s="1" t="e">
        <f t="shared" ca="1" si="15"/>
        <v>#DIV/0!</v>
      </c>
    </row>
    <row r="206" spans="1:6" x14ac:dyDescent="0.15">
      <c r="A206" s="1">
        <v>10.3611</v>
      </c>
      <c r="B206" s="1">
        <v>2.1593100000000001</v>
      </c>
      <c r="C206" s="1">
        <f t="shared" ca="1" si="12"/>
        <v>7.6999999999999957E-2</v>
      </c>
      <c r="D206" s="1">
        <f t="shared" ca="1" si="13"/>
        <v>86.019264069266399</v>
      </c>
      <c r="E206" s="1">
        <f t="shared" ca="1" si="14"/>
        <v>0.24784667682714531</v>
      </c>
      <c r="F206" s="1" t="e">
        <f t="shared" ca="1" si="15"/>
        <v>#DIV/0!</v>
      </c>
    </row>
    <row r="207" spans="1:6" x14ac:dyDescent="0.15">
      <c r="A207" s="1">
        <v>10.4381</v>
      </c>
      <c r="B207" s="1">
        <v>2.2696100000000001</v>
      </c>
      <c r="C207" s="1">
        <f t="shared" ca="1" si="12"/>
        <v>5.3999999999998494E-3</v>
      </c>
      <c r="D207" s="1">
        <f t="shared" ca="1" si="13"/>
        <v>-91.368122977348605</v>
      </c>
      <c r="E207" s="1">
        <f t="shared" ca="1" si="14"/>
        <v>3.7058436915808304E-2</v>
      </c>
      <c r="F207" s="1" t="e">
        <f t="shared" ca="1" si="15"/>
        <v>#DIV/0!</v>
      </c>
    </row>
    <row r="208" spans="1:6" x14ac:dyDescent="0.15">
      <c r="A208" s="1">
        <v>10.4435</v>
      </c>
      <c r="B208" s="1">
        <v>2.4321799999999998</v>
      </c>
      <c r="C208" s="1">
        <f t="shared" ca="1" si="12"/>
        <v>4.1199999999999903E-2</v>
      </c>
      <c r="D208" s="1">
        <f t="shared" ca="1" si="13"/>
        <v>-21.618543689319271</v>
      </c>
      <c r="E208" s="1">
        <f t="shared" ca="1" si="14"/>
        <v>0.44301130316232584</v>
      </c>
      <c r="F208" s="1" t="e">
        <f t="shared" ca="1" si="15"/>
        <v>#DIV/0!</v>
      </c>
    </row>
    <row r="209" spans="1:6" x14ac:dyDescent="0.15">
      <c r="A209" s="1">
        <v>10.4847</v>
      </c>
      <c r="B209" s="1">
        <v>2.4177399999999998</v>
      </c>
      <c r="C209" s="1">
        <f t="shared" ca="1" si="12"/>
        <v>3.0000000000001137E-3</v>
      </c>
      <c r="D209" s="1">
        <f t="shared" ca="1" si="13"/>
        <v>34.634285714284658</v>
      </c>
      <c r="E209" s="1">
        <f t="shared" ca="1" si="14"/>
        <v>4.2766761837272696E-2</v>
      </c>
      <c r="F209" s="1" t="e">
        <f t="shared" ca="1" si="15"/>
        <v>#DIV/0!</v>
      </c>
    </row>
    <row r="210" spans="1:6" x14ac:dyDescent="0.15">
      <c r="A210" s="1">
        <v>10.4877</v>
      </c>
      <c r="B210" s="1">
        <v>2.39507</v>
      </c>
      <c r="C210" s="1">
        <f t="shared" ca="1" si="12"/>
        <v>5.8799999999999741E-2</v>
      </c>
      <c r="D210" s="1">
        <f t="shared" ca="1" si="13"/>
        <v>-15.289162734665261</v>
      </c>
      <c r="E210" s="1">
        <f t="shared" ca="1" si="14"/>
        <v>0.476222487711492</v>
      </c>
      <c r="F210" s="1" t="e">
        <f t="shared" ca="1" si="15"/>
        <v>#DIV/0!</v>
      </c>
    </row>
    <row r="211" spans="1:6" x14ac:dyDescent="0.15">
      <c r="A211" s="1">
        <v>10.5465</v>
      </c>
      <c r="B211" s="1">
        <v>2.6295700000000002</v>
      </c>
      <c r="C211" s="1">
        <f t="shared" ca="1" si="12"/>
        <v>0.2845999999999993</v>
      </c>
      <c r="D211" s="1">
        <f t="shared" ca="1" si="13"/>
        <v>9.2405678868900356</v>
      </c>
      <c r="E211" s="1">
        <f t="shared" ca="1" si="14"/>
        <v>0.43199880561870696</v>
      </c>
      <c r="F211" s="1" t="e">
        <f t="shared" ca="1" si="15"/>
        <v>#DIV/0!</v>
      </c>
    </row>
    <row r="212" spans="1:6" x14ac:dyDescent="0.15">
      <c r="A212" s="1">
        <v>10.831099999999999</v>
      </c>
      <c r="B212" s="1">
        <v>2.3141500000000002</v>
      </c>
      <c r="C212" s="1">
        <f t="shared" ca="1" si="12"/>
        <v>4.269999999999996E-2</v>
      </c>
      <c r="D212" s="1">
        <f t="shared" ca="1" si="13"/>
        <v>-24.122777480683769</v>
      </c>
      <c r="E212" s="1">
        <f t="shared" ca="1" si="14"/>
        <v>8.0315523023811591E-2</v>
      </c>
      <c r="F212" s="1" t="e">
        <f t="shared" ca="1" si="15"/>
        <v>#DIV/0!</v>
      </c>
    </row>
    <row r="213" spans="1:6" x14ac:dyDescent="0.15">
      <c r="A213" s="1">
        <v>10.873799999999999</v>
      </c>
      <c r="B213" s="1">
        <v>2.3983500000000002</v>
      </c>
      <c r="C213" s="1">
        <f t="shared" ca="1" si="12"/>
        <v>3.8100000000000023E-2</v>
      </c>
      <c r="D213" s="1">
        <f t="shared" ca="1" si="13"/>
        <v>4.65139041164245</v>
      </c>
      <c r="E213" s="1">
        <f t="shared" ca="1" si="14"/>
        <v>0.2408792629223605</v>
      </c>
      <c r="F213" s="1" t="e">
        <f t="shared" ca="1" si="15"/>
        <v>#DIV/0!</v>
      </c>
    </row>
    <row r="214" spans="1:6" x14ac:dyDescent="0.15">
      <c r="A214" s="1">
        <v>10.911899999999999</v>
      </c>
      <c r="B214" s="1">
        <v>2.1671200000000002</v>
      </c>
      <c r="C214" s="1">
        <f t="shared" ca="1" si="12"/>
        <v>2.3700000000001609E-2</v>
      </c>
      <c r="D214" s="1">
        <f t="shared" ca="1" si="13"/>
        <v>14.920856602668753</v>
      </c>
      <c r="E214" s="1">
        <f t="shared" ca="1" si="14"/>
        <v>0.20712709460884188</v>
      </c>
      <c r="F214" s="1" t="e">
        <f t="shared" ca="1" si="15"/>
        <v>#DIV/0!</v>
      </c>
    </row>
    <row r="215" spans="1:6" x14ac:dyDescent="0.15">
      <c r="A215" s="1">
        <v>10.935600000000001</v>
      </c>
      <c r="B215" s="1">
        <v>2.0600299999999998</v>
      </c>
      <c r="C215" s="1">
        <f t="shared" ca="1" si="12"/>
        <v>0.28989999999999938</v>
      </c>
      <c r="D215" s="1">
        <f t="shared" ca="1" si="13"/>
        <v>77.628282222812913</v>
      </c>
      <c r="E215" s="1">
        <f t="shared" ca="1" si="14"/>
        <v>0.46585915443201326</v>
      </c>
      <c r="F215" s="1" t="e">
        <f t="shared" ca="1" si="15"/>
        <v>#DIV/0!</v>
      </c>
    </row>
    <row r="216" spans="1:6" x14ac:dyDescent="0.15">
      <c r="A216" s="1">
        <v>11.2255</v>
      </c>
      <c r="B216" s="1">
        <v>2.1919499999999998</v>
      </c>
      <c r="C216" s="1">
        <f t="shared" ca="1" si="12"/>
        <v>1.2199999999999989E-2</v>
      </c>
      <c r="D216" s="1">
        <f t="shared" ca="1" si="13"/>
        <v>18.667668488163017</v>
      </c>
      <c r="E216" s="1">
        <f t="shared" ca="1" si="14"/>
        <v>2.6004618570777741E-2</v>
      </c>
      <c r="F216" s="1" t="e">
        <f t="shared" ca="1" si="15"/>
        <v>#DIV/0!</v>
      </c>
    </row>
    <row r="217" spans="1:6" x14ac:dyDescent="0.15">
      <c r="A217" s="1">
        <v>11.2377</v>
      </c>
      <c r="B217" s="1">
        <v>2.5131899999999998</v>
      </c>
      <c r="C217" s="1">
        <f t="shared" ca="1" si="12"/>
        <v>5.3999999999998494E-3</v>
      </c>
      <c r="D217" s="1">
        <f t="shared" ca="1" si="13"/>
        <v>-112.38706530958723</v>
      </c>
      <c r="E217" s="1">
        <f t="shared" ca="1" si="14"/>
        <v>0.15480433688500625</v>
      </c>
      <c r="F217" s="1" t="e">
        <f t="shared" ca="1" si="15"/>
        <v>#DIV/0!</v>
      </c>
    </row>
    <row r="218" spans="1:6" x14ac:dyDescent="0.15">
      <c r="A218" s="1">
        <v>11.2431</v>
      </c>
      <c r="B218" s="1">
        <v>2.6889799999999999</v>
      </c>
      <c r="C218" s="1">
        <f t="shared" ca="1" si="12"/>
        <v>7.8599999999999781E-2</v>
      </c>
      <c r="D218" s="1">
        <f t="shared" ca="1" si="13"/>
        <v>39.665320714310397</v>
      </c>
      <c r="E218" s="1">
        <f t="shared" ca="1" si="14"/>
        <v>0.47019677320404318</v>
      </c>
      <c r="F218" s="1" t="e">
        <f t="shared" ca="1" si="15"/>
        <v>#DIV/0!</v>
      </c>
    </row>
    <row r="219" spans="1:6" x14ac:dyDescent="0.15">
      <c r="A219" s="1">
        <v>11.3217</v>
      </c>
      <c r="B219" s="1">
        <v>2.3031600000000001</v>
      </c>
      <c r="C219" s="1">
        <f t="shared" ca="1" si="12"/>
        <v>4.4200000000000017E-2</v>
      </c>
      <c r="D219" s="1">
        <f t="shared" ca="1" si="13"/>
        <v>-133.75458390714272</v>
      </c>
      <c r="E219" s="1">
        <f t="shared" ca="1" si="14"/>
        <v>0.21184558695589828</v>
      </c>
      <c r="F219" s="1" t="e">
        <f t="shared" ca="1" si="15"/>
        <v>#DIV/0!</v>
      </c>
    </row>
    <row r="220" spans="1:6" x14ac:dyDescent="0.15">
      <c r="A220" s="1">
        <v>11.3659</v>
      </c>
      <c r="B220" s="1">
        <v>2.6705999999999999</v>
      </c>
      <c r="C220" s="1">
        <f t="shared" ca="1" si="12"/>
        <v>4.5999999999999375E-3</v>
      </c>
      <c r="D220" s="1" t="e">
        <f t="shared" ca="1" si="13"/>
        <v>#DIV/0!</v>
      </c>
      <c r="E220" s="1">
        <f t="shared" ca="1" si="14"/>
        <v>5.2132665132929815E-2</v>
      </c>
      <c r="F220" s="1" t="e">
        <f t="shared" ca="1" si="15"/>
        <v>#DIV/0!</v>
      </c>
    </row>
    <row r="221" spans="1:6" x14ac:dyDescent="0.15">
      <c r="A221" s="1">
        <v>11.3705</v>
      </c>
      <c r="B221" s="1">
        <v>2.5037500000000001</v>
      </c>
      <c r="C221" s="1">
        <f t="shared" ca="1" si="12"/>
        <v>0</v>
      </c>
      <c r="D221" s="1" t="e">
        <f t="shared" ca="1" si="13"/>
        <v>#DIV/0!</v>
      </c>
      <c r="E221" s="1">
        <f t="shared" ca="1" si="14"/>
        <v>0</v>
      </c>
      <c r="F221" s="1" t="e">
        <f t="shared" ca="1" si="15"/>
        <v>#DIV/0!</v>
      </c>
    </row>
    <row r="222" spans="1:6" x14ac:dyDescent="0.15">
      <c r="A222" s="1">
        <v>11.3705</v>
      </c>
      <c r="B222" s="1">
        <v>2.65191</v>
      </c>
      <c r="C222" s="1">
        <f t="shared" ca="1" si="12"/>
        <v>4.809999999999981E-2</v>
      </c>
      <c r="D222" s="1">
        <f t="shared" ca="1" si="13"/>
        <v>57.64396514557815</v>
      </c>
      <c r="E222" s="1">
        <f t="shared" ca="1" si="14"/>
        <v>0.5</v>
      </c>
      <c r="F222" s="1" t="e">
        <f t="shared" ca="1" si="15"/>
        <v>#DIV/0!</v>
      </c>
    </row>
    <row r="223" spans="1:6" x14ac:dyDescent="0.15">
      <c r="A223" s="1">
        <v>11.4186</v>
      </c>
      <c r="B223" s="1">
        <v>2.00692</v>
      </c>
      <c r="C223" s="1">
        <f t="shared" ca="1" si="12"/>
        <v>4.3400000000000105E-2</v>
      </c>
      <c r="D223" s="1">
        <f t="shared" ca="1" si="13"/>
        <v>-13.080000115015647</v>
      </c>
      <c r="E223" s="1">
        <f t="shared" ca="1" si="14"/>
        <v>0.27304183705567869</v>
      </c>
      <c r="F223" s="1" t="e">
        <f t="shared" ca="1" si="15"/>
        <v>#DIV/0!</v>
      </c>
    </row>
    <row r="224" spans="1:6" x14ac:dyDescent="0.15">
      <c r="A224" s="1">
        <v>11.462</v>
      </c>
      <c r="B224" s="1">
        <v>2.2588699999999999</v>
      </c>
      <c r="C224" s="1">
        <f t="shared" ca="1" si="12"/>
        <v>0.24040000000000106</v>
      </c>
      <c r="D224" s="1">
        <f t="shared" ca="1" si="13"/>
        <v>-13.365975623318473</v>
      </c>
      <c r="E224" s="1">
        <f t="shared" ca="1" si="14"/>
        <v>0.43256861323172807</v>
      </c>
      <c r="F224" s="1" t="e">
        <f t="shared" ca="1" si="15"/>
        <v>#DIV/0!</v>
      </c>
    </row>
    <row r="225" spans="1:6" x14ac:dyDescent="0.15">
      <c r="A225" s="1">
        <v>11.702400000000001</v>
      </c>
      <c r="B225" s="1">
        <v>2.6063200000000002</v>
      </c>
      <c r="C225" s="1">
        <f t="shared" ca="1" si="12"/>
        <v>3.8899999999999935E-2</v>
      </c>
      <c r="D225" s="1">
        <f t="shared" ca="1" si="13"/>
        <v>83.939093514265338</v>
      </c>
      <c r="E225" s="1">
        <f t="shared" ca="1" si="14"/>
        <v>8.5567754241758456E-2</v>
      </c>
      <c r="F225" s="1" t="e">
        <f t="shared" ca="1" si="15"/>
        <v>#DIV/0!</v>
      </c>
    </row>
    <row r="226" spans="1:6" x14ac:dyDescent="0.15">
      <c r="A226" s="1">
        <v>11.741300000000001</v>
      </c>
      <c r="B226" s="1">
        <v>2.4892300000000001</v>
      </c>
      <c r="C226" s="1">
        <f t="shared" ca="1" si="12"/>
        <v>1.2199999999999989E-2</v>
      </c>
      <c r="D226" s="1">
        <f t="shared" ca="1" si="13"/>
        <v>-145.52288500658113</v>
      </c>
      <c r="E226" s="1">
        <f t="shared" ca="1" si="14"/>
        <v>0.12339259106357291</v>
      </c>
      <c r="F226" s="1" t="e">
        <f t="shared" ca="1" si="15"/>
        <v>#DIV/0!</v>
      </c>
    </row>
    <row r="227" spans="1:6" x14ac:dyDescent="0.15">
      <c r="A227" s="1">
        <v>11.753500000000001</v>
      </c>
      <c r="B227" s="1">
        <v>2.79386</v>
      </c>
      <c r="C227" s="1">
        <f t="shared" ca="1" si="12"/>
        <v>1.3700000000000045E-2</v>
      </c>
      <c r="D227" s="1">
        <f t="shared" ca="1" si="13"/>
        <v>39.351799647621121</v>
      </c>
      <c r="E227" s="1">
        <f t="shared" ca="1" si="14"/>
        <v>0.27239499210813495</v>
      </c>
      <c r="F227" s="1" t="e">
        <f t="shared" ca="1" si="15"/>
        <v>#DIV/0!</v>
      </c>
    </row>
    <row r="228" spans="1:6" x14ac:dyDescent="0.15">
      <c r="A228" s="1">
        <v>11.767200000000001</v>
      </c>
      <c r="B228" s="1">
        <v>2.47139</v>
      </c>
      <c r="C228" s="1">
        <f t="shared" ca="1" si="12"/>
        <v>2.8999999999999915E-2</v>
      </c>
      <c r="D228" s="1">
        <f t="shared" ca="1" si="13"/>
        <v>28.227243094870559</v>
      </c>
      <c r="E228" s="1">
        <f t="shared" ca="1" si="14"/>
        <v>0.35509542325170523</v>
      </c>
      <c r="F228" s="1" t="e">
        <f t="shared" ca="1" si="15"/>
        <v>#DIV/0!</v>
      </c>
    </row>
    <row r="229" spans="1:6" x14ac:dyDescent="0.15">
      <c r="A229" s="1">
        <v>11.796200000000001</v>
      </c>
      <c r="B229" s="1">
        <v>2.16919</v>
      </c>
      <c r="C229" s="1">
        <f t="shared" ca="1" si="12"/>
        <v>6.0299999999999798E-2</v>
      </c>
      <c r="D229" s="1">
        <f t="shared" ca="1" si="13"/>
        <v>2.6238743446144674</v>
      </c>
      <c r="E229" s="1">
        <f t="shared" ca="1" si="14"/>
        <v>0.35828401693444617</v>
      </c>
      <c r="F229" s="1" t="e">
        <f t="shared" ca="1" si="15"/>
        <v>#DIV/0!</v>
      </c>
    </row>
    <row r="230" spans="1:6" x14ac:dyDescent="0.15">
      <c r="A230" s="1">
        <v>11.8565</v>
      </c>
      <c r="B230" s="1">
        <v>2.10819</v>
      </c>
      <c r="C230" s="1">
        <f t="shared" ca="1" si="12"/>
        <v>5.5699999999999861E-2</v>
      </c>
      <c r="D230" s="1">
        <f t="shared" ca="1" si="13"/>
        <v>163.33095152602587</v>
      </c>
      <c r="E230" s="1">
        <f t="shared" ca="1" si="14"/>
        <v>0.26473953550230078</v>
      </c>
      <c r="F230" s="1" t="e">
        <f t="shared" ca="1" si="15"/>
        <v>#DIV/0!</v>
      </c>
    </row>
    <row r="231" spans="1:6" x14ac:dyDescent="0.15">
      <c r="A231" s="1">
        <v>11.9122</v>
      </c>
      <c r="B231" s="1">
        <v>2.1005600000000002</v>
      </c>
      <c r="C231" s="1">
        <f t="shared" ca="1" si="12"/>
        <v>3.0000000000001137E-3</v>
      </c>
      <c r="D231" s="1">
        <f t="shared" ca="1" si="13"/>
        <v>-102.74391304347095</v>
      </c>
      <c r="E231" s="1">
        <f t="shared" ca="1" si="14"/>
        <v>2.9224382585486427E-2</v>
      </c>
      <c r="F231" s="1" t="e">
        <f t="shared" ca="1" si="15"/>
        <v>#DIV/0!</v>
      </c>
    </row>
    <row r="232" spans="1:6" x14ac:dyDescent="0.15">
      <c r="A232" s="1">
        <v>11.9152</v>
      </c>
      <c r="B232" s="1">
        <v>2.2634799999999999</v>
      </c>
      <c r="C232" s="1">
        <f t="shared" ca="1" si="12"/>
        <v>1.3799999999999812E-2</v>
      </c>
      <c r="D232" s="1">
        <f t="shared" ca="1" si="13"/>
        <v>-58.032424984691659</v>
      </c>
      <c r="E232" s="1">
        <f t="shared" ca="1" si="14"/>
        <v>0.41178877434695377</v>
      </c>
      <c r="F232" s="1" t="e">
        <f t="shared" ca="1" si="15"/>
        <v>#DIV/0!</v>
      </c>
    </row>
    <row r="233" spans="1:6" x14ac:dyDescent="0.15">
      <c r="A233" s="1">
        <v>11.929</v>
      </c>
      <c r="B233" s="1">
        <v>2.5402900000000002</v>
      </c>
      <c r="C233" s="1">
        <f t="shared" ca="1" si="12"/>
        <v>2.1300000000000097E-2</v>
      </c>
      <c r="D233" s="1">
        <f t="shared" ca="1" si="13"/>
        <v>-37.200430530783017</v>
      </c>
      <c r="E233" s="1">
        <f t="shared" ca="1" si="14"/>
        <v>0.33014393156920024</v>
      </c>
      <c r="F233" s="1" t="e">
        <f t="shared" ca="1" si="15"/>
        <v>#DIV/0!</v>
      </c>
    </row>
    <row r="234" spans="1:6" x14ac:dyDescent="0.15">
      <c r="A234" s="1">
        <v>11.9503</v>
      </c>
      <c r="B234" s="1">
        <v>2.5555099999999999</v>
      </c>
      <c r="C234" s="1">
        <f t="shared" ca="1" si="12"/>
        <v>2.289999999999992E-2</v>
      </c>
      <c r="D234" s="1">
        <f t="shared" ca="1" si="13"/>
        <v>52.614050112350128</v>
      </c>
      <c r="E234" s="1">
        <f t="shared" ca="1" si="14"/>
        <v>0.28143764750753447</v>
      </c>
      <c r="F234" s="1" t="e">
        <f t="shared" ca="1" si="15"/>
        <v>#DIV/0!</v>
      </c>
    </row>
    <row r="235" spans="1:6" x14ac:dyDescent="0.15">
      <c r="A235" s="1">
        <v>11.9732</v>
      </c>
      <c r="B235" s="1">
        <v>2.2879100000000001</v>
      </c>
      <c r="C235" s="1">
        <f t="shared" ca="1" si="12"/>
        <v>2.0599999999999952E-2</v>
      </c>
      <c r="D235" s="1">
        <f t="shared" ca="1" si="13"/>
        <v>-80.221281553398384</v>
      </c>
      <c r="E235" s="1">
        <f t="shared" ca="1" si="14"/>
        <v>0.25572565434935196</v>
      </c>
      <c r="F235" s="1" t="e">
        <f t="shared" ca="1" si="15"/>
        <v>#DIV/0!</v>
      </c>
    </row>
    <row r="236" spans="1:6" x14ac:dyDescent="0.15">
      <c r="A236" s="1">
        <v>11.9938</v>
      </c>
      <c r="B236" s="1">
        <v>2.4084699999999999</v>
      </c>
      <c r="C236" s="1">
        <f t="shared" ca="1" si="12"/>
        <v>2.7499999999999858E-2</v>
      </c>
      <c r="D236" s="1">
        <f t="shared" ca="1" si="13"/>
        <v>561.05873684210223</v>
      </c>
      <c r="E236" s="1">
        <f t="shared" ca="1" si="14"/>
        <v>0.30242361785744504</v>
      </c>
      <c r="F236" s="1" t="e">
        <f t="shared" ca="1" si="15"/>
        <v>#DIV/0!</v>
      </c>
    </row>
    <row r="237" spans="1:6" x14ac:dyDescent="0.15">
      <c r="A237" s="1">
        <v>12.0213</v>
      </c>
      <c r="B237" s="1">
        <v>1.83405</v>
      </c>
      <c r="C237" s="1">
        <f t="shared" ca="1" si="12"/>
        <v>3.8000000000000256E-3</v>
      </c>
      <c r="D237" s="1">
        <f t="shared" ca="1" si="13"/>
        <v>-500.09437320573829</v>
      </c>
      <c r="E237" s="1">
        <f t="shared" ca="1" si="14"/>
        <v>7.00030481606988E-2</v>
      </c>
      <c r="F237" s="1" t="e">
        <f t="shared" ca="1" si="15"/>
        <v>#DIV/0!</v>
      </c>
    </row>
    <row r="238" spans="1:6" x14ac:dyDescent="0.15">
      <c r="A238" s="1">
        <v>12.0251</v>
      </c>
      <c r="B238" s="1">
        <v>2.4653499999999999</v>
      </c>
      <c r="C238" s="1">
        <f t="shared" ca="1" si="12"/>
        <v>2.7499999999999858E-2</v>
      </c>
      <c r="D238" s="1">
        <f t="shared" ca="1" si="13"/>
        <v>5.899049279487639</v>
      </c>
      <c r="E238" s="1">
        <f t="shared" ca="1" si="14"/>
        <v>0.44117183415307887</v>
      </c>
      <c r="F238" s="1" t="e">
        <f t="shared" ca="1" si="15"/>
        <v>#DIV/0!</v>
      </c>
    </row>
    <row r="239" spans="1:6" x14ac:dyDescent="0.15">
      <c r="A239" s="1">
        <v>12.0526</v>
      </c>
      <c r="B239" s="1">
        <v>2.44977</v>
      </c>
      <c r="C239" s="1">
        <f t="shared" ca="1" si="12"/>
        <v>0.15329999999999977</v>
      </c>
      <c r="D239" s="1">
        <f t="shared" ca="1" si="13"/>
        <v>-115.04255017075414</v>
      </c>
      <c r="E239" s="1">
        <f t="shared" ca="1" si="14"/>
        <v>0.43866705647657178</v>
      </c>
      <c r="F239" s="1" t="e">
        <f t="shared" ca="1" si="15"/>
        <v>#DIV/0!</v>
      </c>
    </row>
    <row r="240" spans="1:6" x14ac:dyDescent="0.15">
      <c r="A240" s="1">
        <v>12.2059</v>
      </c>
      <c r="B240" s="1">
        <v>2.6643599999999998</v>
      </c>
      <c r="C240" s="1">
        <f t="shared" ca="1" si="12"/>
        <v>1.5299999999999869E-2</v>
      </c>
      <c r="D240" s="1">
        <f t="shared" ca="1" si="13"/>
        <v>121.7471346336709</v>
      </c>
      <c r="E240" s="1">
        <f t="shared" ca="1" si="14"/>
        <v>5.6676671097854264E-2</v>
      </c>
      <c r="F240" s="1" t="e">
        <f t="shared" ca="1" si="15"/>
        <v>#DIV/0!</v>
      </c>
    </row>
    <row r="241" spans="1:6" x14ac:dyDescent="0.15">
      <c r="A241" s="1">
        <v>12.2212</v>
      </c>
      <c r="B241" s="1">
        <v>2.0990600000000001</v>
      </c>
      <c r="C241" s="1">
        <f t="shared" ca="1" si="12"/>
        <v>0.15259999999999962</v>
      </c>
      <c r="D241" s="1">
        <f t="shared" ca="1" si="13"/>
        <v>-16.774573919523483</v>
      </c>
      <c r="E241" s="1">
        <f t="shared" ca="1" si="14"/>
        <v>0.45561371898197073</v>
      </c>
      <c r="F241" s="1" t="e">
        <f t="shared" ca="1" si="15"/>
        <v>#DIV/0!</v>
      </c>
    </row>
    <row r="242" spans="1:6" x14ac:dyDescent="0.15">
      <c r="A242" s="1">
        <v>12.373799999999999</v>
      </c>
      <c r="B242" s="1">
        <v>2.6537099999999998</v>
      </c>
      <c r="C242" s="1">
        <f t="shared" ca="1" si="12"/>
        <v>5.0300000000000011E-2</v>
      </c>
      <c r="D242" s="1">
        <f t="shared" ca="1" si="13"/>
        <v>-6.1972102495108814</v>
      </c>
      <c r="E242" s="1">
        <f t="shared" ca="1" si="14"/>
        <v>0.14958069239213528</v>
      </c>
      <c r="F242" s="1" t="e">
        <f t="shared" ca="1" si="15"/>
        <v>#DIV/0!</v>
      </c>
    </row>
    <row r="243" spans="1:6" x14ac:dyDescent="0.15">
      <c r="A243" s="1">
        <v>12.424099999999999</v>
      </c>
      <c r="B243" s="1">
        <v>2.5552800000000002</v>
      </c>
      <c r="C243" s="1">
        <f t="shared" ca="1" si="12"/>
        <v>8.6300000000001376E-2</v>
      </c>
      <c r="D243" s="1">
        <f t="shared" ca="1" si="13"/>
        <v>19.005989037457343</v>
      </c>
      <c r="E243" s="1">
        <f t="shared" ca="1" si="14"/>
        <v>0.32483163847781082</v>
      </c>
      <c r="F243" s="1" t="e">
        <f t="shared" ca="1" si="15"/>
        <v>#DIV/0!</v>
      </c>
    </row>
    <row r="244" spans="1:6" x14ac:dyDescent="0.15">
      <c r="A244" s="1">
        <v>12.510400000000001</v>
      </c>
      <c r="B244" s="1">
        <v>2.2081300000000001</v>
      </c>
      <c r="C244" s="1">
        <f t="shared" ca="1" si="12"/>
        <v>5.3399999999999892E-2</v>
      </c>
      <c r="D244" s="1">
        <f t="shared" ca="1" si="13"/>
        <v>83.866193357203542</v>
      </c>
      <c r="E244" s="1">
        <f t="shared" ca="1" si="14"/>
        <v>0.21243836188504794</v>
      </c>
      <c r="F244" s="1" t="e">
        <f t="shared" ca="1" si="15"/>
        <v>#DIV/0!</v>
      </c>
    </row>
    <row r="245" spans="1:6" x14ac:dyDescent="0.15">
      <c r="A245" s="1">
        <v>12.563800000000001</v>
      </c>
      <c r="B245" s="1">
        <v>2.3316300000000001</v>
      </c>
      <c r="C245" s="1">
        <f t="shared" ca="1" si="12"/>
        <v>9.100000000000108E-3</v>
      </c>
      <c r="D245" s="1">
        <f t="shared" ca="1" si="13"/>
        <v>-92.741012704766334</v>
      </c>
      <c r="E245" s="1">
        <f t="shared" ca="1" si="14"/>
        <v>8.0066311464424278E-2</v>
      </c>
      <c r="F245" s="1" t="e">
        <f t="shared" ca="1" si="15"/>
        <v>#DIV/0!</v>
      </c>
    </row>
    <row r="246" spans="1:6" x14ac:dyDescent="0.15">
      <c r="A246" s="1">
        <v>12.572900000000001</v>
      </c>
      <c r="B246" s="1">
        <v>2.6070700000000002</v>
      </c>
      <c r="C246" s="1">
        <f t="shared" ca="1" si="12"/>
        <v>0.1075999999999997</v>
      </c>
      <c r="D246" s="1">
        <f t="shared" ca="1" si="13"/>
        <v>17.265518834475859</v>
      </c>
      <c r="E246" s="1">
        <f t="shared" ca="1" si="14"/>
        <v>0.46245478210136903</v>
      </c>
      <c r="F246" s="1" t="e">
        <f t="shared" ca="1" si="15"/>
        <v>#DIV/0!</v>
      </c>
    </row>
    <row r="247" spans="1:6" x14ac:dyDescent="0.15">
      <c r="A247" s="1">
        <v>12.6805</v>
      </c>
      <c r="B247" s="1">
        <v>2.5376099999999999</v>
      </c>
      <c r="C247" s="1">
        <f t="shared" ca="1" si="12"/>
        <v>5.1899999999999835E-2</v>
      </c>
      <c r="D247" s="1">
        <f t="shared" ca="1" si="13"/>
        <v>-70.501032881645116</v>
      </c>
      <c r="E247" s="1">
        <f t="shared" ca="1" si="14"/>
        <v>0.1927649158271845</v>
      </c>
      <c r="F247" s="1" t="e">
        <f t="shared" ca="1" si="15"/>
        <v>#DIV/0!</v>
      </c>
    </row>
    <row r="248" spans="1:6" x14ac:dyDescent="0.15">
      <c r="A248" s="1">
        <v>12.7324</v>
      </c>
      <c r="B248" s="1">
        <v>2.8028</v>
      </c>
      <c r="C248" s="1">
        <f t="shared" ca="1" si="12"/>
        <v>1.8299999999999983E-2</v>
      </c>
      <c r="D248" s="1">
        <f t="shared" ca="1" si="13"/>
        <v>140.70605971896998</v>
      </c>
      <c r="E248" s="1">
        <f t="shared" ca="1" si="14"/>
        <v>0.14034226547774326</v>
      </c>
      <c r="F248" s="1" t="e">
        <f t="shared" ca="1" si="15"/>
        <v>#DIV/0!</v>
      </c>
    </row>
    <row r="249" spans="1:6" x14ac:dyDescent="0.15">
      <c r="A249" s="1">
        <v>12.7507</v>
      </c>
      <c r="B249" s="1">
        <v>2.4662500000000001</v>
      </c>
      <c r="C249" s="1">
        <f t="shared" ca="1" si="12"/>
        <v>1.6799999999999926E-2</v>
      </c>
      <c r="D249" s="1">
        <f t="shared" ca="1" si="13"/>
        <v>-104.38603803551108</v>
      </c>
      <c r="E249" s="1">
        <f t="shared" ca="1" si="14"/>
        <v>0.24840409043211964</v>
      </c>
      <c r="F249" s="1" t="e">
        <f t="shared" ca="1" si="15"/>
        <v>#DIV/0!</v>
      </c>
    </row>
    <row r="250" spans="1:6" x14ac:dyDescent="0.15">
      <c r="A250" s="1">
        <v>12.7675</v>
      </c>
      <c r="B250" s="1">
        <v>2.9452400000000001</v>
      </c>
      <c r="C250" s="1">
        <f t="shared" ca="1" si="12"/>
        <v>8.7699999999999889E-2</v>
      </c>
      <c r="D250" s="1">
        <f t="shared" ca="1" si="13"/>
        <v>28.729382191354809</v>
      </c>
      <c r="E250" s="1">
        <f t="shared" ca="1" si="14"/>
        <v>0.4281666030517674</v>
      </c>
      <c r="F250" s="1" t="e">
        <f t="shared" ca="1" si="15"/>
        <v>#DIV/0!</v>
      </c>
    </row>
    <row r="251" spans="1:6" x14ac:dyDescent="0.15">
      <c r="A251" s="1">
        <v>12.8552</v>
      </c>
      <c r="B251" s="1">
        <v>2.3941300000000001</v>
      </c>
      <c r="C251" s="1">
        <f t="shared" ca="1" si="12"/>
        <v>1.980000000000004E-2</v>
      </c>
      <c r="D251" s="1">
        <f t="shared" ca="1" si="13"/>
        <v>-10.683492039874986</v>
      </c>
      <c r="E251" s="1">
        <f t="shared" ca="1" si="14"/>
        <v>0.11158085969760717</v>
      </c>
      <c r="F251" s="1" t="e">
        <f t="shared" ca="1" si="15"/>
        <v>#DIV/0!</v>
      </c>
    </row>
    <row r="252" spans="1:6" x14ac:dyDescent="0.15">
      <c r="A252" s="1">
        <v>12.875</v>
      </c>
      <c r="B252" s="1">
        <v>2.45932</v>
      </c>
      <c r="C252" s="1">
        <f t="shared" ca="1" si="12"/>
        <v>6.109999999999971E-2</v>
      </c>
      <c r="D252" s="1">
        <f t="shared" ca="1" si="13"/>
        <v>40.410981217364416</v>
      </c>
      <c r="E252" s="1">
        <f t="shared" ca="1" si="14"/>
        <v>0.38285439183662912</v>
      </c>
      <c r="F252" s="1" t="e">
        <f t="shared" ca="1" si="15"/>
        <v>#DIV/0!</v>
      </c>
    </row>
    <row r="253" spans="1:6" x14ac:dyDescent="0.15">
      <c r="A253" s="1">
        <v>12.9361</v>
      </c>
      <c r="B253" s="1">
        <v>2.4428999999999998</v>
      </c>
      <c r="C253" s="1">
        <f t="shared" ca="1" si="12"/>
        <v>2.5199999999999889E-2</v>
      </c>
      <c r="D253" s="1">
        <f t="shared" ca="1" si="13"/>
        <v>-71.618706127869544</v>
      </c>
      <c r="E253" s="1">
        <f t="shared" ca="1" si="14"/>
        <v>0.16889220498356441</v>
      </c>
      <c r="F253" s="1" t="e">
        <f t="shared" ca="1" si="15"/>
        <v>#DIV/0!</v>
      </c>
    </row>
    <row r="254" spans="1:6" x14ac:dyDescent="0.15">
      <c r="A254" s="1">
        <v>12.9613</v>
      </c>
      <c r="B254" s="1">
        <v>2.7755800000000002</v>
      </c>
      <c r="C254" s="1">
        <f t="shared" ca="1" si="12"/>
        <v>2.5100000000000122E-2</v>
      </c>
      <c r="D254" s="1">
        <f t="shared" ca="1" si="13"/>
        <v>28.662936666432351</v>
      </c>
      <c r="E254" s="1">
        <f t="shared" ca="1" si="14"/>
        <v>0.26052501215358898</v>
      </c>
      <c r="F254" s="1" t="e">
        <f t="shared" ca="1" si="15"/>
        <v>#DIV/0!</v>
      </c>
    </row>
    <row r="255" spans="1:6" x14ac:dyDescent="0.15">
      <c r="A255" s="1">
        <v>12.9864</v>
      </c>
      <c r="B255" s="1">
        <v>2.50773</v>
      </c>
      <c r="C255" s="1">
        <f t="shared" ca="1" si="12"/>
        <v>7.9399999999999693E-2</v>
      </c>
      <c r="D255" s="1">
        <f t="shared" ca="1" si="13"/>
        <v>37.91045877618734</v>
      </c>
      <c r="E255" s="1">
        <f t="shared" ca="1" si="14"/>
        <v>0.39217463971151612</v>
      </c>
      <c r="F255" s="1" t="e">
        <f t="shared" ca="1" si="15"/>
        <v>#DIV/0!</v>
      </c>
    </row>
    <row r="256" spans="1:6" x14ac:dyDescent="0.15">
      <c r="A256" s="1">
        <v>13.065799999999999</v>
      </c>
      <c r="B256" s="1">
        <v>2.4190399999999999</v>
      </c>
      <c r="C256" s="1">
        <f t="shared" ca="1" si="12"/>
        <v>3.279999999999994E-2</v>
      </c>
      <c r="D256" s="1">
        <f t="shared" ca="1" si="13"/>
        <v>-47.272565973610625</v>
      </c>
      <c r="E256" s="1">
        <f t="shared" ca="1" si="14"/>
        <v>0.16971837763841258</v>
      </c>
      <c r="F256" s="1" t="e">
        <f t="shared" ca="1" si="15"/>
        <v>#DIV/0!</v>
      </c>
    </row>
    <row r="257" spans="1:6" x14ac:dyDescent="0.15">
      <c r="A257" s="1">
        <v>13.098599999999999</v>
      </c>
      <c r="B257" s="1">
        <v>2.7968899999999999</v>
      </c>
      <c r="C257" s="1">
        <f t="shared" ca="1" si="12"/>
        <v>7.3199999999999932E-2</v>
      </c>
      <c r="D257" s="1">
        <f t="shared" ca="1" si="13"/>
        <v>15.547694193350747</v>
      </c>
      <c r="E257" s="1">
        <f t="shared" ca="1" si="14"/>
        <v>0.35459406144131889</v>
      </c>
      <c r="F257" s="1" t="e">
        <f t="shared" ca="1" si="15"/>
        <v>#DIV/0!</v>
      </c>
    </row>
    <row r="258" spans="1:6" x14ac:dyDescent="0.15">
      <c r="A258" s="1">
        <v>13.171799999999999</v>
      </c>
      <c r="B258" s="1">
        <v>2.4866899999999998</v>
      </c>
      <c r="C258" s="1">
        <f t="shared" ca="1" si="12"/>
        <v>2.1399999999999864E-2</v>
      </c>
      <c r="D258" s="1">
        <f t="shared" ca="1" si="13"/>
        <v>-2.1725406043009228</v>
      </c>
      <c r="E258" s="1">
        <f t="shared" ca="1" si="14"/>
        <v>0.13109233662686787</v>
      </c>
      <c r="F258" s="1" t="e">
        <f t="shared" ca="1" si="15"/>
        <v>#DIV/0!</v>
      </c>
    </row>
    <row r="259" spans="1:6" x14ac:dyDescent="0.15">
      <c r="A259" s="1">
        <v>13.193199999999999</v>
      </c>
      <c r="B259" s="1">
        <v>2.50691</v>
      </c>
      <c r="C259" s="1">
        <f t="shared" ref="C259:C322" ca="1" si="16" xml:space="preserve"> OFFSET(A259, ROW()-ROW(A259)+1, 0) - OFFSET(A259, ROW()-ROW(A259), 0)</f>
        <v>0.20600000000000129</v>
      </c>
      <c r="D259" s="1">
        <f t="shared" ca="1" si="13"/>
        <v>-42.767720653133658</v>
      </c>
      <c r="E259" s="1">
        <f t="shared" ca="1" si="14"/>
        <v>0.4557576330857841</v>
      </c>
      <c r="F259" s="1" t="e">
        <f t="shared" ca="1" si="15"/>
        <v>#DIV/0!</v>
      </c>
    </row>
    <row r="260" spans="1:6" x14ac:dyDescent="0.15">
      <c r="A260" s="1">
        <v>13.3992</v>
      </c>
      <c r="B260" s="1">
        <v>2.5523699999999998</v>
      </c>
      <c r="C260" s="1">
        <f t="shared" ca="1" si="16"/>
        <v>1.7599999999999838E-2</v>
      </c>
      <c r="D260" s="1">
        <f t="shared" ref="D260:D323" ca="1" si="17" xml:space="preserve"> 3*((B262-B261)/C261 - (B261-B260)/C260)</f>
        <v>50.15187206901043</v>
      </c>
      <c r="E260" s="1">
        <f t="shared" ca="1" si="14"/>
        <v>4.9814056638905098E-2</v>
      </c>
      <c r="F260" s="1" t="e">
        <f t="shared" ca="1" si="15"/>
        <v>#DIV/0!</v>
      </c>
    </row>
    <row r="261" spans="1:6" x14ac:dyDescent="0.15">
      <c r="A261" s="1">
        <v>13.4168</v>
      </c>
      <c r="B261" s="1">
        <v>2.3053499999999998</v>
      </c>
      <c r="C261" s="1">
        <f t="shared" ca="1" si="16"/>
        <v>0.2112999999999996</v>
      </c>
      <c r="D261" s="1">
        <f t="shared" ca="1" si="17"/>
        <v>-65.685750690388005</v>
      </c>
      <c r="E261" s="1">
        <f t="shared" ref="E261:E324" ca="1" si="18" xml:space="preserve"> C261 / (2*(C260+C261) - C260*E260)</f>
        <v>0.46244087939796702</v>
      </c>
      <c r="F261" s="1" t="e">
        <f t="shared" ref="F261:F324" ca="1" si="19" xml:space="preserve"> (D261 - C260*F260) / (2*(C260+C261) - C260*E260)</f>
        <v>#DIV/0!</v>
      </c>
    </row>
    <row r="262" spans="1:6" x14ac:dyDescent="0.15">
      <c r="A262" s="1">
        <v>13.6281</v>
      </c>
      <c r="B262" s="1">
        <v>2.8720699999999999</v>
      </c>
      <c r="C262" s="1">
        <f t="shared" ca="1" si="16"/>
        <v>9.100000000000108E-3</v>
      </c>
      <c r="D262" s="1">
        <f t="shared" ca="1" si="17"/>
        <v>-15.012613473484496</v>
      </c>
      <c r="E262" s="1">
        <f t="shared" ca="1" si="18"/>
        <v>2.6523943198925124E-2</v>
      </c>
      <c r="F262" s="1" t="e">
        <f t="shared" ca="1" si="19"/>
        <v>#DIV/0!</v>
      </c>
    </row>
    <row r="263" spans="1:6" x14ac:dyDescent="0.15">
      <c r="A263" s="1">
        <v>13.6372</v>
      </c>
      <c r="B263" s="1">
        <v>2.6972299999999998</v>
      </c>
      <c r="C263" s="1">
        <f t="shared" ca="1" si="16"/>
        <v>2.2999999999999687E-3</v>
      </c>
      <c r="D263" s="1">
        <f t="shared" ca="1" si="17"/>
        <v>78.28067858594153</v>
      </c>
      <c r="E263" s="1">
        <f t="shared" ca="1" si="18"/>
        <v>0.10195653655249469</v>
      </c>
      <c r="F263" s="1" t="e">
        <f t="shared" ca="1" si="19"/>
        <v>#DIV/0!</v>
      </c>
    </row>
    <row r="264" spans="1:6" x14ac:dyDescent="0.15">
      <c r="A264" s="1">
        <v>13.6395</v>
      </c>
      <c r="B264" s="1">
        <v>2.6415299999999999</v>
      </c>
      <c r="C264" s="1">
        <f t="shared" ca="1" si="16"/>
        <v>2.1399999999999864E-2</v>
      </c>
      <c r="D264" s="1">
        <f t="shared" ca="1" si="17"/>
        <v>-128.02850467289883</v>
      </c>
      <c r="E264" s="1">
        <f t="shared" ca="1" si="18"/>
        <v>0.45372147047012418</v>
      </c>
      <c r="F264" s="1" t="e">
        <f t="shared" ca="1" si="19"/>
        <v>#DIV/0!</v>
      </c>
    </row>
    <row r="265" spans="1:6" x14ac:dyDescent="0.15">
      <c r="A265" s="1">
        <v>13.6609</v>
      </c>
      <c r="B265" s="1">
        <v>2.6816800000000001</v>
      </c>
      <c r="C265" s="1">
        <f t="shared" ca="1" si="16"/>
        <v>4.5999999999999375E-3</v>
      </c>
      <c r="D265" s="1">
        <f t="shared" ca="1" si="17"/>
        <v>257.54210526315848</v>
      </c>
      <c r="E265" s="1">
        <f t="shared" ca="1" si="18"/>
        <v>0.1087718322128248</v>
      </c>
      <c r="F265" s="1" t="e">
        <f t="shared" ca="1" si="19"/>
        <v>#DIV/0!</v>
      </c>
    </row>
    <row r="266" spans="1:6" x14ac:dyDescent="0.15">
      <c r="A266" s="1">
        <v>13.6655</v>
      </c>
      <c r="B266" s="1">
        <v>2.4940000000000002</v>
      </c>
      <c r="C266" s="1">
        <f t="shared" ca="1" si="16"/>
        <v>7.6000000000000512E-3</v>
      </c>
      <c r="D266" s="1">
        <f t="shared" ca="1" si="17"/>
        <v>-150.42384439359191</v>
      </c>
      <c r="E266" s="1">
        <f t="shared" ca="1" si="18"/>
        <v>0.31799629434570759</v>
      </c>
      <c r="F266" s="1" t="e">
        <f t="shared" ca="1" si="19"/>
        <v>#DIV/0!</v>
      </c>
    </row>
    <row r="267" spans="1:6" x14ac:dyDescent="0.15">
      <c r="A267" s="1">
        <v>13.6731</v>
      </c>
      <c r="B267" s="1">
        <v>2.83636</v>
      </c>
      <c r="C267" s="1">
        <f t="shared" ca="1" si="16"/>
        <v>1.1499999999999844E-2</v>
      </c>
      <c r="D267" s="1">
        <f t="shared" ca="1" si="17"/>
        <v>8.9782847460240216</v>
      </c>
      <c r="E267" s="1">
        <f t="shared" ca="1" si="18"/>
        <v>0.32137961247162605</v>
      </c>
      <c r="F267" s="1" t="e">
        <f t="shared" ca="1" si="19"/>
        <v>#DIV/0!</v>
      </c>
    </row>
    <row r="268" spans="1:6" x14ac:dyDescent="0.15">
      <c r="A268" s="1">
        <v>13.6846</v>
      </c>
      <c r="B268" s="1">
        <v>2.7777799999999999</v>
      </c>
      <c r="C268" s="1">
        <f t="shared" ca="1" si="16"/>
        <v>0.11289999999999978</v>
      </c>
      <c r="D268" s="1">
        <f t="shared" ca="1" si="17"/>
        <v>14.687277913822767</v>
      </c>
      <c r="E268" s="1">
        <f t="shared" ca="1" si="18"/>
        <v>0.4606205450198228</v>
      </c>
      <c r="F268" s="1" t="e">
        <f t="shared" ca="1" si="19"/>
        <v>#DIV/0!</v>
      </c>
    </row>
    <row r="269" spans="1:6" x14ac:dyDescent="0.15">
      <c r="A269" s="1">
        <v>13.797499999999999</v>
      </c>
      <c r="B269" s="1">
        <v>2.5405600000000002</v>
      </c>
      <c r="C269" s="1">
        <f t="shared" ca="1" si="16"/>
        <v>8.1599999999999895E-2</v>
      </c>
      <c r="D269" s="1">
        <f t="shared" ca="1" si="17"/>
        <v>-3.7737798612895861</v>
      </c>
      <c r="E269" s="1">
        <f t="shared" ca="1" si="18"/>
        <v>0.24213941534980357</v>
      </c>
      <c r="F269" s="1" t="e">
        <f t="shared" ca="1" si="19"/>
        <v>#DIV/0!</v>
      </c>
    </row>
    <row r="270" spans="1:6" x14ac:dyDescent="0.15">
      <c r="A270" s="1">
        <v>13.879099999999999</v>
      </c>
      <c r="B270" s="1">
        <v>2.7686000000000002</v>
      </c>
      <c r="C270" s="1">
        <f t="shared" ca="1" si="16"/>
        <v>9.1600000000001458E-2</v>
      </c>
      <c r="D270" s="1">
        <f t="shared" ca="1" si="17"/>
        <v>44.425121167051671</v>
      </c>
      <c r="E270" s="1">
        <f t="shared" ca="1" si="18"/>
        <v>0.28042983330258431</v>
      </c>
      <c r="F270" s="1" t="e">
        <f t="shared" ca="1" si="19"/>
        <v>#DIV/0!</v>
      </c>
    </row>
    <row r="271" spans="1:6" x14ac:dyDescent="0.15">
      <c r="A271" s="1">
        <v>13.970700000000001</v>
      </c>
      <c r="B271" s="1">
        <v>2.9093599999999999</v>
      </c>
      <c r="C271" s="1">
        <f t="shared" ca="1" si="16"/>
        <v>9.0999999999983316E-3</v>
      </c>
      <c r="D271" s="1">
        <f t="shared" ca="1" si="17"/>
        <v>-61.540403664141202</v>
      </c>
      <c r="E271" s="1">
        <f t="shared" ca="1" si="18"/>
        <v>5.1789106687489664E-2</v>
      </c>
      <c r="F271" s="1" t="e">
        <f t="shared" ca="1" si="19"/>
        <v>#DIV/0!</v>
      </c>
    </row>
    <row r="272" spans="1:6" x14ac:dyDescent="0.15">
      <c r="A272" s="1">
        <v>13.979799999999999</v>
      </c>
      <c r="B272" s="1">
        <v>3.0581</v>
      </c>
      <c r="C272" s="1">
        <f t="shared" ca="1" si="16"/>
        <v>6.4900000000001512E-2</v>
      </c>
      <c r="D272" s="1">
        <f t="shared" ca="1" si="17"/>
        <v>3.7210597244897583</v>
      </c>
      <c r="E272" s="1">
        <f t="shared" ca="1" si="18"/>
        <v>0.43991434605481378</v>
      </c>
      <c r="F272" s="1" t="e">
        <f t="shared" ca="1" si="19"/>
        <v>#DIV/0!</v>
      </c>
    </row>
    <row r="273" spans="1:6" x14ac:dyDescent="0.15">
      <c r="A273" s="1">
        <v>14.044700000000001</v>
      </c>
      <c r="B273" s="1">
        <v>2.7875700000000001</v>
      </c>
      <c r="C273" s="1">
        <f t="shared" ca="1" si="16"/>
        <v>3.3500000000000085E-2</v>
      </c>
      <c r="D273" s="1">
        <f t="shared" ca="1" si="17"/>
        <v>10.420167518670208</v>
      </c>
      <c r="E273" s="1">
        <f t="shared" ca="1" si="18"/>
        <v>0.19910899149363318</v>
      </c>
      <c r="F273" s="1" t="e">
        <f t="shared" ca="1" si="19"/>
        <v>#DIV/0!</v>
      </c>
    </row>
    <row r="274" spans="1:6" x14ac:dyDescent="0.15">
      <c r="A274" s="1">
        <v>14.078200000000001</v>
      </c>
      <c r="B274" s="1">
        <v>2.6894800000000001</v>
      </c>
      <c r="C274" s="1">
        <f t="shared" ca="1" si="16"/>
        <v>0.13809999999999967</v>
      </c>
      <c r="D274" s="1">
        <f t="shared" ca="1" si="17"/>
        <v>-86.840906446979645</v>
      </c>
      <c r="E274" s="1">
        <f t="shared" ca="1" si="18"/>
        <v>0.41036478784454977</v>
      </c>
      <c r="F274" s="1" t="e">
        <f t="shared" ca="1" si="19"/>
        <v>#DIV/0!</v>
      </c>
    </row>
    <row r="275" spans="1:6" x14ac:dyDescent="0.15">
      <c r="A275" s="1">
        <v>14.2163</v>
      </c>
      <c r="B275" s="1">
        <v>2.7647900000000001</v>
      </c>
      <c r="C275" s="1">
        <f t="shared" ca="1" si="16"/>
        <v>1.2199999999999989E-2</v>
      </c>
      <c r="D275" s="1">
        <f t="shared" ca="1" si="17"/>
        <v>89.787994955863979</v>
      </c>
      <c r="E275" s="1">
        <f t="shared" ca="1" si="18"/>
        <v>5.0014630755610745E-2</v>
      </c>
      <c r="F275" s="1" t="e">
        <f t="shared" ca="1" si="19"/>
        <v>#DIV/0!</v>
      </c>
    </row>
    <row r="276" spans="1:6" x14ac:dyDescent="0.15">
      <c r="A276" s="1">
        <v>14.2285</v>
      </c>
      <c r="B276" s="1">
        <v>2.4182899999999998</v>
      </c>
      <c r="C276" s="1">
        <f t="shared" ca="1" si="16"/>
        <v>2.5999999999999801E-2</v>
      </c>
      <c r="D276" s="1">
        <f t="shared" ca="1" si="17"/>
        <v>107.5472802197807</v>
      </c>
      <c r="E276" s="1">
        <f t="shared" ca="1" si="18"/>
        <v>0.34305398117819313</v>
      </c>
      <c r="F276" s="1" t="e">
        <f t="shared" ca="1" si="19"/>
        <v>#DIV/0!</v>
      </c>
    </row>
    <row r="277" spans="1:6" x14ac:dyDescent="0.15">
      <c r="A277" s="1">
        <v>14.2545</v>
      </c>
      <c r="B277" s="1">
        <v>2.4580099999999998</v>
      </c>
      <c r="C277" s="1">
        <f t="shared" ca="1" si="16"/>
        <v>1.6799999999999926E-2</v>
      </c>
      <c r="D277" s="1">
        <f t="shared" ca="1" si="17"/>
        <v>-211.53944805194828</v>
      </c>
      <c r="E277" s="1">
        <f t="shared" ca="1" si="18"/>
        <v>0.21909062747483488</v>
      </c>
      <c r="F277" s="1" t="e">
        <f t="shared" ca="1" si="19"/>
        <v>#DIV/0!</v>
      </c>
    </row>
    <row r="278" spans="1:6" x14ac:dyDescent="0.15">
      <c r="A278" s="1">
        <v>14.2713</v>
      </c>
      <c r="B278" s="1">
        <v>3.0859399999999999</v>
      </c>
      <c r="C278" s="1">
        <f t="shared" ca="1" si="16"/>
        <v>9.9000000000000199E-3</v>
      </c>
      <c r="D278" s="1">
        <f t="shared" ca="1" si="17"/>
        <v>72.285823582357935</v>
      </c>
      <c r="E278" s="1">
        <f t="shared" ca="1" si="18"/>
        <v>0.19911793787186086</v>
      </c>
      <c r="F278" s="1" t="e">
        <f t="shared" ca="1" si="19"/>
        <v>#DIV/0!</v>
      </c>
    </row>
    <row r="279" spans="1:6" x14ac:dyDescent="0.15">
      <c r="A279" s="1">
        <v>14.2812</v>
      </c>
      <c r="B279" s="1">
        <v>2.7578900000000002</v>
      </c>
      <c r="C279" s="1">
        <f t="shared" ca="1" si="16"/>
        <v>4.0399999999999991E-2</v>
      </c>
      <c r="D279" s="1">
        <f t="shared" ca="1" si="17"/>
        <v>118.95441486771635</v>
      </c>
      <c r="E279" s="1">
        <f t="shared" ca="1" si="18"/>
        <v>0.40961694438067864</v>
      </c>
      <c r="F279" s="1" t="e">
        <f t="shared" ca="1" si="19"/>
        <v>#DIV/0!</v>
      </c>
    </row>
    <row r="280" spans="1:6" x14ac:dyDescent="0.15">
      <c r="A280" s="1">
        <v>14.3216</v>
      </c>
      <c r="B280" s="1">
        <v>2.39263</v>
      </c>
      <c r="C280" s="1">
        <f t="shared" ca="1" si="16"/>
        <v>1.8299999999999983E-2</v>
      </c>
      <c r="D280" s="1">
        <f t="shared" ca="1" si="17"/>
        <v>-96.700417062394266</v>
      </c>
      <c r="E280" s="1">
        <f t="shared" ca="1" si="18"/>
        <v>0.181454955605616</v>
      </c>
      <c r="F280" s="1" t="e">
        <f t="shared" ca="1" si="19"/>
        <v>#DIV/0!</v>
      </c>
    </row>
    <row r="281" spans="1:6" x14ac:dyDescent="0.15">
      <c r="A281" s="1">
        <v>14.3399</v>
      </c>
      <c r="B281" s="1">
        <v>2.9527999999999999</v>
      </c>
      <c r="C281" s="1">
        <f t="shared" ca="1" si="16"/>
        <v>0.11909999999999954</v>
      </c>
      <c r="D281" s="1">
        <f t="shared" ca="1" si="17"/>
        <v>-36.581095442092959</v>
      </c>
      <c r="E281" s="1">
        <f t="shared" ca="1" si="18"/>
        <v>0.43870736147689887</v>
      </c>
      <c r="F281" s="1" t="e">
        <f t="shared" ca="1" si="19"/>
        <v>#DIV/0!</v>
      </c>
    </row>
    <row r="282" spans="1:6" x14ac:dyDescent="0.15">
      <c r="A282" s="1">
        <v>14.459</v>
      </c>
      <c r="B282" s="1">
        <v>2.75949</v>
      </c>
      <c r="C282" s="1">
        <f t="shared" ca="1" si="16"/>
        <v>1.3700000000000045E-2</v>
      </c>
      <c r="D282" s="1">
        <f t="shared" ca="1" si="17"/>
        <v>35.212663350600323</v>
      </c>
      <c r="E282" s="1">
        <f t="shared" ca="1" si="18"/>
        <v>6.4213747373399091E-2</v>
      </c>
      <c r="F282" s="1" t="e">
        <f t="shared" ca="1" si="19"/>
        <v>#DIV/0!</v>
      </c>
    </row>
    <row r="283" spans="1:6" x14ac:dyDescent="0.15">
      <c r="A283" s="1">
        <v>14.4727</v>
      </c>
      <c r="B283" s="1">
        <v>2.5701999999999998</v>
      </c>
      <c r="C283" s="1">
        <f t="shared" ca="1" si="16"/>
        <v>4.9599999999999866E-2</v>
      </c>
      <c r="D283" s="1">
        <f t="shared" ca="1" si="17"/>
        <v>0.57436827956987746</v>
      </c>
      <c r="E283" s="1">
        <f t="shared" ca="1" si="18"/>
        <v>0.39452666896672495</v>
      </c>
      <c r="F283" s="1" t="e">
        <f t="shared" ca="1" si="19"/>
        <v>#DIV/0!</v>
      </c>
    </row>
    <row r="284" spans="1:6" x14ac:dyDescent="0.15">
      <c r="A284" s="1">
        <v>14.5223</v>
      </c>
      <c r="B284" s="1">
        <v>2.4670700000000001</v>
      </c>
      <c r="C284" s="1">
        <f t="shared" ca="1" si="16"/>
        <v>4.4999999999999929E-2</v>
      </c>
      <c r="D284" s="1">
        <f t="shared" ca="1" si="17"/>
        <v>22.194190476190386</v>
      </c>
      <c r="E284" s="1">
        <f t="shared" ca="1" si="18"/>
        <v>0.26528095338011504</v>
      </c>
      <c r="F284" s="1" t="e">
        <f t="shared" ca="1" si="19"/>
        <v>#DIV/0!</v>
      </c>
    </row>
    <row r="285" spans="1:6" x14ac:dyDescent="0.15">
      <c r="A285" s="1">
        <v>14.567299999999999</v>
      </c>
      <c r="B285" s="1">
        <v>2.38212</v>
      </c>
      <c r="C285" s="1">
        <f t="shared" ca="1" si="16"/>
        <v>1.7500000000000071E-2</v>
      </c>
      <c r="D285" s="1">
        <f t="shared" ca="1" si="17"/>
        <v>-11.911099078340879</v>
      </c>
      <c r="E285" s="1">
        <f t="shared" ca="1" si="18"/>
        <v>0.15478184295103389</v>
      </c>
      <c r="F285" s="1" t="e">
        <f t="shared" ca="1" si="19"/>
        <v>#DIV/0!</v>
      </c>
    </row>
    <row r="286" spans="1:6" x14ac:dyDescent="0.15">
      <c r="A286" s="1">
        <v>14.5848</v>
      </c>
      <c r="B286" s="1">
        <v>2.4785499999999998</v>
      </c>
      <c r="C286" s="1">
        <f t="shared" ca="1" si="16"/>
        <v>4.9599999999999866E-2</v>
      </c>
      <c r="D286" s="1">
        <f t="shared" ca="1" si="17"/>
        <v>-3.6598336788828978</v>
      </c>
      <c r="E286" s="1">
        <f t="shared" ca="1" si="18"/>
        <v>0.37721121705482119</v>
      </c>
      <c r="F286" s="1" t="e">
        <f t="shared" ca="1" si="19"/>
        <v>#DIV/0!</v>
      </c>
    </row>
    <row r="287" spans="1:6" x14ac:dyDescent="0.15">
      <c r="A287" s="1">
        <v>14.634399999999999</v>
      </c>
      <c r="B287" s="1">
        <v>2.5549300000000001</v>
      </c>
      <c r="C287" s="1">
        <f t="shared" ca="1" si="16"/>
        <v>0.31740000000000101</v>
      </c>
      <c r="D287" s="1">
        <f t="shared" ca="1" si="17"/>
        <v>25.558594132885418</v>
      </c>
      <c r="E287" s="1">
        <f t="shared" ca="1" si="18"/>
        <v>0.44373590626450538</v>
      </c>
      <c r="F287" s="1" t="e">
        <f t="shared" ca="1" si="19"/>
        <v>#DIV/0!</v>
      </c>
    </row>
    <row r="288" spans="1:6" x14ac:dyDescent="0.15">
      <c r="A288" s="1">
        <v>14.9518</v>
      </c>
      <c r="B288" s="1">
        <v>2.6564899999999998</v>
      </c>
      <c r="C288" s="1">
        <f t="shared" ca="1" si="16"/>
        <v>4.0499999999999758E-2</v>
      </c>
      <c r="D288" s="1">
        <f t="shared" ca="1" si="17"/>
        <v>-32.796013056027803</v>
      </c>
      <c r="E288" s="1">
        <f t="shared" ca="1" si="18"/>
        <v>7.0439900422521268E-2</v>
      </c>
      <c r="F288" s="1" t="e">
        <f t="shared" ca="1" si="19"/>
        <v>#DIV/0!</v>
      </c>
    </row>
    <row r="289" spans="1:6" x14ac:dyDescent="0.15">
      <c r="A289" s="1">
        <v>14.9923</v>
      </c>
      <c r="B289" s="1">
        <v>3.0144899999999999</v>
      </c>
      <c r="C289" s="1">
        <f t="shared" ca="1" si="16"/>
        <v>0.13729999999999976</v>
      </c>
      <c r="D289" s="1">
        <f t="shared" ca="1" si="17"/>
        <v>9.9905380157702268</v>
      </c>
      <c r="E289" s="1">
        <f t="shared" ca="1" si="18"/>
        <v>0.3892306054162552</v>
      </c>
      <c r="F289" s="1" t="e">
        <f t="shared" ca="1" si="19"/>
        <v>#DIV/0!</v>
      </c>
    </row>
    <row r="290" spans="1:6" x14ac:dyDescent="0.15">
      <c r="A290" s="1">
        <v>15.1296</v>
      </c>
      <c r="B290" s="1">
        <v>2.7271899999999998</v>
      </c>
      <c r="C290" s="1">
        <f t="shared" ca="1" si="16"/>
        <v>6.8999999999999062E-3</v>
      </c>
      <c r="D290" s="1">
        <f t="shared" ca="1" si="17"/>
        <v>11.511527950310192</v>
      </c>
      <c r="E290" s="1">
        <f t="shared" ca="1" si="18"/>
        <v>2.9366870962331638E-2</v>
      </c>
      <c r="F290" s="1" t="e">
        <f t="shared" ca="1" si="19"/>
        <v>#DIV/0!</v>
      </c>
    </row>
    <row r="291" spans="1:6" x14ac:dyDescent="0.15">
      <c r="A291" s="1">
        <v>15.1365</v>
      </c>
      <c r="B291" s="1">
        <v>2.7357300000000002</v>
      </c>
      <c r="C291" s="1">
        <f t="shared" ca="1" si="16"/>
        <v>1.7500000000000071E-2</v>
      </c>
      <c r="D291" s="1">
        <f t="shared" ca="1" si="17"/>
        <v>-25.607180124223571</v>
      </c>
      <c r="E291" s="1">
        <f t="shared" ca="1" si="18"/>
        <v>0.36010180196199965</v>
      </c>
      <c r="F291" s="1" t="e">
        <f t="shared" ca="1" si="19"/>
        <v>#DIV/0!</v>
      </c>
    </row>
    <row r="292" spans="1:6" x14ac:dyDescent="0.15">
      <c r="A292" s="1">
        <v>15.154</v>
      </c>
      <c r="B292" s="1">
        <v>2.8245399999999998</v>
      </c>
      <c r="C292" s="1">
        <f t="shared" ca="1" si="16"/>
        <v>1.3799999999999812E-2</v>
      </c>
      <c r="D292" s="1">
        <f t="shared" ca="1" si="17"/>
        <v>11.669450800915438</v>
      </c>
      <c r="E292" s="1">
        <f t="shared" ca="1" si="18"/>
        <v>0.24512320951001637</v>
      </c>
      <c r="F292" s="1" t="e">
        <f t="shared" ca="1" si="19"/>
        <v>#DIV/0!</v>
      </c>
    </row>
    <row r="293" spans="1:6" x14ac:dyDescent="0.15">
      <c r="A293" s="1">
        <v>15.1678</v>
      </c>
      <c r="B293" s="1">
        <v>2.77678</v>
      </c>
      <c r="C293" s="1">
        <f t="shared" ca="1" si="16"/>
        <v>1.5200000000000102E-2</v>
      </c>
      <c r="D293" s="1">
        <f t="shared" ca="1" si="17"/>
        <v>-7.0834440470107634</v>
      </c>
      <c r="E293" s="1">
        <f t="shared" ca="1" si="18"/>
        <v>0.27830010053685855</v>
      </c>
      <c r="F293" s="1" t="e">
        <f t="shared" ca="1" si="19"/>
        <v>#DIV/0!</v>
      </c>
    </row>
    <row r="294" spans="1:6" x14ac:dyDescent="0.15">
      <c r="A294" s="1">
        <v>15.183</v>
      </c>
      <c r="B294" s="1">
        <v>2.7833000000000001</v>
      </c>
      <c r="C294" s="1">
        <f t="shared" ca="1" si="16"/>
        <v>6.1799999999999855E-2</v>
      </c>
      <c r="D294" s="1">
        <f t="shared" ca="1" si="17"/>
        <v>33.636492652130158</v>
      </c>
      <c r="E294" s="1">
        <f t="shared" ca="1" si="18"/>
        <v>0.41263314850686544</v>
      </c>
      <c r="F294" s="1" t="e">
        <f t="shared" ca="1" si="19"/>
        <v>#DIV/0!</v>
      </c>
    </row>
    <row r="295" spans="1:6" x14ac:dyDescent="0.15">
      <c r="A295" s="1">
        <v>15.2448</v>
      </c>
      <c r="B295" s="1">
        <v>2.6638899999999999</v>
      </c>
      <c r="C295" s="1">
        <f t="shared" ca="1" si="16"/>
        <v>5.4899999999999949E-2</v>
      </c>
      <c r="D295" s="1">
        <f t="shared" ca="1" si="17"/>
        <v>-157.81023553796916</v>
      </c>
      <c r="E295" s="1">
        <f t="shared" ca="1" si="18"/>
        <v>0.2640701894933033</v>
      </c>
      <c r="F295" s="1" t="e">
        <f t="shared" ca="1" si="19"/>
        <v>#DIV/0!</v>
      </c>
    </row>
    <row r="296" spans="1:6" x14ac:dyDescent="0.15">
      <c r="A296" s="1">
        <v>15.2997</v>
      </c>
      <c r="B296" s="1">
        <v>3.1733600000000002</v>
      </c>
      <c r="C296" s="1">
        <f t="shared" ca="1" si="16"/>
        <v>1.4499999999999957E-2</v>
      </c>
      <c r="D296" s="1">
        <f t="shared" ca="1" si="17"/>
        <v>144.54391625615807</v>
      </c>
      <c r="E296" s="1">
        <f t="shared" ca="1" si="18"/>
        <v>0.11665086836098017</v>
      </c>
      <c r="F296" s="1" t="e">
        <f t="shared" ca="1" si="19"/>
        <v>#DIV/0!</v>
      </c>
    </row>
    <row r="297" spans="1:6" x14ac:dyDescent="0.15">
      <c r="A297" s="1">
        <v>15.3142</v>
      </c>
      <c r="B297" s="1">
        <v>2.5451700000000002</v>
      </c>
      <c r="C297" s="1">
        <f t="shared" ca="1" si="16"/>
        <v>4.1999999999999815E-2</v>
      </c>
      <c r="D297" s="1">
        <f t="shared" ca="1" si="17"/>
        <v>16.762142857142923</v>
      </c>
      <c r="E297" s="1">
        <f t="shared" ca="1" si="18"/>
        <v>0.37732946227227881</v>
      </c>
      <c r="F297" s="1" t="e">
        <f t="shared" ca="1" si="19"/>
        <v>#DIV/0!</v>
      </c>
    </row>
    <row r="298" spans="1:6" x14ac:dyDescent="0.15">
      <c r="A298" s="1">
        <v>15.356199999999999</v>
      </c>
      <c r="B298" s="1">
        <v>2.7492000000000001</v>
      </c>
      <c r="C298" s="1">
        <f t="shared" ca="1" si="16"/>
        <v>4.1999999999999815E-2</v>
      </c>
      <c r="D298" s="1">
        <f t="shared" ca="1" si="17"/>
        <v>-66.545550351288171</v>
      </c>
      <c r="E298" s="1">
        <f t="shared" ca="1" si="18"/>
        <v>0.27603945475738417</v>
      </c>
      <c r="F298" s="1" t="e">
        <f t="shared" ca="1" si="19"/>
        <v>#DIV/0!</v>
      </c>
    </row>
    <row r="299" spans="1:6" x14ac:dyDescent="0.15">
      <c r="A299" s="1">
        <v>15.398199999999999</v>
      </c>
      <c r="B299" s="1">
        <v>3.1879</v>
      </c>
      <c r="C299" s="1">
        <f t="shared" ca="1" si="16"/>
        <v>1.8299999999999983E-2</v>
      </c>
      <c r="D299" s="1">
        <f t="shared" ca="1" si="17"/>
        <v>23.136045742993495</v>
      </c>
      <c r="E299" s="1">
        <f t="shared" ca="1" si="18"/>
        <v>0.16788013901866408</v>
      </c>
      <c r="F299" s="1" t="e">
        <f t="shared" ca="1" si="19"/>
        <v>#DIV/0!</v>
      </c>
    </row>
    <row r="300" spans="1:6" x14ac:dyDescent="0.15">
      <c r="A300" s="1">
        <v>15.416499999999999</v>
      </c>
      <c r="B300" s="1">
        <v>2.9731200000000002</v>
      </c>
      <c r="C300" s="1">
        <f t="shared" ca="1" si="16"/>
        <v>4.9600000000001643E-2</v>
      </c>
      <c r="D300" s="1">
        <f t="shared" ca="1" si="17"/>
        <v>5.8194550624646357</v>
      </c>
      <c r="E300" s="1">
        <f t="shared" ca="1" si="18"/>
        <v>0.37369716401153485</v>
      </c>
      <c r="F300" s="1" t="e">
        <f t="shared" ca="1" si="19"/>
        <v>#DIV/0!</v>
      </c>
    </row>
    <row r="301" spans="1:6" x14ac:dyDescent="0.15">
      <c r="A301" s="1">
        <v>15.466100000000001</v>
      </c>
      <c r="B301" s="1">
        <v>2.7734999999999999</v>
      </c>
      <c r="C301" s="1">
        <f t="shared" ca="1" si="16"/>
        <v>5.1899999999999835E-2</v>
      </c>
      <c r="D301" s="1">
        <f t="shared" ca="1" si="17"/>
        <v>13.377192402972788</v>
      </c>
      <c r="E301" s="1">
        <f t="shared" ca="1" si="18"/>
        <v>0.28135476501071272</v>
      </c>
      <c r="F301" s="1" t="e">
        <f t="shared" ca="1" si="19"/>
        <v>#DIV/0!</v>
      </c>
    </row>
    <row r="302" spans="1:6" x14ac:dyDescent="0.15">
      <c r="A302" s="1">
        <v>15.518000000000001</v>
      </c>
      <c r="B302" s="1">
        <v>2.6652999999999998</v>
      </c>
      <c r="C302" s="1">
        <f t="shared" ca="1" si="16"/>
        <v>5.9499999999999886E-2</v>
      </c>
      <c r="D302" s="1">
        <f t="shared" ca="1" si="17"/>
        <v>-45.568220046083063</v>
      </c>
      <c r="E302" s="1">
        <f t="shared" ca="1" si="18"/>
        <v>0.28578607504467102</v>
      </c>
      <c r="F302" s="1" t="e">
        <f t="shared" ca="1" si="19"/>
        <v>#DIV/0!</v>
      </c>
    </row>
    <row r="303" spans="1:6" x14ac:dyDescent="0.15">
      <c r="A303" s="1">
        <v>15.577500000000001</v>
      </c>
      <c r="B303" s="1">
        <v>2.8065699999999998</v>
      </c>
      <c r="C303" s="1">
        <f t="shared" ca="1" si="16"/>
        <v>4.9599999999999866E-2</v>
      </c>
      <c r="D303" s="1">
        <f t="shared" ca="1" si="17"/>
        <v>408.99630629944659</v>
      </c>
      <c r="E303" s="1">
        <f t="shared" ca="1" si="18"/>
        <v>0.2465261084874896</v>
      </c>
      <c r="F303" s="1" t="e">
        <f t="shared" ca="1" si="19"/>
        <v>#DIV/0!</v>
      </c>
    </row>
    <row r="304" spans="1:6" x14ac:dyDescent="0.15">
      <c r="A304" s="1">
        <v>15.6271</v>
      </c>
      <c r="B304" s="1">
        <v>2.1709399999999999</v>
      </c>
      <c r="C304" s="1">
        <f t="shared" ca="1" si="16"/>
        <v>5.3000000000000824E-3</v>
      </c>
      <c r="D304" s="1">
        <f t="shared" ca="1" si="17"/>
        <v>-393.98767809009826</v>
      </c>
      <c r="E304" s="1">
        <f t="shared" ca="1" si="18"/>
        <v>5.4318692163385057E-2</v>
      </c>
      <c r="F304" s="1" t="e">
        <f t="shared" ca="1" si="19"/>
        <v>#DIV/0!</v>
      </c>
    </row>
    <row r="305" spans="1:6" x14ac:dyDescent="0.15">
      <c r="A305" s="1">
        <v>15.632400000000001</v>
      </c>
      <c r="B305" s="1">
        <v>2.82558</v>
      </c>
      <c r="C305" s="1">
        <f t="shared" ca="1" si="16"/>
        <v>3.4299999999999997E-2</v>
      </c>
      <c r="D305" s="1">
        <f t="shared" ca="1" si="17"/>
        <v>47.427622544344999</v>
      </c>
      <c r="E305" s="1">
        <f t="shared" ca="1" si="18"/>
        <v>0.43466078394176261</v>
      </c>
      <c r="F305" s="1" t="e">
        <f t="shared" ca="1" si="19"/>
        <v>#DIV/0!</v>
      </c>
    </row>
    <row r="306" spans="1:6" x14ac:dyDescent="0.15">
      <c r="A306" s="1">
        <v>15.666700000000001</v>
      </c>
      <c r="B306" s="1">
        <v>2.55762</v>
      </c>
      <c r="C306" s="1">
        <f t="shared" ca="1" si="16"/>
        <v>4.2799999999999727E-2</v>
      </c>
      <c r="D306" s="1">
        <f t="shared" ca="1" si="17"/>
        <v>-87.066177425756948</v>
      </c>
      <c r="E306" s="1">
        <f t="shared" ca="1" si="18"/>
        <v>0.30727009271591565</v>
      </c>
      <c r="F306" s="1" t="e">
        <f t="shared" ca="1" si="19"/>
        <v>#DIV/0!</v>
      </c>
    </row>
    <row r="307" spans="1:6" x14ac:dyDescent="0.15">
      <c r="A307" s="1">
        <v>15.7095</v>
      </c>
      <c r="B307" s="1">
        <v>2.8998900000000001</v>
      </c>
      <c r="C307" s="1">
        <f t="shared" ca="1" si="16"/>
        <v>2.5900000000000034E-2</v>
      </c>
      <c r="D307" s="1">
        <f t="shared" ca="1" si="17"/>
        <v>145.45028957528979</v>
      </c>
      <c r="E307" s="1">
        <f t="shared" ca="1" si="18"/>
        <v>0.20845265028937018</v>
      </c>
      <c r="F307" s="1" t="e">
        <f t="shared" ca="1" si="19"/>
        <v>#DIV/0!</v>
      </c>
    </row>
    <row r="308" spans="1:6" x14ac:dyDescent="0.15">
      <c r="A308" s="1">
        <v>15.7354</v>
      </c>
      <c r="B308" s="1">
        <v>2.35534</v>
      </c>
      <c r="C308" s="1">
        <f t="shared" ca="1" si="16"/>
        <v>8.3999999999999631E-3</v>
      </c>
      <c r="D308" s="1">
        <f t="shared" ca="1" si="17"/>
        <v>-122.00000000000043</v>
      </c>
      <c r="E308" s="1">
        <f t="shared" ca="1" si="18"/>
        <v>0.13290912883325348</v>
      </c>
      <c r="F308" s="1" t="e">
        <f t="shared" ca="1" si="19"/>
        <v>#DIV/0!</v>
      </c>
    </row>
    <row r="309" spans="1:6" x14ac:dyDescent="0.15">
      <c r="A309" s="1">
        <v>15.7438</v>
      </c>
      <c r="B309" s="1">
        <v>2.5859899999999998</v>
      </c>
      <c r="C309" s="1">
        <f t="shared" ca="1" si="16"/>
        <v>1.6799999999999926E-2</v>
      </c>
      <c r="D309" s="1">
        <f t="shared" ca="1" si="17"/>
        <v>75.31825842696648</v>
      </c>
      <c r="E309" s="1">
        <f t="shared" ca="1" si="18"/>
        <v>0.34088444237821636</v>
      </c>
      <c r="F309" s="1" t="e">
        <f t="shared" ca="1" si="19"/>
        <v>#DIV/0!</v>
      </c>
    </row>
    <row r="310" spans="1:6" x14ac:dyDescent="0.15">
      <c r="A310" s="1">
        <v>15.7606</v>
      </c>
      <c r="B310" s="1">
        <v>2.36409</v>
      </c>
      <c r="C310" s="1">
        <f t="shared" ca="1" si="16"/>
        <v>5.3399999999999892E-2</v>
      </c>
      <c r="D310" s="1">
        <f t="shared" ca="1" si="17"/>
        <v>-41.715623465526775</v>
      </c>
      <c r="E310" s="1">
        <f t="shared" ca="1" si="18"/>
        <v>0.39651558920768076</v>
      </c>
      <c r="F310" s="1" t="e">
        <f t="shared" ca="1" si="19"/>
        <v>#DIV/0!</v>
      </c>
    </row>
    <row r="311" spans="1:6" x14ac:dyDescent="0.15">
      <c r="A311" s="1">
        <v>15.814</v>
      </c>
      <c r="B311" s="1">
        <v>2.9994299999999998</v>
      </c>
      <c r="C311" s="1">
        <f t="shared" ca="1" si="16"/>
        <v>7.7799999999999869E-2</v>
      </c>
      <c r="D311" s="1">
        <f t="shared" ca="1" si="17"/>
        <v>4.7407603418872277</v>
      </c>
      <c r="E311" s="1">
        <f t="shared" ca="1" si="18"/>
        <v>0.32251904114089741</v>
      </c>
      <c r="F311" s="1" t="e">
        <f t="shared" ca="1" si="19"/>
        <v>#DIV/0!</v>
      </c>
    </row>
    <row r="312" spans="1:6" x14ac:dyDescent="0.15">
      <c r="A312" s="1">
        <v>15.8918</v>
      </c>
      <c r="B312" s="1">
        <v>2.8432499999999998</v>
      </c>
      <c r="C312" s="1">
        <f t="shared" ca="1" si="16"/>
        <v>5.1099999999999923E-2</v>
      </c>
      <c r="D312" s="1">
        <f t="shared" ca="1" si="17"/>
        <v>-1.4952245716194899</v>
      </c>
      <c r="E312" s="1">
        <f t="shared" ca="1" si="18"/>
        <v>0.21958847962176448</v>
      </c>
      <c r="F312" s="1" t="e">
        <f t="shared" ca="1" si="19"/>
        <v>#DIV/0!</v>
      </c>
    </row>
    <row r="313" spans="1:6" x14ac:dyDescent="0.15">
      <c r="A313" s="1">
        <v>15.9429</v>
      </c>
      <c r="B313" s="1">
        <v>2.8214199999999998</v>
      </c>
      <c r="C313" s="1">
        <f t="shared" ca="1" si="16"/>
        <v>3.279999999999994E-2</v>
      </c>
      <c r="D313" s="1">
        <f t="shared" ca="1" si="17"/>
        <v>5.9929457731470031</v>
      </c>
      <c r="E313" s="1">
        <f t="shared" ca="1" si="18"/>
        <v>0.20947888279892382</v>
      </c>
      <c r="F313" s="1" t="e">
        <f t="shared" ca="1" si="19"/>
        <v>#DIV/0!</v>
      </c>
    </row>
    <row r="314" spans="1:6" x14ac:dyDescent="0.15">
      <c r="A314" s="1">
        <v>15.9757</v>
      </c>
      <c r="B314" s="1">
        <v>2.7910599999999999</v>
      </c>
      <c r="C314" s="1">
        <f t="shared" ca="1" si="16"/>
        <v>0.10300000000000153</v>
      </c>
      <c r="D314" s="1">
        <f t="shared" ca="1" si="17"/>
        <v>9.3682990795616448</v>
      </c>
      <c r="E314" s="1">
        <f t="shared" ca="1" si="18"/>
        <v>0.38907699554742858</v>
      </c>
      <c r="F314" s="1" t="e">
        <f t="shared" ca="1" si="19"/>
        <v>#DIV/0!</v>
      </c>
    </row>
    <row r="315" spans="1:6" x14ac:dyDescent="0.15">
      <c r="A315" s="1">
        <v>16.078700000000001</v>
      </c>
      <c r="B315" s="1">
        <v>2.9014799999999998</v>
      </c>
      <c r="C315" s="1">
        <f t="shared" ca="1" si="16"/>
        <v>7.6999999999998181E-3</v>
      </c>
      <c r="D315" s="1">
        <f t="shared" ca="1" si="17"/>
        <v>-7.24140087853349</v>
      </c>
      <c r="E315" s="1">
        <f t="shared" ca="1" si="18"/>
        <v>4.2465170552476506E-2</v>
      </c>
      <c r="F315" s="1" t="e">
        <f t="shared" ca="1" si="19"/>
        <v>#DIV/0!</v>
      </c>
    </row>
    <row r="316" spans="1:6" x14ac:dyDescent="0.15">
      <c r="A316" s="1">
        <v>16.086400000000001</v>
      </c>
      <c r="B316" s="1">
        <v>2.9337800000000001</v>
      </c>
      <c r="C316" s="1">
        <f t="shared" ca="1" si="16"/>
        <v>8.1599999999998118E-2</v>
      </c>
      <c r="D316" s="1">
        <f t="shared" ca="1" si="17"/>
        <v>-18.151684461011563</v>
      </c>
      <c r="E316" s="1">
        <f t="shared" ca="1" si="18"/>
        <v>0.45772490324094772</v>
      </c>
      <c r="F316" s="1" t="e">
        <f t="shared" ca="1" si="19"/>
        <v>#DIV/0!</v>
      </c>
    </row>
    <row r="317" spans="1:6" x14ac:dyDescent="0.15">
      <c r="A317" s="1">
        <v>16.167999999999999</v>
      </c>
      <c r="B317" s="1">
        <v>3.07911</v>
      </c>
      <c r="C317" s="1">
        <f t="shared" ca="1" si="16"/>
        <v>0.15109999999999957</v>
      </c>
      <c r="D317" s="1">
        <f t="shared" ca="1" si="17"/>
        <v>162.7027874021457</v>
      </c>
      <c r="E317" s="1">
        <f t="shared" ca="1" si="18"/>
        <v>0.35299643567718897</v>
      </c>
      <c r="F317" s="1" t="e">
        <f t="shared" ca="1" si="19"/>
        <v>#DIV/0!</v>
      </c>
    </row>
    <row r="318" spans="1:6" x14ac:dyDescent="0.15">
      <c r="A318" s="1">
        <v>16.319099999999999</v>
      </c>
      <c r="B318" s="1">
        <v>2.43398</v>
      </c>
      <c r="C318" s="1">
        <f t="shared" ca="1" si="16"/>
        <v>6.8000000000019156E-3</v>
      </c>
      <c r="D318" s="1">
        <f t="shared" ca="1" si="17"/>
        <v>-36.049673202531572</v>
      </c>
      <c r="E318" s="1">
        <f t="shared" ca="1" si="18"/>
        <v>2.5908488920434052E-2</v>
      </c>
      <c r="F318" s="1" t="e">
        <f t="shared" ca="1" si="19"/>
        <v>#DIV/0!</v>
      </c>
    </row>
    <row r="319" spans="1:6" x14ac:dyDescent="0.15">
      <c r="A319" s="1">
        <v>16.325900000000001</v>
      </c>
      <c r="B319" s="1">
        <v>2.7737400000000001</v>
      </c>
      <c r="C319" s="1">
        <f t="shared" ca="1" si="16"/>
        <v>5.399999999998073E-3</v>
      </c>
      <c r="D319" s="1">
        <f t="shared" ca="1" si="17"/>
        <v>-115.23636544987104</v>
      </c>
      <c r="E319" s="1">
        <f t="shared" ca="1" si="18"/>
        <v>0.22292105426710834</v>
      </c>
      <c r="F319" s="1" t="e">
        <f t="shared" ca="1" si="19"/>
        <v>#DIV/0!</v>
      </c>
    </row>
    <row r="320" spans="1:6" x14ac:dyDescent="0.15">
      <c r="A320" s="1">
        <v>16.331299999999999</v>
      </c>
      <c r="B320" s="1">
        <v>2.9786600000000001</v>
      </c>
      <c r="C320" s="1">
        <f t="shared" ca="1" si="16"/>
        <v>0.16710000000000136</v>
      </c>
      <c r="D320" s="1">
        <f t="shared" ca="1" si="17"/>
        <v>-32.204507566049955</v>
      </c>
      <c r="E320" s="1">
        <f t="shared" ca="1" si="18"/>
        <v>0.4860437294352582</v>
      </c>
      <c r="F320" s="1" t="e">
        <f t="shared" ca="1" si="19"/>
        <v>#DIV/0!</v>
      </c>
    </row>
    <row r="321" spans="1:6" x14ac:dyDescent="0.15">
      <c r="A321" s="1">
        <v>16.4984</v>
      </c>
      <c r="B321" s="1">
        <v>2.9011300000000002</v>
      </c>
      <c r="C321" s="1">
        <f t="shared" ca="1" si="16"/>
        <v>8.3999999999981867E-3</v>
      </c>
      <c r="D321" s="1">
        <f t="shared" ca="1" si="17"/>
        <v>-527.32175324624166</v>
      </c>
      <c r="E321" s="1">
        <f t="shared" ca="1" si="18"/>
        <v>3.1136240038998866E-2</v>
      </c>
      <c r="F321" s="1" t="e">
        <f t="shared" ca="1" si="19"/>
        <v>#DIV/0!</v>
      </c>
    </row>
    <row r="322" spans="1:6" x14ac:dyDescent="0.15">
      <c r="A322" s="1">
        <v>16.506799999999998</v>
      </c>
      <c r="B322" s="1">
        <v>2.8070599999999999</v>
      </c>
      <c r="C322" s="1">
        <f t="shared" ca="1" si="16"/>
        <v>2.2000000000019782E-3</v>
      </c>
      <c r="D322" s="1">
        <f t="shared" ca="1" si="17"/>
        <v>706.72959486115781</v>
      </c>
      <c r="E322" s="1">
        <f t="shared" ca="1" si="18"/>
        <v>0.10506983149786246</v>
      </c>
      <c r="F322" s="1" t="e">
        <f t="shared" ca="1" si="19"/>
        <v>#DIV/0!</v>
      </c>
    </row>
    <row r="323" spans="1:6" x14ac:dyDescent="0.15">
      <c r="A323" s="1">
        <v>16.509</v>
      </c>
      <c r="B323" s="1">
        <v>2.3957199999999998</v>
      </c>
      <c r="C323" s="1">
        <f t="shared" ref="C323:C386" ca="1" si="20" xml:space="preserve"> OFFSET(A323, ROW()-ROW(A323)+1, 0) - OFFSET(A323, ROW()-ROW(A323), 0)</f>
        <v>1.839999999999975E-2</v>
      </c>
      <c r="D323" s="1">
        <f t="shared" ca="1" si="17"/>
        <v>-141.32456045383847</v>
      </c>
      <c r="E323" s="1">
        <f t="shared" ca="1" si="18"/>
        <v>0.44912175054935022</v>
      </c>
      <c r="F323" s="1" t="e">
        <f t="shared" ca="1" si="19"/>
        <v>#DIV/0!</v>
      </c>
    </row>
    <row r="324" spans="1:6" x14ac:dyDescent="0.15">
      <c r="A324" s="1">
        <v>16.5274</v>
      </c>
      <c r="B324" s="1">
        <v>3.2900299999999998</v>
      </c>
      <c r="C324" s="1">
        <f t="shared" ca="1" si="20"/>
        <v>2.5099999999998346E-2</v>
      </c>
      <c r="D324" s="1">
        <f t="shared" ref="D324:D387" ca="1" si="21" xml:space="preserve"> 3*((B326-B325)/C325 - (B325-B324)/C324)</f>
        <v>-212.28357390111739</v>
      </c>
      <c r="E324" s="1">
        <f t="shared" ca="1" si="18"/>
        <v>0.31878618498767358</v>
      </c>
      <c r="F324" s="1" t="e">
        <f t="shared" ca="1" si="19"/>
        <v>#DIV/0!</v>
      </c>
    </row>
    <row r="325" spans="1:6" x14ac:dyDescent="0.15">
      <c r="A325" s="1">
        <v>16.552499999999998</v>
      </c>
      <c r="B325" s="1">
        <v>3.3275700000000001</v>
      </c>
      <c r="C325" s="1">
        <f t="shared" ca="1" si="20"/>
        <v>1.2199999999999989E-2</v>
      </c>
      <c r="D325" s="1">
        <f t="shared" ca="1" si="21"/>
        <v>221.22051163405581</v>
      </c>
      <c r="E325" s="1">
        <f t="shared" ref="E325:E388" ca="1" si="22" xml:space="preserve"> C325 / (2*(C324+C325) - C324*E324)</f>
        <v>0.18318740046298601</v>
      </c>
      <c r="F325" s="1" t="e">
        <f t="shared" ref="F325:F388" ca="1" si="23" xml:space="preserve"> (D325 - C324*F324) / (2*(C324+C325) - C324*E324)</f>
        <v>#DIV/0!</v>
      </c>
    </row>
    <row r="326" spans="1:6" x14ac:dyDescent="0.15">
      <c r="A326" s="1">
        <v>16.564699999999998</v>
      </c>
      <c r="B326" s="1">
        <v>2.4825300000000001</v>
      </c>
      <c r="C326" s="1">
        <f t="shared" ca="1" si="20"/>
        <v>4.9600000000001643E-2</v>
      </c>
      <c r="D326" s="1">
        <f t="shared" ca="1" si="21"/>
        <v>-13.460440196635624</v>
      </c>
      <c r="E326" s="1">
        <f t="shared" ca="1" si="22"/>
        <v>0.40868416369419219</v>
      </c>
      <c r="F326" s="1" t="e">
        <f t="shared" ca="1" si="23"/>
        <v>#DIV/0!</v>
      </c>
    </row>
    <row r="327" spans="1:6" x14ac:dyDescent="0.15">
      <c r="A327" s="1">
        <v>16.6143</v>
      </c>
      <c r="B327" s="1">
        <v>2.7044700000000002</v>
      </c>
      <c r="C327" s="1">
        <f t="shared" ca="1" si="20"/>
        <v>7.9399999999999693E-2</v>
      </c>
      <c r="D327" s="1">
        <f t="shared" ca="1" si="21"/>
        <v>23.046173683577724</v>
      </c>
      <c r="E327" s="1">
        <f t="shared" ca="1" si="22"/>
        <v>0.3339933762022344</v>
      </c>
      <c r="F327" s="1" t="e">
        <f t="shared" ca="1" si="23"/>
        <v>#DIV/0!</v>
      </c>
    </row>
    <row r="328" spans="1:6" x14ac:dyDescent="0.15">
      <c r="A328" s="1">
        <v>16.6937</v>
      </c>
      <c r="B328" s="1">
        <v>2.7035</v>
      </c>
      <c r="C328" s="1">
        <f t="shared" ca="1" si="20"/>
        <v>2.5200000000001666E-2</v>
      </c>
      <c r="D328" s="1">
        <f t="shared" ca="1" si="21"/>
        <v>7.9674441205084472</v>
      </c>
      <c r="E328" s="1">
        <f t="shared" ca="1" si="22"/>
        <v>0.13794543613010016</v>
      </c>
      <c r="F328" s="1" t="e">
        <f t="shared" ca="1" si="23"/>
        <v>#DIV/0!</v>
      </c>
    </row>
    <row r="329" spans="1:6" x14ac:dyDescent="0.15">
      <c r="A329" s="1">
        <v>16.718900000000001</v>
      </c>
      <c r="B329" s="1">
        <v>2.8967800000000001</v>
      </c>
      <c r="C329" s="1">
        <f t="shared" ca="1" si="20"/>
        <v>3.4299999999998221E-2</v>
      </c>
      <c r="D329" s="1">
        <f t="shared" ca="1" si="21"/>
        <v>-41.435341135772219</v>
      </c>
      <c r="E329" s="1">
        <f t="shared" ca="1" si="22"/>
        <v>0.29690858004918336</v>
      </c>
      <c r="F329" s="1" t="e">
        <f t="shared" ca="1" si="23"/>
        <v>#DIV/0!</v>
      </c>
    </row>
    <row r="330" spans="1:6" x14ac:dyDescent="0.15">
      <c r="A330" s="1">
        <v>16.7532</v>
      </c>
      <c r="B330" s="1">
        <v>3.25095</v>
      </c>
      <c r="C330" s="1">
        <f t="shared" ca="1" si="20"/>
        <v>0.10450000000000159</v>
      </c>
      <c r="D330" s="1">
        <f t="shared" ca="1" si="21"/>
        <v>-45.395198222842026</v>
      </c>
      <c r="E330" s="1">
        <f t="shared" ca="1" si="22"/>
        <v>0.39077686468865752</v>
      </c>
      <c r="F330" s="1" t="e">
        <f t="shared" ca="1" si="23"/>
        <v>#DIV/0!</v>
      </c>
    </row>
    <row r="331" spans="1:6" x14ac:dyDescent="0.15">
      <c r="A331" s="1">
        <v>16.857700000000001</v>
      </c>
      <c r="B331" s="1">
        <v>2.8866499999999999</v>
      </c>
      <c r="C331" s="1">
        <f t="shared" ca="1" si="20"/>
        <v>8.3999999999981867E-3</v>
      </c>
      <c r="D331" s="1">
        <f t="shared" ca="1" si="21"/>
        <v>72.098301505703617</v>
      </c>
      <c r="E331" s="1">
        <f t="shared" ca="1" si="22"/>
        <v>4.5414287546474502E-2</v>
      </c>
      <c r="F331" s="1" t="e">
        <f t="shared" ca="1" si="23"/>
        <v>#DIV/0!</v>
      </c>
    </row>
    <row r="332" spans="1:6" x14ac:dyDescent="0.15">
      <c r="A332" s="1">
        <v>16.866099999999999</v>
      </c>
      <c r="B332" s="1">
        <v>2.7302599999999999</v>
      </c>
      <c r="C332" s="1">
        <f t="shared" ca="1" si="20"/>
        <v>3.8900000000001711E-2</v>
      </c>
      <c r="D332" s="1">
        <f t="shared" ca="1" si="21"/>
        <v>-16.580223034866613</v>
      </c>
      <c r="E332" s="1">
        <f t="shared" ca="1" si="22"/>
        <v>0.41286999632721877</v>
      </c>
      <c r="F332" s="1" t="e">
        <f t="shared" ca="1" si="23"/>
        <v>#DIV/0!</v>
      </c>
    </row>
    <row r="333" spans="1:6" x14ac:dyDescent="0.15">
      <c r="A333" s="1">
        <v>16.905000000000001</v>
      </c>
      <c r="B333" s="1">
        <v>2.9409000000000001</v>
      </c>
      <c r="C333" s="1">
        <f t="shared" ca="1" si="20"/>
        <v>7.0999999999997954E-2</v>
      </c>
      <c r="D333" s="1">
        <f t="shared" ca="1" si="21"/>
        <v>-30.136069542253477</v>
      </c>
      <c r="E333" s="1">
        <f t="shared" ca="1" si="22"/>
        <v>0.34848446071325356</v>
      </c>
      <c r="F333" s="1" t="e">
        <f t="shared" ca="1" si="23"/>
        <v>#DIV/0!</v>
      </c>
    </row>
    <row r="334" spans="1:6" x14ac:dyDescent="0.15">
      <c r="A334" s="1">
        <v>16.975999999999999</v>
      </c>
      <c r="B334" s="1">
        <v>2.93296</v>
      </c>
      <c r="C334" s="1">
        <f t="shared" ca="1" si="20"/>
        <v>3.2000000000000028E-2</v>
      </c>
      <c r="D334" s="1">
        <f t="shared" ca="1" si="21"/>
        <v>101.10397629309499</v>
      </c>
      <c r="E334" s="1">
        <f t="shared" ca="1" si="22"/>
        <v>0.17654431824807884</v>
      </c>
      <c r="F334" s="1" t="e">
        <f t="shared" ca="1" si="23"/>
        <v>#DIV/0!</v>
      </c>
    </row>
    <row r="335" spans="1:6" x14ac:dyDescent="0.15">
      <c r="A335" s="1">
        <v>17.007999999999999</v>
      </c>
      <c r="B335" s="1">
        <v>2.6079300000000001</v>
      </c>
      <c r="C335" s="1">
        <f t="shared" ca="1" si="20"/>
        <v>1.4500000000001734E-2</v>
      </c>
      <c r="D335" s="1">
        <f t="shared" ca="1" si="21"/>
        <v>-69.516244248354042</v>
      </c>
      <c r="E335" s="1">
        <f t="shared" ca="1" si="22"/>
        <v>0.16599774951166932</v>
      </c>
      <c r="F335" s="1" t="e">
        <f t="shared" ca="1" si="23"/>
        <v>#DIV/0!</v>
      </c>
    </row>
    <row r="336" spans="1:6" x14ac:dyDescent="0.15">
      <c r="A336" s="1">
        <v>17.022500000000001</v>
      </c>
      <c r="B336" s="1">
        <v>2.9493200000000002</v>
      </c>
      <c r="C336" s="1">
        <f t="shared" ca="1" si="20"/>
        <v>0.12739999999999796</v>
      </c>
      <c r="D336" s="1">
        <f t="shared" ca="1" si="21"/>
        <v>-110.99877824036621</v>
      </c>
      <c r="E336" s="1">
        <f t="shared" ca="1" si="22"/>
        <v>0.45274752828216924</v>
      </c>
      <c r="F336" s="1" t="e">
        <f t="shared" ca="1" si="23"/>
        <v>#DIV/0!</v>
      </c>
    </row>
    <row r="337" spans="1:6" x14ac:dyDescent="0.15">
      <c r="A337" s="1">
        <v>17.149899999999999</v>
      </c>
      <c r="B337" s="1">
        <v>2.9967199999999998</v>
      </c>
      <c r="C337" s="1">
        <f t="shared" ca="1" si="20"/>
        <v>6.9000000000016826E-3</v>
      </c>
      <c r="D337" s="1">
        <f t="shared" ca="1" si="21"/>
        <v>54.77048748349425</v>
      </c>
      <c r="E337" s="1">
        <f t="shared" ca="1" si="22"/>
        <v>3.2713830591504484E-2</v>
      </c>
      <c r="F337" s="1" t="e">
        <f t="shared" ca="1" si="23"/>
        <v>#DIV/0!</v>
      </c>
    </row>
    <row r="338" spans="1:6" x14ac:dyDescent="0.15">
      <c r="A338" s="1">
        <v>17.1568</v>
      </c>
      <c r="B338" s="1">
        <v>2.7439900000000002</v>
      </c>
      <c r="C338" s="1">
        <f t="shared" ca="1" si="20"/>
        <v>9.8999999999982435E-3</v>
      </c>
      <c r="D338" s="1">
        <f t="shared" ca="1" si="21"/>
        <v>83.64853739710216</v>
      </c>
      <c r="E338" s="1">
        <f t="shared" ca="1" si="22"/>
        <v>0.29663566108544426</v>
      </c>
      <c r="F338" s="1" t="e">
        <f t="shared" ca="1" si="23"/>
        <v>#DIV/0!</v>
      </c>
    </row>
    <row r="339" spans="1:6" x14ac:dyDescent="0.15">
      <c r="A339" s="1">
        <v>17.166699999999999</v>
      </c>
      <c r="B339" s="1">
        <v>2.5621200000000002</v>
      </c>
      <c r="C339" s="1">
        <f t="shared" ca="1" si="20"/>
        <v>5.1899999999999835E-2</v>
      </c>
      <c r="D339" s="1">
        <f t="shared" ca="1" si="21"/>
        <v>-48.881220273556622</v>
      </c>
      <c r="E339" s="1">
        <f t="shared" ca="1" si="22"/>
        <v>0.43012247309985863</v>
      </c>
      <c r="F339" s="1" t="e">
        <f t="shared" ca="1" si="23"/>
        <v>#DIV/0!</v>
      </c>
    </row>
    <row r="340" spans="1:6" x14ac:dyDescent="0.15">
      <c r="A340" s="1">
        <v>17.218599999999999</v>
      </c>
      <c r="B340" s="1">
        <v>3.0558000000000001</v>
      </c>
      <c r="C340" s="1">
        <f t="shared" ca="1" si="20"/>
        <v>5.8700000000001751E-2</v>
      </c>
      <c r="D340" s="1">
        <f t="shared" ca="1" si="21"/>
        <v>26.724309388939282</v>
      </c>
      <c r="E340" s="1">
        <f t="shared" ca="1" si="22"/>
        <v>0.29515783715885735</v>
      </c>
      <c r="F340" s="1" t="e">
        <f t="shared" ca="1" si="23"/>
        <v>#DIV/0!</v>
      </c>
    </row>
    <row r="341" spans="1:6" x14ac:dyDescent="0.15">
      <c r="A341" s="1">
        <v>17.2773</v>
      </c>
      <c r="B341" s="1">
        <v>2.6577199999999999</v>
      </c>
      <c r="C341" s="1">
        <f t="shared" ca="1" si="20"/>
        <v>2.8299999999997993E-2</v>
      </c>
      <c r="D341" s="1">
        <f t="shared" ca="1" si="21"/>
        <v>1.1804946996456938</v>
      </c>
      <c r="E341" s="1">
        <f t="shared" ca="1" si="22"/>
        <v>0.18062957197425997</v>
      </c>
      <c r="F341" s="1" t="e">
        <f t="shared" ca="1" si="23"/>
        <v>#DIV/0!</v>
      </c>
    </row>
    <row r="342" spans="1:6" x14ac:dyDescent="0.15">
      <c r="A342" s="1">
        <v>17.305599999999998</v>
      </c>
      <c r="B342" s="1">
        <v>2.7179000000000002</v>
      </c>
      <c r="C342" s="1">
        <f t="shared" ca="1" si="20"/>
        <v>5.8000000000003382E-2</v>
      </c>
      <c r="D342" s="1">
        <f t="shared" ca="1" si="21"/>
        <v>2.8751648351654469</v>
      </c>
      <c r="E342" s="1">
        <f t="shared" ca="1" si="22"/>
        <v>0.34629308720142193</v>
      </c>
      <c r="F342" s="1" t="e">
        <f t="shared" ca="1" si="23"/>
        <v>#DIV/0!</v>
      </c>
    </row>
    <row r="343" spans="1:6" x14ac:dyDescent="0.15">
      <c r="A343" s="1">
        <v>17.363600000000002</v>
      </c>
      <c r="B343" s="1">
        <v>2.8640599999999998</v>
      </c>
      <c r="C343" s="1">
        <f t="shared" ca="1" si="20"/>
        <v>0.13649999999999807</v>
      </c>
      <c r="D343" s="1">
        <f t="shared" ca="1" si="21"/>
        <v>-26.535840510840305</v>
      </c>
      <c r="E343" s="1">
        <f t="shared" ca="1" si="22"/>
        <v>0.37000392949957644</v>
      </c>
      <c r="F343" s="1" t="e">
        <f t="shared" ca="1" si="23"/>
        <v>#DIV/0!</v>
      </c>
    </row>
    <row r="344" spans="1:6" x14ac:dyDescent="0.15">
      <c r="A344" s="1">
        <v>17.5001</v>
      </c>
      <c r="B344" s="1">
        <v>3.3388599999999999</v>
      </c>
      <c r="C344" s="1">
        <f t="shared" ca="1" si="20"/>
        <v>7.400000000000162E-2</v>
      </c>
      <c r="D344" s="1">
        <f t="shared" ca="1" si="21"/>
        <v>27.249040161656705</v>
      </c>
      <c r="E344" s="1">
        <f t="shared" ca="1" si="22"/>
        <v>0.19973307907574969</v>
      </c>
      <c r="F344" s="1" t="e">
        <f t="shared" ca="1" si="23"/>
        <v>#DIV/0!</v>
      </c>
    </row>
    <row r="345" spans="1:6" x14ac:dyDescent="0.15">
      <c r="A345" s="1">
        <v>17.574100000000001</v>
      </c>
      <c r="B345" s="1">
        <v>2.94171</v>
      </c>
      <c r="C345" s="1">
        <f t="shared" ca="1" si="20"/>
        <v>4.2799999999999727E-2</v>
      </c>
      <c r="D345" s="1">
        <f t="shared" ca="1" si="21"/>
        <v>-17.043154401947788</v>
      </c>
      <c r="E345" s="1">
        <f t="shared" ca="1" si="22"/>
        <v>0.19559477414531606</v>
      </c>
      <c r="F345" s="1" t="e">
        <f t="shared" ca="1" si="23"/>
        <v>#DIV/0!</v>
      </c>
    </row>
    <row r="346" spans="1:6" x14ac:dyDescent="0.15">
      <c r="A346" s="1">
        <v>17.616900000000001</v>
      </c>
      <c r="B346" s="1">
        <v>3.1007600000000002</v>
      </c>
      <c r="C346" s="1">
        <f t="shared" ca="1" si="20"/>
        <v>0.17849999999999966</v>
      </c>
      <c r="D346" s="1">
        <f t="shared" ca="1" si="21"/>
        <v>-36.105210084039648</v>
      </c>
      <c r="E346" s="1">
        <f t="shared" ca="1" si="22"/>
        <v>0.41107385178497197</v>
      </c>
      <c r="F346" s="1" t="e">
        <f t="shared" ca="1" si="23"/>
        <v>#DIV/0!</v>
      </c>
    </row>
    <row r="347" spans="1:6" x14ac:dyDescent="0.15">
      <c r="A347" s="1">
        <v>17.795400000000001</v>
      </c>
      <c r="B347" s="1">
        <v>2.7500200000000001</v>
      </c>
      <c r="C347" s="1">
        <f t="shared" ca="1" si="20"/>
        <v>1.2999999999998124E-2</v>
      </c>
      <c r="D347" s="1">
        <f t="shared" ca="1" si="21"/>
        <v>44.455862068971534</v>
      </c>
      <c r="E347" s="1">
        <f t="shared" ca="1" si="22"/>
        <v>4.1986501878462854E-2</v>
      </c>
      <c r="F347" s="1" t="e">
        <f t="shared" ca="1" si="23"/>
        <v>#DIV/0!</v>
      </c>
    </row>
    <row r="348" spans="1:6" x14ac:dyDescent="0.15">
      <c r="A348" s="1">
        <v>17.808399999999999</v>
      </c>
      <c r="B348" s="1">
        <v>2.5680200000000002</v>
      </c>
      <c r="C348" s="1">
        <f t="shared" ca="1" si="20"/>
        <v>2.8999999999999915E-2</v>
      </c>
      <c r="D348" s="1">
        <f t="shared" ca="1" si="21"/>
        <v>8.0371752670587373</v>
      </c>
      <c r="E348" s="1">
        <f t="shared" ca="1" si="22"/>
        <v>0.34749609393105935</v>
      </c>
      <c r="F348" s="1" t="e">
        <f t="shared" ca="1" si="23"/>
        <v>#DIV/0!</v>
      </c>
    </row>
    <row r="349" spans="1:6" x14ac:dyDescent="0.15">
      <c r="A349" s="1">
        <v>17.837399999999999</v>
      </c>
      <c r="B349" s="1">
        <v>2.5917599999999998</v>
      </c>
      <c r="C349" s="1">
        <f t="shared" ca="1" si="20"/>
        <v>9.9099999999999966E-2</v>
      </c>
      <c r="D349" s="1">
        <f t="shared" ca="1" si="21"/>
        <v>-15.339775243785716</v>
      </c>
      <c r="E349" s="1">
        <f t="shared" ca="1" si="22"/>
        <v>0.40264483901310749</v>
      </c>
      <c r="F349" s="1" t="e">
        <f t="shared" ca="1" si="23"/>
        <v>#DIV/0!</v>
      </c>
    </row>
    <row r="350" spans="1:6" x14ac:dyDescent="0.15">
      <c r="A350" s="1">
        <v>17.936499999999999</v>
      </c>
      <c r="B350" s="1">
        <v>2.93838</v>
      </c>
      <c r="C350" s="1">
        <f t="shared" ca="1" si="20"/>
        <v>0.17780000000000129</v>
      </c>
      <c r="D350" s="1">
        <f t="shared" ca="1" si="21"/>
        <v>1088.5867379077199</v>
      </c>
      <c r="E350" s="1">
        <f t="shared" ca="1" si="22"/>
        <v>0.34598312471587334</v>
      </c>
      <c r="F350" s="1" t="e">
        <f t="shared" ca="1" si="23"/>
        <v>#DIV/0!</v>
      </c>
    </row>
    <row r="351" spans="1:6" x14ac:dyDescent="0.15">
      <c r="A351" s="1">
        <v>18.1143</v>
      </c>
      <c r="B351" s="1">
        <v>2.6511300000000002</v>
      </c>
      <c r="C351" s="1">
        <f t="shared" ca="1" si="20"/>
        <v>1.5000000000000568E-3</v>
      </c>
      <c r="D351" s="1">
        <f t="shared" ca="1" si="21"/>
        <v>-1086.8904934210113</v>
      </c>
      <c r="E351" s="1">
        <f t="shared" ca="1" si="22"/>
        <v>5.0490736223992227E-3</v>
      </c>
      <c r="F351" s="1" t="e">
        <f t="shared" ca="1" si="23"/>
        <v>#DIV/0!</v>
      </c>
    </row>
    <row r="352" spans="1:6" x14ac:dyDescent="0.15">
      <c r="A352" s="1">
        <v>18.1158</v>
      </c>
      <c r="B352" s="1">
        <v>3.1930000000000001</v>
      </c>
      <c r="C352" s="1">
        <f t="shared" ca="1" si="20"/>
        <v>0.18240000000000123</v>
      </c>
      <c r="D352" s="1">
        <f t="shared" ca="1" si="21"/>
        <v>26.353941696917538</v>
      </c>
      <c r="E352" s="1">
        <f t="shared" ca="1" si="22"/>
        <v>0.49593190863261966</v>
      </c>
      <c r="F352" s="1" t="e">
        <f t="shared" ca="1" si="23"/>
        <v>#DIV/0!</v>
      </c>
    </row>
    <row r="353" spans="1:6" x14ac:dyDescent="0.15">
      <c r="A353" s="1">
        <v>18.298200000000001</v>
      </c>
      <c r="B353" s="1">
        <v>3.0014500000000002</v>
      </c>
      <c r="C353" s="1">
        <f t="shared" ca="1" si="20"/>
        <v>1.4499999999998181E-2</v>
      </c>
      <c r="D353" s="1">
        <f t="shared" ca="1" si="21"/>
        <v>-64.545755968167271</v>
      </c>
      <c r="E353" s="1">
        <f t="shared" ca="1" si="22"/>
        <v>4.7800828933728903E-2</v>
      </c>
      <c r="F353" s="1" t="e">
        <f t="shared" ca="1" si="23"/>
        <v>#DIV/0!</v>
      </c>
    </row>
    <row r="354" spans="1:6" x14ac:dyDescent="0.15">
      <c r="A354" s="1">
        <v>18.3127</v>
      </c>
      <c r="B354" s="1">
        <v>3.1135999999999999</v>
      </c>
      <c r="C354" s="1">
        <f t="shared" ca="1" si="20"/>
        <v>1.3000000000001677E-2</v>
      </c>
      <c r="D354" s="1">
        <f t="shared" ca="1" si="21"/>
        <v>42.57931556631808</v>
      </c>
      <c r="E354" s="1">
        <f t="shared" ca="1" si="22"/>
        <v>0.2393803158943483</v>
      </c>
      <c r="F354" s="1" t="e">
        <f t="shared" ca="1" si="23"/>
        <v>#DIV/0!</v>
      </c>
    </row>
    <row r="355" spans="1:6" x14ac:dyDescent="0.15">
      <c r="A355" s="1">
        <v>18.325700000000001</v>
      </c>
      <c r="B355" s="1">
        <v>2.93445</v>
      </c>
      <c r="C355" s="1">
        <f t="shared" ca="1" si="20"/>
        <v>3.8100000000000023E-2</v>
      </c>
      <c r="D355" s="1">
        <f t="shared" ca="1" si="21"/>
        <v>-36.35665073115873</v>
      </c>
      <c r="E355" s="1">
        <f t="shared" ca="1" si="22"/>
        <v>0.38450648422245226</v>
      </c>
      <c r="F355" s="1" t="e">
        <f t="shared" ca="1" si="23"/>
        <v>#DIV/0!</v>
      </c>
    </row>
    <row r="356" spans="1:6" x14ac:dyDescent="0.15">
      <c r="A356" s="1">
        <v>18.363800000000001</v>
      </c>
      <c r="B356" s="1">
        <v>2.9501599999999999</v>
      </c>
      <c r="C356" s="1">
        <f t="shared" ca="1" si="20"/>
        <v>3.3599999999999852E-2</v>
      </c>
      <c r="D356" s="1">
        <f t="shared" ca="1" si="21"/>
        <v>38.722891954615989</v>
      </c>
      <c r="E356" s="1">
        <f t="shared" ca="1" si="22"/>
        <v>0.26097025971857291</v>
      </c>
      <c r="F356" s="1" t="e">
        <f t="shared" ca="1" si="23"/>
        <v>#DIV/0!</v>
      </c>
    </row>
    <row r="357" spans="1:6" x14ac:dyDescent="0.15">
      <c r="A357" s="1">
        <v>18.397400000000001</v>
      </c>
      <c r="B357" s="1">
        <v>2.5568200000000001</v>
      </c>
      <c r="C357" s="1">
        <f t="shared" ca="1" si="20"/>
        <v>8.3099999999998175E-2</v>
      </c>
      <c r="D357" s="1">
        <f t="shared" ca="1" si="21"/>
        <v>108.04184894174369</v>
      </c>
      <c r="E357" s="1">
        <f t="shared" ca="1" si="22"/>
        <v>0.36993937743688937</v>
      </c>
      <c r="F357" s="1" t="e">
        <f t="shared" ca="1" si="23"/>
        <v>#DIV/0!</v>
      </c>
    </row>
    <row r="358" spans="1:6" x14ac:dyDescent="0.15">
      <c r="A358" s="1">
        <v>18.480499999999999</v>
      </c>
      <c r="B358" s="1">
        <v>2.6566299999999998</v>
      </c>
      <c r="C358" s="1">
        <f t="shared" ca="1" si="20"/>
        <v>1.5299999999999869E-2</v>
      </c>
      <c r="D358" s="1">
        <f t="shared" ca="1" si="21"/>
        <v>-198.27132754741359</v>
      </c>
      <c r="E358" s="1">
        <f t="shared" ca="1" si="22"/>
        <v>9.2136461496774028E-2</v>
      </c>
      <c r="F358" s="1" t="e">
        <f t="shared" ca="1" si="23"/>
        <v>#DIV/0!</v>
      </c>
    </row>
    <row r="359" spans="1:6" x14ac:dyDescent="0.15">
      <c r="A359" s="1">
        <v>18.495799999999999</v>
      </c>
      <c r="B359" s="1">
        <v>3.2260200000000001</v>
      </c>
      <c r="C359" s="1">
        <f t="shared" ca="1" si="20"/>
        <v>6.0999999999999943E-3</v>
      </c>
      <c r="D359" s="1">
        <f t="shared" ca="1" si="21"/>
        <v>53.769707769065953</v>
      </c>
      <c r="E359" s="1">
        <f t="shared" ca="1" si="22"/>
        <v>0.14737748242873644</v>
      </c>
      <c r="F359" s="1" t="e">
        <f t="shared" ca="1" si="23"/>
        <v>#DIV/0!</v>
      </c>
    </row>
    <row r="360" spans="1:6" x14ac:dyDescent="0.15">
      <c r="A360" s="1">
        <v>18.501899999999999</v>
      </c>
      <c r="B360" s="1">
        <v>3.0498799999999999</v>
      </c>
      <c r="C360" s="1">
        <f t="shared" ca="1" si="20"/>
        <v>4.5999999999999375E-3</v>
      </c>
      <c r="D360" s="1">
        <f t="shared" ca="1" si="21"/>
        <v>100.81704805490943</v>
      </c>
      <c r="E360" s="1">
        <f t="shared" ca="1" si="22"/>
        <v>0.22437932749588244</v>
      </c>
      <c r="F360" s="1" t="e">
        <f t="shared" ca="1" si="23"/>
        <v>#DIV/0!</v>
      </c>
    </row>
    <row r="361" spans="1:6" x14ac:dyDescent="0.15">
      <c r="A361" s="1">
        <v>18.506499999999999</v>
      </c>
      <c r="B361" s="1">
        <v>2.9994999999999998</v>
      </c>
      <c r="C361" s="1">
        <f t="shared" ca="1" si="20"/>
        <v>1.1400000000001853E-2</v>
      </c>
      <c r="D361" s="1">
        <f t="shared" ca="1" si="21"/>
        <v>-138.33173050426714</v>
      </c>
      <c r="E361" s="1">
        <f t="shared" ca="1" si="22"/>
        <v>0.36812365485352455</v>
      </c>
      <c r="F361" s="1" t="e">
        <f t="shared" ca="1" si="23"/>
        <v>#DIV/0!</v>
      </c>
    </row>
    <row r="362" spans="1:6" x14ac:dyDescent="0.15">
      <c r="A362" s="1">
        <v>18.517900000000001</v>
      </c>
      <c r="B362" s="1">
        <v>3.2577500000000001</v>
      </c>
      <c r="C362" s="1">
        <f t="shared" ca="1" si="20"/>
        <v>1.9099999999998118E-2</v>
      </c>
      <c r="D362" s="1">
        <f t="shared" ca="1" si="21"/>
        <v>303.59294331886656</v>
      </c>
      <c r="E362" s="1">
        <f t="shared" ca="1" si="22"/>
        <v>0.33624753535777469</v>
      </c>
      <c r="F362" s="1" t="e">
        <f t="shared" ca="1" si="23"/>
        <v>#DIV/0!</v>
      </c>
    </row>
    <row r="363" spans="1:6" x14ac:dyDescent="0.15">
      <c r="A363" s="1">
        <v>18.536999999999999</v>
      </c>
      <c r="B363" s="1">
        <v>2.80972</v>
      </c>
      <c r="C363" s="1">
        <f t="shared" ca="1" si="20"/>
        <v>6.9000000000016826E-3</v>
      </c>
      <c r="D363" s="1">
        <f t="shared" ca="1" si="21"/>
        <v>-244.54255401080314</v>
      </c>
      <c r="E363" s="1">
        <f t="shared" ca="1" si="22"/>
        <v>0.15138991716597311</v>
      </c>
      <c r="F363" s="1" t="e">
        <f t="shared" ca="1" si="23"/>
        <v>#DIV/0!</v>
      </c>
    </row>
    <row r="364" spans="1:6" x14ac:dyDescent="0.15">
      <c r="A364" s="1">
        <v>18.543900000000001</v>
      </c>
      <c r="B364" s="1">
        <v>3.34613</v>
      </c>
      <c r="C364" s="1">
        <f t="shared" ca="1" si="20"/>
        <v>0.11289999999999978</v>
      </c>
      <c r="D364" s="1">
        <f t="shared" ca="1" si="21"/>
        <v>-2.6835601195763528</v>
      </c>
      <c r="E364" s="1">
        <f t="shared" ca="1" si="22"/>
        <v>0.47326531057403715</v>
      </c>
      <c r="F364" s="1" t="e">
        <f t="shared" ca="1" si="23"/>
        <v>#DIV/0!</v>
      </c>
    </row>
    <row r="365" spans="1:6" x14ac:dyDescent="0.15">
      <c r="A365" s="1">
        <v>18.6568</v>
      </c>
      <c r="B365" s="1">
        <v>2.9200900000000001</v>
      </c>
      <c r="C365" s="1">
        <f t="shared" ca="1" si="20"/>
        <v>1.5999999999998238E-2</v>
      </c>
      <c r="D365" s="1">
        <f t="shared" ca="1" si="21"/>
        <v>10.651645742359593</v>
      </c>
      <c r="E365" s="1">
        <f t="shared" ca="1" si="22"/>
        <v>7.8290010556963288E-2</v>
      </c>
      <c r="F365" s="1" t="e">
        <f t="shared" ca="1" si="23"/>
        <v>#DIV/0!</v>
      </c>
    </row>
    <row r="366" spans="1:6" x14ac:dyDescent="0.15">
      <c r="A366" s="1">
        <v>18.672799999999999</v>
      </c>
      <c r="B366" s="1">
        <v>2.8454000000000002</v>
      </c>
      <c r="C366" s="1">
        <f t="shared" ca="1" si="20"/>
        <v>9.1599999999999682E-2</v>
      </c>
      <c r="D366" s="1">
        <f t="shared" ca="1" si="21"/>
        <v>5.9622079306276534</v>
      </c>
      <c r="E366" s="1">
        <f t="shared" ca="1" si="22"/>
        <v>0.42814269861670456</v>
      </c>
      <c r="F366" s="1" t="e">
        <f t="shared" ca="1" si="23"/>
        <v>#DIV/0!</v>
      </c>
    </row>
    <row r="367" spans="1:6" x14ac:dyDescent="0.15">
      <c r="A367" s="1">
        <v>18.764399999999998</v>
      </c>
      <c r="B367" s="1">
        <v>2.7430300000000001</v>
      </c>
      <c r="C367" s="1">
        <f t="shared" ca="1" si="20"/>
        <v>6.3300000000001688E-2</v>
      </c>
      <c r="D367" s="1">
        <f t="shared" ca="1" si="21"/>
        <v>125.83337846989906</v>
      </c>
      <c r="E367" s="1">
        <f t="shared" ca="1" si="22"/>
        <v>0.23394006204016277</v>
      </c>
      <c r="F367" s="1" t="e">
        <f t="shared" ca="1" si="23"/>
        <v>#DIV/0!</v>
      </c>
    </row>
    <row r="368" spans="1:6" x14ac:dyDescent="0.15">
      <c r="A368" s="1">
        <v>18.8277</v>
      </c>
      <c r="B368" s="1">
        <v>2.7980900000000002</v>
      </c>
      <c r="C368" s="1">
        <f t="shared" ca="1" si="20"/>
        <v>8.3999999999981867E-3</v>
      </c>
      <c r="D368" s="1">
        <f t="shared" ca="1" si="21"/>
        <v>-125.519408867023</v>
      </c>
      <c r="E368" s="1">
        <f t="shared" ca="1" si="22"/>
        <v>6.5323087878037644E-2</v>
      </c>
      <c r="F368" s="1" t="e">
        <f t="shared" ca="1" si="23"/>
        <v>#DIV/0!</v>
      </c>
    </row>
    <row r="369" spans="1:6" x14ac:dyDescent="0.15">
      <c r="A369" s="1">
        <v>18.836099999999998</v>
      </c>
      <c r="B369" s="1">
        <v>3.1577299999999999</v>
      </c>
      <c r="C369" s="1">
        <f t="shared" ca="1" si="20"/>
        <v>1.4500000000001734E-2</v>
      </c>
      <c r="D369" s="1">
        <f t="shared" ca="1" si="21"/>
        <v>-30.661055113468688</v>
      </c>
      <c r="E369" s="1">
        <f t="shared" ca="1" si="22"/>
        <v>0.32043288184541646</v>
      </c>
      <c r="F369" s="1" t="e">
        <f t="shared" ca="1" si="23"/>
        <v>#DIV/0!</v>
      </c>
    </row>
    <row r="370" spans="1:6" x14ac:dyDescent="0.15">
      <c r="A370" s="1">
        <v>18.8506</v>
      </c>
      <c r="B370" s="1">
        <v>3.1718600000000001</v>
      </c>
      <c r="C370" s="1">
        <f t="shared" ca="1" si="20"/>
        <v>3.5099999999999909E-2</v>
      </c>
      <c r="D370" s="1">
        <f t="shared" ca="1" si="21"/>
        <v>22.236269044964775</v>
      </c>
      <c r="E370" s="1">
        <f t="shared" ca="1" si="22"/>
        <v>0.37121753440464661</v>
      </c>
      <c r="F370" s="1" t="e">
        <f t="shared" ca="1" si="23"/>
        <v>#DIV/0!</v>
      </c>
    </row>
    <row r="371" spans="1:6" x14ac:dyDescent="0.15">
      <c r="A371" s="1">
        <v>18.8857</v>
      </c>
      <c r="B371" s="1">
        <v>2.8473299999999999</v>
      </c>
      <c r="C371" s="1">
        <f t="shared" ca="1" si="20"/>
        <v>0.14949999999999974</v>
      </c>
      <c r="D371" s="1">
        <f t="shared" ca="1" si="21"/>
        <v>38.371858023856156</v>
      </c>
      <c r="E371" s="1">
        <f t="shared" ca="1" si="22"/>
        <v>0.41974306920897997</v>
      </c>
      <c r="F371" s="1" t="e">
        <f t="shared" ca="1" si="23"/>
        <v>#DIV/0!</v>
      </c>
    </row>
    <row r="372" spans="1:6" x14ac:dyDescent="0.15">
      <c r="A372" s="1">
        <v>19.0352</v>
      </c>
      <c r="B372" s="1">
        <v>2.5731799999999998</v>
      </c>
      <c r="C372" s="1">
        <f t="shared" ca="1" si="20"/>
        <v>5.1899999999999835E-2</v>
      </c>
      <c r="D372" s="1">
        <f t="shared" ca="1" si="21"/>
        <v>-42.103307116459938</v>
      </c>
      <c r="E372" s="1">
        <f t="shared" ca="1" si="22"/>
        <v>0.15262532715263583</v>
      </c>
      <c r="F372" s="1" t="e">
        <f t="shared" ca="1" si="23"/>
        <v>#DIV/0!</v>
      </c>
    </row>
    <row r="373" spans="1:6" x14ac:dyDescent="0.15">
      <c r="A373" s="1">
        <v>19.0871</v>
      </c>
      <c r="B373" s="1">
        <v>3.1418400000000002</v>
      </c>
      <c r="C373" s="1">
        <f t="shared" ca="1" si="20"/>
        <v>3.6599999999999966E-2</v>
      </c>
      <c r="D373" s="1">
        <f t="shared" ca="1" si="21"/>
        <v>-47.77842806802542</v>
      </c>
      <c r="E373" s="1">
        <f t="shared" ca="1" si="22"/>
        <v>0.21646718449009456</v>
      </c>
      <c r="F373" s="1" t="e">
        <f t="shared" ca="1" si="23"/>
        <v>#DIV/0!</v>
      </c>
    </row>
    <row r="374" spans="1:6" x14ac:dyDescent="0.15">
      <c r="A374" s="1">
        <v>19.123699999999999</v>
      </c>
      <c r="B374" s="1">
        <v>3.0291999999999999</v>
      </c>
      <c r="C374" s="1">
        <f t="shared" ca="1" si="20"/>
        <v>2.1399999999999864E-2</v>
      </c>
      <c r="D374" s="1">
        <f t="shared" ca="1" si="21"/>
        <v>193.78098239511152</v>
      </c>
      <c r="E374" s="1">
        <f t="shared" ca="1" si="22"/>
        <v>0.19800642496209672</v>
      </c>
      <c r="F374" s="1" t="e">
        <f t="shared" ca="1" si="23"/>
        <v>#DIV/0!</v>
      </c>
    </row>
    <row r="375" spans="1:6" x14ac:dyDescent="0.15">
      <c r="A375" s="1">
        <v>19.145099999999999</v>
      </c>
      <c r="B375" s="1">
        <v>2.6225200000000002</v>
      </c>
      <c r="C375" s="1">
        <f t="shared" ca="1" si="20"/>
        <v>1.290000000000191E-2</v>
      </c>
      <c r="D375" s="1">
        <f t="shared" ca="1" si="21"/>
        <v>-150.48600675807953</v>
      </c>
      <c r="E375" s="1">
        <f t="shared" ca="1" si="22"/>
        <v>0.20042676138260263</v>
      </c>
      <c r="F375" s="1" t="e">
        <f t="shared" ca="1" si="23"/>
        <v>#DIV/0!</v>
      </c>
    </row>
    <row r="376" spans="1:6" x14ac:dyDescent="0.15">
      <c r="A376" s="1">
        <v>19.158000000000001</v>
      </c>
      <c r="B376" s="1">
        <v>3.2106300000000001</v>
      </c>
      <c r="C376" s="1">
        <f t="shared" ca="1" si="20"/>
        <v>7.0199999999999818E-2</v>
      </c>
      <c r="D376" s="1">
        <f t="shared" ca="1" si="21"/>
        <v>22.78992863662787</v>
      </c>
      <c r="E376" s="1">
        <f t="shared" ca="1" si="22"/>
        <v>0.4290573405197301</v>
      </c>
      <c r="F376" s="1" t="e">
        <f t="shared" ca="1" si="23"/>
        <v>#DIV/0!</v>
      </c>
    </row>
    <row r="377" spans="1:6" x14ac:dyDescent="0.15">
      <c r="A377" s="1">
        <v>19.228200000000001</v>
      </c>
      <c r="B377" s="1">
        <v>2.8896700000000002</v>
      </c>
      <c r="C377" s="1">
        <f t="shared" ca="1" si="20"/>
        <v>0.10299999999999798</v>
      </c>
      <c r="D377" s="1">
        <f t="shared" ca="1" si="21"/>
        <v>-16.16975231251444</v>
      </c>
      <c r="E377" s="1">
        <f t="shared" ca="1" si="22"/>
        <v>0.32566062700312526</v>
      </c>
      <c r="F377" s="1" t="e">
        <f t="shared" ca="1" si="23"/>
        <v>#DIV/0!</v>
      </c>
    </row>
    <row r="378" spans="1:6" x14ac:dyDescent="0.15">
      <c r="A378" s="1">
        <v>19.331199999999999</v>
      </c>
      <c r="B378" s="1">
        <v>3.2012</v>
      </c>
      <c r="C378" s="1">
        <f t="shared" ca="1" si="20"/>
        <v>0.13970000000000127</v>
      </c>
      <c r="D378" s="1">
        <f t="shared" ca="1" si="21"/>
        <v>31.083734225003486</v>
      </c>
      <c r="E378" s="1">
        <f t="shared" ca="1" si="22"/>
        <v>0.30916863915607845</v>
      </c>
      <c r="F378" s="1" t="e">
        <f t="shared" ca="1" si="23"/>
        <v>#DIV/0!</v>
      </c>
    </row>
    <row r="379" spans="1:6" x14ac:dyDescent="0.15">
      <c r="A379" s="1">
        <v>19.4709</v>
      </c>
      <c r="B379" s="1">
        <v>2.8707600000000002</v>
      </c>
      <c r="C379" s="1">
        <f t="shared" ca="1" si="20"/>
        <v>5.1099999999998147E-2</v>
      </c>
      <c r="D379" s="1">
        <f t="shared" ca="1" si="21"/>
        <v>-39.673385518548784</v>
      </c>
      <c r="E379" s="1">
        <f t="shared" ca="1" si="22"/>
        <v>0.15100064919169556</v>
      </c>
      <c r="F379" s="1" t="e">
        <f t="shared" ca="1" si="23"/>
        <v>#DIV/0!</v>
      </c>
    </row>
    <row r="380" spans="1:6" x14ac:dyDescent="0.15">
      <c r="A380" s="1">
        <v>19.521999999999998</v>
      </c>
      <c r="B380" s="1">
        <v>3.27935</v>
      </c>
      <c r="C380" s="1">
        <f t="shared" ca="1" si="20"/>
        <v>7.0000000000192131E-4</v>
      </c>
      <c r="D380" s="1">
        <f t="shared" ca="1" si="21"/>
        <v>-6.6875866852032644</v>
      </c>
      <c r="E380" s="1">
        <f t="shared" ca="1" si="22"/>
        <v>7.3004982294882104E-3</v>
      </c>
      <c r="F380" s="1" t="e">
        <f t="shared" ca="1" si="23"/>
        <v>#DIV/0!</v>
      </c>
    </row>
    <row r="381" spans="1:6" x14ac:dyDescent="0.15">
      <c r="A381" s="1">
        <v>19.5227</v>
      </c>
      <c r="B381" s="1">
        <v>3.27569</v>
      </c>
      <c r="C381" s="1">
        <f t="shared" ca="1" si="20"/>
        <v>6.1799999999998079E-2</v>
      </c>
      <c r="D381" s="1">
        <f t="shared" ca="1" si="21"/>
        <v>32.497916355489473</v>
      </c>
      <c r="E381" s="1">
        <f t="shared" ca="1" si="22"/>
        <v>0.49442021327777796</v>
      </c>
      <c r="F381" s="1" t="e">
        <f t="shared" ca="1" si="23"/>
        <v>#DIV/0!</v>
      </c>
    </row>
    <row r="382" spans="1:6" x14ac:dyDescent="0.15">
      <c r="A382" s="1">
        <v>19.584499999999998</v>
      </c>
      <c r="B382" s="1">
        <v>2.8148</v>
      </c>
      <c r="C382" s="1">
        <f t="shared" ca="1" si="20"/>
        <v>3.9000000000001478E-2</v>
      </c>
      <c r="D382" s="1">
        <f t="shared" ca="1" si="21"/>
        <v>7.1332793522269942</v>
      </c>
      <c r="E382" s="1">
        <f t="shared" ca="1" si="22"/>
        <v>0.22801039828659039</v>
      </c>
      <c r="F382" s="1" t="e">
        <f t="shared" ca="1" si="23"/>
        <v>#DIV/0!</v>
      </c>
    </row>
    <row r="383" spans="1:6" x14ac:dyDescent="0.15">
      <c r="A383" s="1">
        <v>19.6235</v>
      </c>
      <c r="B383" s="1">
        <v>2.9464199999999998</v>
      </c>
      <c r="C383" s="1">
        <f t="shared" ca="1" si="20"/>
        <v>1.5200000000000102E-2</v>
      </c>
      <c r="D383" s="1">
        <f t="shared" ca="1" si="21"/>
        <v>-24.905088084035071</v>
      </c>
      <c r="E383" s="1">
        <f t="shared" ca="1" si="22"/>
        <v>0.15275216008831902</v>
      </c>
      <c r="F383" s="1" t="e">
        <f t="shared" ca="1" si="23"/>
        <v>#DIV/0!</v>
      </c>
    </row>
    <row r="384" spans="1:6" x14ac:dyDescent="0.15">
      <c r="A384" s="1">
        <v>19.6387</v>
      </c>
      <c r="B384" s="1">
        <v>3.0338599999999998</v>
      </c>
      <c r="C384" s="1">
        <f t="shared" ca="1" si="20"/>
        <v>4.8100000000001586E-2</v>
      </c>
      <c r="D384" s="1">
        <f t="shared" ca="1" si="21"/>
        <v>23.005390068504578</v>
      </c>
      <c r="E384" s="1">
        <f t="shared" ca="1" si="22"/>
        <v>0.38703499654527396</v>
      </c>
      <c r="F384" s="1" t="e">
        <f t="shared" ca="1" si="23"/>
        <v>#DIV/0!</v>
      </c>
    </row>
    <row r="385" spans="1:6" x14ac:dyDescent="0.15">
      <c r="A385" s="1">
        <v>19.686800000000002</v>
      </c>
      <c r="B385" s="1">
        <v>2.9112499999999999</v>
      </c>
      <c r="C385" s="1">
        <f t="shared" ca="1" si="20"/>
        <v>3.6599999999999966E-2</v>
      </c>
      <c r="D385" s="1">
        <f t="shared" ca="1" si="21"/>
        <v>-25.433684186493085</v>
      </c>
      <c r="E385" s="1">
        <f t="shared" ca="1" si="22"/>
        <v>0.242731941368869</v>
      </c>
      <c r="F385" s="1" t="e">
        <f t="shared" ca="1" si="23"/>
        <v>#DIV/0!</v>
      </c>
    </row>
    <row r="386" spans="1:6" x14ac:dyDescent="0.15">
      <c r="A386" s="1">
        <v>19.723400000000002</v>
      </c>
      <c r="B386" s="1">
        <v>3.0986199999999999</v>
      </c>
      <c r="C386" s="1">
        <f t="shared" ca="1" si="20"/>
        <v>3.5899999999998045E-2</v>
      </c>
      <c r="D386" s="1">
        <f t="shared" ca="1" si="21"/>
        <v>-71.370941106230134</v>
      </c>
      <c r="E386" s="1">
        <f t="shared" ca="1" si="22"/>
        <v>0.2637456075190735</v>
      </c>
      <c r="F386" s="1" t="e">
        <f t="shared" ca="1" si="23"/>
        <v>#DIV/0!</v>
      </c>
    </row>
    <row r="387" spans="1:6" x14ac:dyDescent="0.15">
      <c r="A387" s="1">
        <v>19.7593</v>
      </c>
      <c r="B387" s="1">
        <v>2.9780500000000001</v>
      </c>
      <c r="C387" s="1">
        <f t="shared" ref="C387:C450" ca="1" si="24" xml:space="preserve"> OFFSET(A387, ROW()-ROW(A387)+1, 0) - OFFSET(A387, ROW()-ROW(A387), 0)</f>
        <v>8.4000000000017394E-3</v>
      </c>
      <c r="D387" s="1">
        <f t="shared" ca="1" si="21"/>
        <v>381.03976190473384</v>
      </c>
      <c r="E387" s="1">
        <f t="shared" ca="1" si="22"/>
        <v>0.10615237332634563</v>
      </c>
      <c r="F387" s="1" t="e">
        <f t="shared" ca="1" si="23"/>
        <v>#DIV/0!</v>
      </c>
    </row>
    <row r="388" spans="1:6" x14ac:dyDescent="0.15">
      <c r="A388" s="1">
        <v>19.767700000000001</v>
      </c>
      <c r="B388" s="1">
        <v>2.75</v>
      </c>
      <c r="C388" s="1">
        <f t="shared" ca="1" si="24"/>
        <v>4.5000000000001705E-3</v>
      </c>
      <c r="D388" s="1">
        <f t="shared" ref="D388:D451" ca="1" si="25" xml:space="preserve"> 3*((B390-B389)/C389 - (B389-B388)/C388)</f>
        <v>-392.20316939889597</v>
      </c>
      <c r="E388" s="1">
        <f t="shared" ca="1" si="22"/>
        <v>0.18066252514928777</v>
      </c>
      <c r="F388" s="1" t="e">
        <f t="shared" ca="1" si="23"/>
        <v>#DIV/0!</v>
      </c>
    </row>
    <row r="389" spans="1:6" x14ac:dyDescent="0.15">
      <c r="A389" s="1">
        <v>19.772200000000002</v>
      </c>
      <c r="B389" s="1">
        <v>3.1993900000000002</v>
      </c>
      <c r="C389" s="1">
        <f t="shared" ca="1" si="24"/>
        <v>1.8299999999999983E-2</v>
      </c>
      <c r="D389" s="1">
        <f t="shared" ca="1" si="25"/>
        <v>120.38079676426398</v>
      </c>
      <c r="E389" s="1">
        <f t="shared" ref="E389:E452" ca="1" si="26" xml:space="preserve"> C389 / (2*(C388+C389) - C388*E388)</f>
        <v>0.4086005400000402</v>
      </c>
      <c r="F389" s="1" t="e">
        <f t="shared" ref="F389:F452" ca="1" si="27" xml:space="preserve"> (D389 - C388*F388) / (2*(C388+C389) - C388*E388)</f>
        <v>#DIV/0!</v>
      </c>
    </row>
    <row r="390" spans="1:6" x14ac:dyDescent="0.15">
      <c r="A390" s="1">
        <v>19.790500000000002</v>
      </c>
      <c r="B390" s="1">
        <v>2.6344699999999999</v>
      </c>
      <c r="C390" s="1">
        <f t="shared" ca="1" si="24"/>
        <v>4.5799999999999841E-2</v>
      </c>
      <c r="D390" s="1">
        <f t="shared" ca="1" si="25"/>
        <v>-67.669869789599389</v>
      </c>
      <c r="E390" s="1">
        <f t="shared" ca="1" si="26"/>
        <v>0.3793821220004534</v>
      </c>
      <c r="F390" s="1" t="e">
        <f t="shared" ca="1" si="27"/>
        <v>#DIV/0!</v>
      </c>
    </row>
    <row r="391" spans="1:6" x14ac:dyDescent="0.15">
      <c r="A391" s="1">
        <v>19.836300000000001</v>
      </c>
      <c r="B391" s="1">
        <v>3.05844</v>
      </c>
      <c r="C391" s="1">
        <f t="shared" ca="1" si="24"/>
        <v>2.7499999999999858E-2</v>
      </c>
      <c r="D391" s="1">
        <f t="shared" ca="1" si="25"/>
        <v>62.415482124617228</v>
      </c>
      <c r="E391" s="1">
        <f t="shared" ca="1" si="26"/>
        <v>0.2128082740841738</v>
      </c>
      <c r="F391" s="1" t="e">
        <f t="shared" ca="1" si="27"/>
        <v>#DIV/0!</v>
      </c>
    </row>
    <row r="392" spans="1:6" x14ac:dyDescent="0.15">
      <c r="A392" s="1">
        <v>19.863800000000001</v>
      </c>
      <c r="B392" s="1">
        <v>2.6926999999999999</v>
      </c>
      <c r="C392" s="1">
        <f t="shared" ca="1" si="24"/>
        <v>0.10679999999999978</v>
      </c>
      <c r="D392" s="1">
        <f t="shared" ca="1" si="25"/>
        <v>-40.864528424042838</v>
      </c>
      <c r="E392" s="1">
        <f t="shared" ca="1" si="26"/>
        <v>0.40647347453789556</v>
      </c>
      <c r="F392" s="1" t="e">
        <f t="shared" ca="1" si="27"/>
        <v>#DIV/0!</v>
      </c>
    </row>
    <row r="393" spans="1:6" x14ac:dyDescent="0.15">
      <c r="A393" s="1">
        <v>19.970600000000001</v>
      </c>
      <c r="B393" s="1">
        <v>3.4942899999999999</v>
      </c>
      <c r="C393" s="1">
        <f t="shared" ca="1" si="24"/>
        <v>0.10759999999999792</v>
      </c>
      <c r="D393" s="1">
        <f t="shared" ca="1" si="25"/>
        <v>138.96114220352035</v>
      </c>
      <c r="E393" s="1">
        <f t="shared" ca="1" si="26"/>
        <v>0.27919868623243949</v>
      </c>
      <c r="F393" s="1" t="e">
        <f t="shared" ca="1" si="27"/>
        <v>#DIV/0!</v>
      </c>
    </row>
    <row r="394" spans="1:6" x14ac:dyDescent="0.15">
      <c r="A394" s="1">
        <v>20.078199999999999</v>
      </c>
      <c r="B394" s="1">
        <v>2.8362099999999999</v>
      </c>
      <c r="C394" s="1">
        <f t="shared" ca="1" si="24"/>
        <v>9.100000000000108E-3</v>
      </c>
      <c r="D394" s="1">
        <f t="shared" ca="1" si="25"/>
        <v>-236.73285894433306</v>
      </c>
      <c r="E394" s="1">
        <f t="shared" ca="1" si="26"/>
        <v>4.4748621123257053E-2</v>
      </c>
      <c r="F394" s="1" t="e">
        <f t="shared" ca="1" si="27"/>
        <v>#DIV/0!</v>
      </c>
    </row>
    <row r="395" spans="1:6" x14ac:dyDescent="0.15">
      <c r="A395" s="1">
        <v>20.087299999999999</v>
      </c>
      <c r="B395" s="1">
        <v>3.20207</v>
      </c>
      <c r="C395" s="1">
        <f t="shared" ca="1" si="24"/>
        <v>6.0999999999999943E-3</v>
      </c>
      <c r="D395" s="1">
        <f t="shared" ca="1" si="25"/>
        <v>137.97967213114683</v>
      </c>
      <c r="E395" s="1">
        <f t="shared" ca="1" si="26"/>
        <v>0.20338222948709531</v>
      </c>
      <c r="F395" s="1" t="e">
        <f t="shared" ca="1" si="27"/>
        <v>#DIV/0!</v>
      </c>
    </row>
    <row r="396" spans="1:6" x14ac:dyDescent="0.15">
      <c r="A396" s="1">
        <v>20.093399999999999</v>
      </c>
      <c r="B396" s="1">
        <v>2.9659599999999999</v>
      </c>
      <c r="C396" s="1">
        <f t="shared" ca="1" si="24"/>
        <v>4.2000000000001592E-2</v>
      </c>
      <c r="D396" s="1">
        <f t="shared" ca="1" si="25"/>
        <v>-40.826393442622113</v>
      </c>
      <c r="E396" s="1">
        <f t="shared" ca="1" si="26"/>
        <v>0.44229443295184406</v>
      </c>
      <c r="F396" s="1" t="e">
        <f t="shared" ca="1" si="27"/>
        <v>#DIV/0!</v>
      </c>
    </row>
    <row r="397" spans="1:6" x14ac:dyDescent="0.15">
      <c r="A397" s="1">
        <v>20.135400000000001</v>
      </c>
      <c r="B397" s="1">
        <v>3.2719999999999998</v>
      </c>
      <c r="C397" s="1">
        <f t="shared" ca="1" si="24"/>
        <v>1.2199999999999989E-2</v>
      </c>
      <c r="D397" s="1">
        <f t="shared" ca="1" si="25"/>
        <v>16.415966092195582</v>
      </c>
      <c r="E397" s="1">
        <f t="shared" ca="1" si="26"/>
        <v>0.13582171508433724</v>
      </c>
      <c r="F397" s="1" t="e">
        <f t="shared" ca="1" si="27"/>
        <v>#DIV/0!</v>
      </c>
    </row>
    <row r="398" spans="1:6" x14ac:dyDescent="0.15">
      <c r="A398" s="1">
        <v>20.147600000000001</v>
      </c>
      <c r="B398" s="1">
        <v>3.1948699999999999</v>
      </c>
      <c r="C398" s="1">
        <f t="shared" ca="1" si="24"/>
        <v>3.5099999999999909E-2</v>
      </c>
      <c r="D398" s="1">
        <f t="shared" ca="1" si="25"/>
        <v>-2.3282134262720451</v>
      </c>
      <c r="E398" s="1">
        <f t="shared" ca="1" si="26"/>
        <v>0.37765091951607355</v>
      </c>
      <c r="F398" s="1" t="e">
        <f t="shared" ca="1" si="27"/>
        <v>#DIV/0!</v>
      </c>
    </row>
    <row r="399" spans="1:6" x14ac:dyDescent="0.15">
      <c r="A399" s="1">
        <v>20.182700000000001</v>
      </c>
      <c r="B399" s="1">
        <v>3.1650299999999998</v>
      </c>
      <c r="C399" s="1">
        <f t="shared" ca="1" si="24"/>
        <v>2.0599999999998175E-2</v>
      </c>
      <c r="D399" s="1">
        <f t="shared" ca="1" si="25"/>
        <v>4.9843159234704313</v>
      </c>
      <c r="E399" s="1">
        <f t="shared" ca="1" si="26"/>
        <v>0.20989469529900981</v>
      </c>
      <c r="F399" s="1" t="e">
        <f t="shared" ca="1" si="27"/>
        <v>#DIV/0!</v>
      </c>
    </row>
    <row r="400" spans="1:6" x14ac:dyDescent="0.15">
      <c r="A400" s="1">
        <v>20.203299999999999</v>
      </c>
      <c r="B400" s="1">
        <v>3.1315300000000001</v>
      </c>
      <c r="C400" s="1">
        <f t="shared" ca="1" si="24"/>
        <v>5.11000000000017E-2</v>
      </c>
      <c r="D400" s="1">
        <f t="shared" ca="1" si="25"/>
        <v>12.510344270705097</v>
      </c>
      <c r="E400" s="1">
        <f t="shared" ca="1" si="26"/>
        <v>0.36742455782114397</v>
      </c>
      <c r="F400" s="1" t="e">
        <f t="shared" ca="1" si="27"/>
        <v>#DIV/0!</v>
      </c>
    </row>
    <row r="401" spans="1:6" x14ac:dyDescent="0.15">
      <c r="A401" s="1">
        <v>20.2544</v>
      </c>
      <c r="B401" s="1">
        <v>3.1333299999999999</v>
      </c>
      <c r="C401" s="1">
        <f t="shared" ca="1" si="24"/>
        <v>6.1799999999998079E-2</v>
      </c>
      <c r="D401" s="1">
        <f t="shared" ca="1" si="25"/>
        <v>-43.814789909279391</v>
      </c>
      <c r="E401" s="1">
        <f t="shared" ca="1" si="26"/>
        <v>0.29851524156531095</v>
      </c>
      <c r="F401" s="1" t="e">
        <f t="shared" ca="1" si="27"/>
        <v>#DIV/0!</v>
      </c>
    </row>
    <row r="402" spans="1:6" x14ac:dyDescent="0.15">
      <c r="A402" s="1">
        <v>20.316199999999998</v>
      </c>
      <c r="B402" s="1">
        <v>3.3932199999999999</v>
      </c>
      <c r="C402" s="1">
        <f t="shared" ca="1" si="24"/>
        <v>2.4399999999999977E-2</v>
      </c>
      <c r="D402" s="1">
        <f t="shared" ca="1" si="25"/>
        <v>41.297580015612837</v>
      </c>
      <c r="E402" s="1">
        <f t="shared" ca="1" si="26"/>
        <v>0.15849120728264643</v>
      </c>
      <c r="F402" s="1" t="e">
        <f t="shared" ca="1" si="27"/>
        <v>#DIV/0!</v>
      </c>
    </row>
    <row r="403" spans="1:6" x14ac:dyDescent="0.15">
      <c r="A403" s="1">
        <v>20.340599999999998</v>
      </c>
      <c r="B403" s="1">
        <v>3.1394700000000002</v>
      </c>
      <c r="C403" s="1">
        <f t="shared" ca="1" si="24"/>
        <v>5.0399999999999778E-2</v>
      </c>
      <c r="D403" s="1">
        <f t="shared" ca="1" si="25"/>
        <v>-35.950029036003357</v>
      </c>
      <c r="E403" s="1">
        <f t="shared" ca="1" si="26"/>
        <v>0.3458383766092008</v>
      </c>
      <c r="F403" s="1" t="e">
        <f t="shared" ca="1" si="27"/>
        <v>#DIV/0!</v>
      </c>
    </row>
    <row r="404" spans="1:6" x14ac:dyDescent="0.15">
      <c r="A404" s="1">
        <v>20.390999999999998</v>
      </c>
      <c r="B404" s="1">
        <v>3.3091300000000001</v>
      </c>
      <c r="C404" s="1">
        <f t="shared" ca="1" si="24"/>
        <v>3.2800000000001717E-2</v>
      </c>
      <c r="D404" s="1">
        <f t="shared" ca="1" si="25"/>
        <v>27.113519831682627</v>
      </c>
      <c r="E404" s="1">
        <f t="shared" ca="1" si="26"/>
        <v>0.22017893512335227</v>
      </c>
      <c r="F404" s="1" t="e">
        <f t="shared" ca="1" si="27"/>
        <v>#DIV/0!</v>
      </c>
    </row>
    <row r="405" spans="1:6" x14ac:dyDescent="0.15">
      <c r="A405" s="1">
        <v>20.4238</v>
      </c>
      <c r="B405" s="1">
        <v>3.0264899999999999</v>
      </c>
      <c r="C405" s="1">
        <f t="shared" ca="1" si="24"/>
        <v>6.2599999999999767E-2</v>
      </c>
      <c r="D405" s="1">
        <f t="shared" ca="1" si="25"/>
        <v>87.16664704889007</v>
      </c>
      <c r="E405" s="1">
        <f t="shared" ca="1" si="26"/>
        <v>0.34099922296608687</v>
      </c>
      <c r="F405" s="1" t="e">
        <f t="shared" ca="1" si="27"/>
        <v>#DIV/0!</v>
      </c>
    </row>
    <row r="406" spans="1:6" x14ac:dyDescent="0.15">
      <c r="A406" s="1">
        <v>20.4864</v>
      </c>
      <c r="B406" s="1">
        <v>3.0528300000000002</v>
      </c>
      <c r="C406" s="1">
        <f t="shared" ca="1" si="24"/>
        <v>3.8000000000018019E-3</v>
      </c>
      <c r="D406" s="1">
        <f t="shared" ca="1" si="25"/>
        <v>-87.981194559390119</v>
      </c>
      <c r="E406" s="1">
        <f t="shared" ca="1" si="26"/>
        <v>3.4094952164258945E-2</v>
      </c>
      <c r="F406" s="1" t="e">
        <f t="shared" ca="1" si="27"/>
        <v>#DIV/0!</v>
      </c>
    </row>
    <row r="407" spans="1:6" x14ac:dyDescent="0.15">
      <c r="A407" s="1">
        <v>20.490200000000002</v>
      </c>
      <c r="B407" s="1">
        <v>3.1648399999999999</v>
      </c>
      <c r="C407" s="1">
        <f t="shared" ca="1" si="24"/>
        <v>5.3399999999999892E-2</v>
      </c>
      <c r="D407" s="1">
        <f t="shared" ca="1" si="25"/>
        <v>-4.8716028941677889</v>
      </c>
      <c r="E407" s="1">
        <f t="shared" ca="1" si="26"/>
        <v>0.46731245965592405</v>
      </c>
      <c r="F407" s="1" t="e">
        <f t="shared" ca="1" si="27"/>
        <v>#DIV/0!</v>
      </c>
    </row>
    <row r="408" spans="1:6" x14ac:dyDescent="0.15">
      <c r="A408" s="1">
        <v>20.543600000000001</v>
      </c>
      <c r="B408" s="1">
        <v>3.1728100000000001</v>
      </c>
      <c r="C408" s="1">
        <f t="shared" ca="1" si="24"/>
        <v>5.8699999999998198E-2</v>
      </c>
      <c r="D408" s="1">
        <f t="shared" ca="1" si="25"/>
        <v>10.78583746688232</v>
      </c>
      <c r="E408" s="1">
        <f t="shared" ca="1" si="26"/>
        <v>0.29461139991946506</v>
      </c>
      <c r="F408" s="1" t="e">
        <f t="shared" ca="1" si="27"/>
        <v>#DIV/0!</v>
      </c>
    </row>
    <row r="409" spans="1:6" x14ac:dyDescent="0.15">
      <c r="A409" s="1">
        <v>20.6023</v>
      </c>
      <c r="B409" s="1">
        <v>3.0862500000000002</v>
      </c>
      <c r="C409" s="1">
        <f t="shared" ca="1" si="24"/>
        <v>6.3400000000001455E-2</v>
      </c>
      <c r="D409" s="1">
        <f t="shared" ca="1" si="25"/>
        <v>-9.1463623817033142</v>
      </c>
      <c r="E409" s="1">
        <f t="shared" ca="1" si="26"/>
        <v>0.27941047461202834</v>
      </c>
      <c r="F409" s="1" t="e">
        <f t="shared" ca="1" si="27"/>
        <v>#DIV/0!</v>
      </c>
    </row>
    <row r="410" spans="1:6" x14ac:dyDescent="0.15">
      <c r="A410" s="1">
        <v>20.665700000000001</v>
      </c>
      <c r="B410" s="1">
        <v>3.2206999999999999</v>
      </c>
      <c r="C410" s="1">
        <f t="shared" ca="1" si="24"/>
        <v>3.2000000000000028E-2</v>
      </c>
      <c r="D410" s="1">
        <f t="shared" ca="1" si="25"/>
        <v>-4.8567060810812679</v>
      </c>
      <c r="E410" s="1">
        <f t="shared" ca="1" si="26"/>
        <v>0.18487985961744782</v>
      </c>
      <c r="F410" s="1" t="e">
        <f t="shared" ca="1" si="27"/>
        <v>#DIV/0!</v>
      </c>
    </row>
    <row r="411" spans="1:6" x14ac:dyDescent="0.15">
      <c r="A411" s="1">
        <v>20.697700000000001</v>
      </c>
      <c r="B411" s="1">
        <v>3.1909999999999998</v>
      </c>
      <c r="C411" s="1">
        <f t="shared" ca="1" si="24"/>
        <v>7.3999999999998067E-2</v>
      </c>
      <c r="D411" s="1">
        <f t="shared" ca="1" si="25"/>
        <v>149.6437126599611</v>
      </c>
      <c r="E411" s="1">
        <f t="shared" ca="1" si="26"/>
        <v>0.35907715222570624</v>
      </c>
      <c r="F411" s="1" t="e">
        <f t="shared" ca="1" si="27"/>
        <v>#DIV/0!</v>
      </c>
    </row>
    <row r="412" spans="1:6" x14ac:dyDescent="0.15">
      <c r="A412" s="1">
        <v>20.771699999999999</v>
      </c>
      <c r="B412" s="1">
        <v>3.0025200000000001</v>
      </c>
      <c r="C412" s="1">
        <f t="shared" ca="1" si="24"/>
        <v>3.8000000000018019E-3</v>
      </c>
      <c r="D412" s="1">
        <f t="shared" ca="1" si="25"/>
        <v>-148.11522797990835</v>
      </c>
      <c r="E412" s="1">
        <f t="shared" ca="1" si="26"/>
        <v>2.9450905521158227E-2</v>
      </c>
      <c r="F412" s="1" t="e">
        <f t="shared" ca="1" si="27"/>
        <v>#DIV/0!</v>
      </c>
    </row>
    <row r="413" spans="1:6" x14ac:dyDescent="0.15">
      <c r="A413" s="1">
        <v>20.775500000000001</v>
      </c>
      <c r="B413" s="1">
        <v>3.1823899999999998</v>
      </c>
      <c r="C413" s="1">
        <f t="shared" ca="1" si="24"/>
        <v>3.8899999999998158E-2</v>
      </c>
      <c r="D413" s="1">
        <f t="shared" ca="1" si="25"/>
        <v>61.577813792319347</v>
      </c>
      <c r="E413" s="1">
        <f t="shared" ca="1" si="26"/>
        <v>0.45610121611861121</v>
      </c>
      <c r="F413" s="1" t="e">
        <f t="shared" ca="1" si="27"/>
        <v>#DIV/0!</v>
      </c>
    </row>
    <row r="414" spans="1:6" x14ac:dyDescent="0.15">
      <c r="A414" s="1">
        <v>20.814399999999999</v>
      </c>
      <c r="B414" s="1">
        <v>3.1031300000000002</v>
      </c>
      <c r="C414" s="1">
        <f t="shared" ca="1" si="24"/>
        <v>6.9000000000016826E-3</v>
      </c>
      <c r="D414" s="1">
        <f t="shared" ca="1" si="25"/>
        <v>-110.10791402050803</v>
      </c>
      <c r="E414" s="1">
        <f t="shared" ca="1" si="26"/>
        <v>9.3422940131260068E-2</v>
      </c>
      <c r="F414" s="1" t="e">
        <f t="shared" ca="1" si="27"/>
        <v>#DIV/0!</v>
      </c>
    </row>
    <row r="415" spans="1:6" x14ac:dyDescent="0.15">
      <c r="A415" s="1">
        <v>20.821300000000001</v>
      </c>
      <c r="B415" s="1">
        <v>3.2307000000000001</v>
      </c>
      <c r="C415" s="1">
        <f t="shared" ca="1" si="24"/>
        <v>2.669999999999817E-2</v>
      </c>
      <c r="D415" s="1">
        <f t="shared" ca="1" si="25"/>
        <v>72.735701047479438</v>
      </c>
      <c r="E415" s="1">
        <f t="shared" ca="1" si="26"/>
        <v>0.40116966220847788</v>
      </c>
      <c r="F415" s="1" t="e">
        <f t="shared" ca="1" si="27"/>
        <v>#DIV/0!</v>
      </c>
    </row>
    <row r="416" spans="1:6" x14ac:dyDescent="0.15">
      <c r="A416" s="1">
        <v>20.847999999999999</v>
      </c>
      <c r="B416" s="1">
        <v>2.74438</v>
      </c>
      <c r="C416" s="1">
        <f t="shared" ca="1" si="24"/>
        <v>0.1357999999999997</v>
      </c>
      <c r="D416" s="1">
        <f t="shared" ca="1" si="25"/>
        <v>-843.41668862839697</v>
      </c>
      <c r="E416" s="1">
        <f t="shared" ca="1" si="26"/>
        <v>0.43208670800352506</v>
      </c>
      <c r="F416" s="1" t="e">
        <f t="shared" ca="1" si="27"/>
        <v>#DIV/0!</v>
      </c>
    </row>
    <row r="417" spans="1:6" x14ac:dyDescent="0.15">
      <c r="A417" s="1">
        <v>20.983799999999999</v>
      </c>
      <c r="B417" s="1">
        <v>3.5633900000000001</v>
      </c>
      <c r="C417" s="1">
        <f t="shared" ca="1" si="24"/>
        <v>3.8000000000018019E-3</v>
      </c>
      <c r="D417" s="1">
        <f t="shared" ca="1" si="25"/>
        <v>841.72485723066279</v>
      </c>
      <c r="E417" s="1">
        <f t="shared" ca="1" si="26"/>
        <v>1.7231791971850385E-2</v>
      </c>
      <c r="F417" s="1" t="e">
        <f t="shared" ca="1" si="27"/>
        <v>#DIV/0!</v>
      </c>
    </row>
    <row r="418" spans="1:6" x14ac:dyDescent="0.15">
      <c r="A418" s="1">
        <v>20.9876</v>
      </c>
      <c r="B418" s="1">
        <v>2.5179800000000001</v>
      </c>
      <c r="C418" s="1">
        <f t="shared" ca="1" si="24"/>
        <v>0.10229999999999961</v>
      </c>
      <c r="D418" s="1">
        <f t="shared" ca="1" si="25"/>
        <v>-60.719097548829112</v>
      </c>
      <c r="E418" s="1">
        <f t="shared" ca="1" si="26"/>
        <v>0.48224117597819127</v>
      </c>
      <c r="F418" s="1" t="e">
        <f t="shared" ca="1" si="27"/>
        <v>#DIV/0!</v>
      </c>
    </row>
    <row r="419" spans="1:6" x14ac:dyDescent="0.15">
      <c r="A419" s="1">
        <v>21.0899</v>
      </c>
      <c r="B419" s="1">
        <v>3.0772599999999999</v>
      </c>
      <c r="C419" s="1">
        <f t="shared" ca="1" si="24"/>
        <v>1.0600000000000165E-2</v>
      </c>
      <c r="D419" s="1">
        <f t="shared" ca="1" si="25"/>
        <v>52.294541443724341</v>
      </c>
      <c r="E419" s="1">
        <f t="shared" ca="1" si="26"/>
        <v>6.0067980736713648E-2</v>
      </c>
      <c r="F419" s="1" t="e">
        <f t="shared" ca="1" si="27"/>
        <v>#DIV/0!</v>
      </c>
    </row>
    <row r="420" spans="1:6" x14ac:dyDescent="0.15">
      <c r="A420" s="1">
        <v>21.1005</v>
      </c>
      <c r="B420" s="1">
        <v>2.9206699999999999</v>
      </c>
      <c r="C420" s="1">
        <f t="shared" ca="1" si="24"/>
        <v>6.0299999999998022E-2</v>
      </c>
      <c r="D420" s="1">
        <f t="shared" ca="1" si="25"/>
        <v>-6.378186774135882</v>
      </c>
      <c r="E420" s="1">
        <f t="shared" ca="1" si="26"/>
        <v>0.42716491324449496</v>
      </c>
      <c r="F420" s="1" t="e">
        <f t="shared" ca="1" si="27"/>
        <v>#DIV/0!</v>
      </c>
    </row>
    <row r="421" spans="1:6" x14ac:dyDescent="0.15">
      <c r="A421" s="1">
        <v>21.160799999999998</v>
      </c>
      <c r="B421" s="1">
        <v>3.081</v>
      </c>
      <c r="C421" s="1">
        <f t="shared" ca="1" si="24"/>
        <v>0.12740000000000151</v>
      </c>
      <c r="D421" s="1">
        <f t="shared" ca="1" si="25"/>
        <v>667.85156985729918</v>
      </c>
      <c r="E421" s="1">
        <f t="shared" ca="1" si="26"/>
        <v>0.36437274735383229</v>
      </c>
      <c r="F421" s="1" t="e">
        <f t="shared" ca="1" si="27"/>
        <v>#DIV/0!</v>
      </c>
    </row>
    <row r="422" spans="1:6" x14ac:dyDescent="0.15">
      <c r="A422" s="1">
        <v>21.2882</v>
      </c>
      <c r="B422" s="1">
        <v>3.1488800000000001</v>
      </c>
      <c r="C422" s="1">
        <f t="shared" ca="1" si="24"/>
        <v>8.0000000000168825E-4</v>
      </c>
      <c r="D422" s="1">
        <f t="shared" ca="1" si="25"/>
        <v>-677.23978723262906</v>
      </c>
      <c r="E422" s="1">
        <f t="shared" ca="1" si="26"/>
        <v>3.809906396937283E-3</v>
      </c>
      <c r="F422" s="1" t="e">
        <f t="shared" ca="1" si="27"/>
        <v>#DIV/0!</v>
      </c>
    </row>
    <row r="423" spans="1:6" x14ac:dyDescent="0.15">
      <c r="A423" s="1">
        <v>21.289000000000001</v>
      </c>
      <c r="B423" s="1">
        <v>3.3273999999999999</v>
      </c>
      <c r="C423" s="1">
        <f t="shared" ca="1" si="24"/>
        <v>0.11749999999999972</v>
      </c>
      <c r="D423" s="1">
        <f t="shared" ca="1" si="25"/>
        <v>8.7419231563726889</v>
      </c>
      <c r="E423" s="1">
        <f t="shared" ca="1" si="26"/>
        <v>0.49662516346706703</v>
      </c>
      <c r="F423" s="1" t="e">
        <f t="shared" ca="1" si="27"/>
        <v>#DIV/0!</v>
      </c>
    </row>
    <row r="424" spans="1:6" x14ac:dyDescent="0.15">
      <c r="A424" s="1">
        <v>21.406500000000001</v>
      </c>
      <c r="B424" s="1">
        <v>3.0223</v>
      </c>
      <c r="C424" s="1">
        <f t="shared" ca="1" si="24"/>
        <v>0.10299999999999798</v>
      </c>
      <c r="D424" s="1">
        <f t="shared" ca="1" si="25"/>
        <v>-2.4256843094268352</v>
      </c>
      <c r="E424" s="1">
        <f t="shared" ca="1" si="26"/>
        <v>0.26917791838310806</v>
      </c>
      <c r="F424" s="1" t="e">
        <f t="shared" ca="1" si="27"/>
        <v>#DIV/0!</v>
      </c>
    </row>
    <row r="425" spans="1:6" x14ac:dyDescent="0.15">
      <c r="A425" s="1">
        <v>21.509499999999999</v>
      </c>
      <c r="B425" s="1">
        <v>3.0549900000000001</v>
      </c>
      <c r="C425" s="1">
        <f t="shared" ca="1" si="24"/>
        <v>4.6500000000001762E-2</v>
      </c>
      <c r="D425" s="1">
        <f t="shared" ca="1" si="25"/>
        <v>25.232371916508644</v>
      </c>
      <c r="E425" s="1">
        <f t="shared" ca="1" si="26"/>
        <v>0.17141297875199196</v>
      </c>
      <c r="F425" s="1" t="e">
        <f t="shared" ca="1" si="27"/>
        <v>#DIV/0!</v>
      </c>
    </row>
    <row r="426" spans="1:6" x14ac:dyDescent="0.15">
      <c r="A426" s="1">
        <v>21.556000000000001</v>
      </c>
      <c r="B426" s="1">
        <v>3.0321500000000001</v>
      </c>
      <c r="C426" s="1">
        <f t="shared" ca="1" si="24"/>
        <v>1.5299999999999869E-2</v>
      </c>
      <c r="D426" s="1">
        <f t="shared" ca="1" si="25"/>
        <v>-23.986409736308474</v>
      </c>
      <c r="E426" s="1">
        <f t="shared" ca="1" si="26"/>
        <v>0.13231940749188098</v>
      </c>
      <c r="F426" s="1" t="e">
        <f t="shared" ca="1" si="27"/>
        <v>#DIV/0!</v>
      </c>
    </row>
    <row r="427" spans="1:6" x14ac:dyDescent="0.15">
      <c r="A427" s="1">
        <v>21.571300000000001</v>
      </c>
      <c r="B427" s="1">
        <v>3.1533199999999999</v>
      </c>
      <c r="C427" s="1">
        <f t="shared" ca="1" si="24"/>
        <v>0.17399999999999949</v>
      </c>
      <c r="D427" s="1">
        <f t="shared" ca="1" si="25"/>
        <v>35.002114508782753</v>
      </c>
      <c r="E427" s="1">
        <f t="shared" ca="1" si="26"/>
        <v>0.46205872119410307</v>
      </c>
      <c r="F427" s="1" t="e">
        <f t="shared" ca="1" si="27"/>
        <v>#DIV/0!</v>
      </c>
    </row>
    <row r="428" spans="1:6" x14ac:dyDescent="0.15">
      <c r="A428" s="1">
        <v>21.7453</v>
      </c>
      <c r="B428" s="1">
        <v>3.14012</v>
      </c>
      <c r="C428" s="1">
        <f t="shared" ca="1" si="24"/>
        <v>1.0600000000000165E-2</v>
      </c>
      <c r="D428" s="1">
        <f t="shared" ca="1" si="25"/>
        <v>-82.914715217774344</v>
      </c>
      <c r="E428" s="1">
        <f t="shared" ca="1" si="26"/>
        <v>3.6703374569897071E-2</v>
      </c>
      <c r="F428" s="1" t="e">
        <f t="shared" ca="1" si="27"/>
        <v>#DIV/0!</v>
      </c>
    </row>
    <row r="429" spans="1:6" x14ac:dyDescent="0.15">
      <c r="A429" s="1">
        <v>21.7559</v>
      </c>
      <c r="B429" s="1">
        <v>3.2629899999999998</v>
      </c>
      <c r="C429" s="1">
        <f t="shared" ca="1" si="24"/>
        <v>2.1399999999999864E-2</v>
      </c>
      <c r="D429" s="1">
        <f t="shared" ca="1" si="25"/>
        <v>95.692930818329813</v>
      </c>
      <c r="E429" s="1">
        <f t="shared" ca="1" si="26"/>
        <v>0.33642009656029559</v>
      </c>
      <c r="F429" s="1" t="e">
        <f t="shared" ca="1" si="27"/>
        <v>#DIV/0!</v>
      </c>
    </row>
    <row r="430" spans="1:6" x14ac:dyDescent="0.15">
      <c r="A430" s="1">
        <v>21.7773</v>
      </c>
      <c r="B430" s="1">
        <v>2.9195899999999999</v>
      </c>
      <c r="C430" s="1">
        <f t="shared" ca="1" si="24"/>
        <v>3.2799999999998164E-2</v>
      </c>
      <c r="D430" s="1">
        <f t="shared" ca="1" si="25"/>
        <v>-91.378077235773333</v>
      </c>
      <c r="E430" s="1">
        <f t="shared" ca="1" si="26"/>
        <v>0.32410871852963252</v>
      </c>
      <c r="F430" s="1" t="e">
        <f t="shared" ca="1" si="27"/>
        <v>#DIV/0!</v>
      </c>
    </row>
    <row r="431" spans="1:6" x14ac:dyDescent="0.15">
      <c r="A431" s="1">
        <v>21.810099999999998</v>
      </c>
      <c r="B431" s="1">
        <v>3.4394999999999998</v>
      </c>
      <c r="C431" s="1">
        <f t="shared" ca="1" si="24"/>
        <v>4.5000000000001705E-2</v>
      </c>
      <c r="D431" s="1">
        <f t="shared" ca="1" si="25"/>
        <v>72.769595628413668</v>
      </c>
      <c r="E431" s="1">
        <f t="shared" ca="1" si="26"/>
        <v>0.31041069024340479</v>
      </c>
      <c r="F431" s="1" t="e">
        <f t="shared" ca="1" si="27"/>
        <v>#DIV/0!</v>
      </c>
    </row>
    <row r="432" spans="1:6" x14ac:dyDescent="0.15">
      <c r="A432" s="1">
        <v>21.8551</v>
      </c>
      <c r="B432" s="1">
        <v>2.7821199999999999</v>
      </c>
      <c r="C432" s="1">
        <f t="shared" ca="1" si="24"/>
        <v>3.6599999999999966E-2</v>
      </c>
      <c r="D432" s="1">
        <f t="shared" ca="1" si="25"/>
        <v>-35.925940903065651</v>
      </c>
      <c r="E432" s="1">
        <f t="shared" ca="1" si="26"/>
        <v>0.24525649983465256</v>
      </c>
      <c r="F432" s="1" t="e">
        <f t="shared" ca="1" si="27"/>
        <v>#DIV/0!</v>
      </c>
    </row>
    <row r="433" spans="1:6" x14ac:dyDescent="0.15">
      <c r="A433" s="1">
        <v>21.8917</v>
      </c>
      <c r="B433" s="1">
        <v>3.13524</v>
      </c>
      <c r="C433" s="1">
        <f t="shared" ca="1" si="24"/>
        <v>9.7699999999999676E-2</v>
      </c>
      <c r="D433" s="1">
        <f t="shared" ca="1" si="25"/>
        <v>13.092805368546911</v>
      </c>
      <c r="E433" s="1">
        <f t="shared" ca="1" si="26"/>
        <v>0.37631400013066302</v>
      </c>
      <c r="F433" s="1" t="e">
        <f t="shared" ca="1" si="27"/>
        <v>#DIV/0!</v>
      </c>
    </row>
    <row r="434" spans="1:6" x14ac:dyDescent="0.15">
      <c r="A434" s="1">
        <v>21.9894</v>
      </c>
      <c r="B434" s="1">
        <v>2.90787</v>
      </c>
      <c r="C434" s="1">
        <f t="shared" ca="1" si="24"/>
        <v>7.1000000000001506E-2</v>
      </c>
      <c r="D434" s="1">
        <f t="shared" ca="1" si="25"/>
        <v>-13.084291096227616</v>
      </c>
      <c r="E434" s="1">
        <f t="shared" ca="1" si="26"/>
        <v>0.23616746989146589</v>
      </c>
      <c r="F434" s="1" t="e">
        <f t="shared" ca="1" si="27"/>
        <v>#DIV/0!</v>
      </c>
    </row>
    <row r="435" spans="1:6" x14ac:dyDescent="0.15">
      <c r="A435" s="1">
        <v>22.060400000000001</v>
      </c>
      <c r="B435" s="1">
        <v>3.0525000000000002</v>
      </c>
      <c r="C435" s="1">
        <f t="shared" ca="1" si="24"/>
        <v>0.11439999999999984</v>
      </c>
      <c r="D435" s="1">
        <f t="shared" ca="1" si="25"/>
        <v>18.378780560313373</v>
      </c>
      <c r="E435" s="1">
        <f t="shared" ca="1" si="26"/>
        <v>0.32313453182839491</v>
      </c>
      <c r="F435" s="1" t="e">
        <f t="shared" ca="1" si="27"/>
        <v>#DIV/0!</v>
      </c>
    </row>
    <row r="436" spans="1:6" x14ac:dyDescent="0.15">
      <c r="A436" s="1">
        <v>22.174800000000001</v>
      </c>
      <c r="B436" s="1">
        <v>2.7865899999999999</v>
      </c>
      <c r="C436" s="1">
        <f t="shared" ca="1" si="24"/>
        <v>0.12819999999999965</v>
      </c>
      <c r="D436" s="1">
        <f t="shared" ca="1" si="25"/>
        <v>-12.539907068455156</v>
      </c>
      <c r="E436" s="1">
        <f t="shared" ca="1" si="26"/>
        <v>0.28601170119420427</v>
      </c>
      <c r="F436" s="1" t="e">
        <f t="shared" ca="1" si="27"/>
        <v>#DIV/0!</v>
      </c>
    </row>
    <row r="437" spans="1:6" x14ac:dyDescent="0.15">
      <c r="A437" s="1">
        <v>22.303000000000001</v>
      </c>
      <c r="B437" s="1">
        <v>3.27399</v>
      </c>
      <c r="C437" s="1">
        <f t="shared" ca="1" si="24"/>
        <v>5.5699999999998084E-2</v>
      </c>
      <c r="D437" s="1">
        <f t="shared" ca="1" si="25"/>
        <v>3.0110094505888751</v>
      </c>
      <c r="E437" s="1">
        <f t="shared" ca="1" si="26"/>
        <v>0.16821020421582095</v>
      </c>
      <c r="F437" s="1" t="e">
        <f t="shared" ca="1" si="27"/>
        <v>#DIV/0!</v>
      </c>
    </row>
    <row r="438" spans="1:6" x14ac:dyDescent="0.15">
      <c r="A438" s="1">
        <v>22.358699999999999</v>
      </c>
      <c r="B438" s="1">
        <v>3.2529300000000001</v>
      </c>
      <c r="C438" s="1">
        <f t="shared" ca="1" si="24"/>
        <v>0.10910000000000153</v>
      </c>
      <c r="D438" s="1">
        <f t="shared" ca="1" si="25"/>
        <v>-8.418104374573014</v>
      </c>
      <c r="E438" s="1">
        <f t="shared" ca="1" si="26"/>
        <v>0.34069189135593614</v>
      </c>
      <c r="F438" s="1" t="e">
        <f t="shared" ca="1" si="27"/>
        <v>#DIV/0!</v>
      </c>
    </row>
    <row r="439" spans="1:6" x14ac:dyDescent="0.15">
      <c r="A439" s="1">
        <v>22.4678</v>
      </c>
      <c r="B439" s="1">
        <v>3.32118</v>
      </c>
      <c r="C439" s="1">
        <f t="shared" ca="1" si="24"/>
        <v>0.16019999999999968</v>
      </c>
      <c r="D439" s="1">
        <f t="shared" ca="1" si="25"/>
        <v>21.971937183587613</v>
      </c>
      <c r="E439" s="1">
        <f t="shared" ca="1" si="26"/>
        <v>0.31948594135887232</v>
      </c>
      <c r="F439" s="1" t="e">
        <f t="shared" ca="1" si="27"/>
        <v>#DIV/0!</v>
      </c>
    </row>
    <row r="440" spans="1:6" x14ac:dyDescent="0.15">
      <c r="A440" s="1">
        <v>22.628</v>
      </c>
      <c r="B440" s="1">
        <v>2.97187</v>
      </c>
      <c r="C440" s="1">
        <f t="shared" ca="1" si="24"/>
        <v>6.7099999999999937E-2</v>
      </c>
      <c r="D440" s="1">
        <f t="shared" ca="1" si="25"/>
        <v>-43.045305514158088</v>
      </c>
      <c r="E440" s="1">
        <f t="shared" ca="1" si="26"/>
        <v>0.16632857586925287</v>
      </c>
      <c r="F440" s="1" t="e">
        <f t="shared" ca="1" si="27"/>
        <v>#DIV/0!</v>
      </c>
    </row>
    <row r="441" spans="1:6" x14ac:dyDescent="0.15">
      <c r="A441" s="1">
        <v>22.6951</v>
      </c>
      <c r="B441" s="1">
        <v>3.3170000000000002</v>
      </c>
      <c r="C441" s="1">
        <f t="shared" ca="1" si="24"/>
        <v>1.2199999999999989E-2</v>
      </c>
      <c r="D441" s="1">
        <f t="shared" ca="1" si="25"/>
        <v>-8.5449025539985755</v>
      </c>
      <c r="E441" s="1">
        <f t="shared" ca="1" si="26"/>
        <v>8.2745886957850456E-2</v>
      </c>
      <c r="F441" s="1" t="e">
        <f t="shared" ca="1" si="27"/>
        <v>#DIV/0!</v>
      </c>
    </row>
    <row r="442" spans="1:6" x14ac:dyDescent="0.15">
      <c r="A442" s="1">
        <v>22.7073</v>
      </c>
      <c r="B442" s="1">
        <v>3.2046999999999999</v>
      </c>
      <c r="C442" s="1">
        <f t="shared" ca="1" si="24"/>
        <v>4.6600000000001529E-2</v>
      </c>
      <c r="D442" s="1">
        <f t="shared" ca="1" si="25"/>
        <v>98.133488428060701</v>
      </c>
      <c r="E442" s="1">
        <f t="shared" ca="1" si="26"/>
        <v>0.39968951096710487</v>
      </c>
      <c r="F442" s="1" t="e">
        <f t="shared" ca="1" si="27"/>
        <v>#DIV/0!</v>
      </c>
    </row>
    <row r="443" spans="1:6" x14ac:dyDescent="0.15">
      <c r="A443" s="1">
        <v>22.753900000000002</v>
      </c>
      <c r="B443" s="1">
        <v>2.6430199999999999</v>
      </c>
      <c r="C443" s="1">
        <f t="shared" ca="1" si="24"/>
        <v>2.1399999999999864E-2</v>
      </c>
      <c r="D443" s="1">
        <f t="shared" ca="1" si="25"/>
        <v>121.66902536758211</v>
      </c>
      <c r="E443" s="1">
        <f t="shared" ca="1" si="26"/>
        <v>0.18232244389094304</v>
      </c>
      <c r="F443" s="1" t="e">
        <f t="shared" ca="1" si="27"/>
        <v>#DIV/0!</v>
      </c>
    </row>
    <row r="444" spans="1:6" x14ac:dyDescent="0.15">
      <c r="A444" s="1">
        <v>22.775300000000001</v>
      </c>
      <c r="B444" s="1">
        <v>3.0851000000000002</v>
      </c>
      <c r="C444" s="1">
        <f t="shared" ca="1" si="24"/>
        <v>6.9999999999836859E-4</v>
      </c>
      <c r="D444" s="1">
        <f t="shared" ca="1" si="25"/>
        <v>-172.41458128121445</v>
      </c>
      <c r="E444" s="1">
        <f t="shared" ca="1" si="26"/>
        <v>1.737045992502961E-2</v>
      </c>
      <c r="F444" s="1" t="e">
        <f t="shared" ca="1" si="27"/>
        <v>#DIV/0!</v>
      </c>
    </row>
    <row r="445" spans="1:6" x14ac:dyDescent="0.15">
      <c r="A445" s="1">
        <v>22.776</v>
      </c>
      <c r="B445" s="1">
        <v>3.1279499999999998</v>
      </c>
      <c r="C445" s="1">
        <f t="shared" ca="1" si="24"/>
        <v>2.8999999999999915E-2</v>
      </c>
      <c r="D445" s="1">
        <f t="shared" ca="1" si="25"/>
        <v>47.21172413792285</v>
      </c>
      <c r="E445" s="1">
        <f t="shared" ca="1" si="26"/>
        <v>0.4883154475545512</v>
      </c>
      <c r="F445" s="1" t="e">
        <f t="shared" ca="1" si="27"/>
        <v>#DIV/0!</v>
      </c>
    </row>
    <row r="446" spans="1:6" x14ac:dyDescent="0.15">
      <c r="A446" s="1">
        <v>22.805</v>
      </c>
      <c r="B446" s="1">
        <v>3.2364899999999999</v>
      </c>
      <c r="C446" s="1">
        <f t="shared" ca="1" si="24"/>
        <v>1.150000000000162E-2</v>
      </c>
      <c r="D446" s="1">
        <f t="shared" ca="1" si="25"/>
        <v>-70.62129032257252</v>
      </c>
      <c r="E446" s="1">
        <f t="shared" ca="1" si="26"/>
        <v>0.17205561813661943</v>
      </c>
      <c r="F446" s="1" t="e">
        <f t="shared" ca="1" si="27"/>
        <v>#DIV/0!</v>
      </c>
    </row>
    <row r="447" spans="1:6" x14ac:dyDescent="0.15">
      <c r="A447" s="1">
        <v>22.816500000000001</v>
      </c>
      <c r="B447" s="1">
        <v>3.4605100000000002</v>
      </c>
      <c r="C447" s="1">
        <f t="shared" ca="1" si="24"/>
        <v>9.2999999999999972E-2</v>
      </c>
      <c r="D447" s="1">
        <f t="shared" ca="1" si="25"/>
        <v>-3.1651382488479634</v>
      </c>
      <c r="E447" s="1">
        <f t="shared" ca="1" si="26"/>
        <v>0.44922900624436751</v>
      </c>
      <c r="F447" s="1" t="e">
        <f t="shared" ca="1" si="27"/>
        <v>#DIV/0!</v>
      </c>
    </row>
    <row r="448" spans="1:6" x14ac:dyDescent="0.15">
      <c r="A448" s="1">
        <v>22.909500000000001</v>
      </c>
      <c r="B448" s="1">
        <v>3.0828899999999999</v>
      </c>
      <c r="C448" s="1">
        <f t="shared" ca="1" si="24"/>
        <v>5.0399999999999778E-2</v>
      </c>
      <c r="D448" s="1">
        <f t="shared" ca="1" si="25"/>
        <v>40.680142857145384</v>
      </c>
      <c r="E448" s="1">
        <f t="shared" ca="1" si="26"/>
        <v>0.20569606488880279</v>
      </c>
      <c r="F448" s="1" t="e">
        <f t="shared" ca="1" si="27"/>
        <v>#DIV/0!</v>
      </c>
    </row>
    <row r="449" spans="1:6" x14ac:dyDescent="0.15">
      <c r="A449" s="1">
        <v>22.959900000000001</v>
      </c>
      <c r="B449" s="1">
        <v>2.8250700000000002</v>
      </c>
      <c r="C449" s="1">
        <f t="shared" ca="1" si="24"/>
        <v>1.7499999999998295E-2</v>
      </c>
      <c r="D449" s="1">
        <f t="shared" ca="1" si="25"/>
        <v>17.083677018626894</v>
      </c>
      <c r="E449" s="1">
        <f t="shared" ca="1" si="26"/>
        <v>0.13951680494281002</v>
      </c>
      <c r="F449" s="1" t="e">
        <f t="shared" ca="1" si="27"/>
        <v>#DIV/0!</v>
      </c>
    </row>
    <row r="450" spans="1:6" x14ac:dyDescent="0.15">
      <c r="A450" s="1">
        <v>22.977399999999999</v>
      </c>
      <c r="B450" s="1">
        <v>2.9728500000000002</v>
      </c>
      <c r="C450" s="1">
        <f t="shared" ca="1" si="24"/>
        <v>1.6100000000001558E-2</v>
      </c>
      <c r="D450" s="1">
        <f t="shared" ca="1" si="25"/>
        <v>-201.73739130433734</v>
      </c>
      <c r="E450" s="1">
        <f t="shared" ca="1" si="26"/>
        <v>0.24861618105142386</v>
      </c>
      <c r="F450" s="1" t="e">
        <f t="shared" ca="1" si="27"/>
        <v>#DIV/0!</v>
      </c>
    </row>
    <row r="451" spans="1:6" x14ac:dyDescent="0.15">
      <c r="A451" s="1">
        <v>22.993500000000001</v>
      </c>
      <c r="B451" s="1">
        <v>3.2004899999999998</v>
      </c>
      <c r="C451" s="1">
        <f t="shared" ref="C451:C500" ca="1" si="28" xml:space="preserve"> OFFSET(A451, ROW()-ROW(A451)+1, 0) - OFFSET(A451, ROW()-ROW(A451), 0)</f>
        <v>3.0000000000001137E-3</v>
      </c>
      <c r="D451" s="1">
        <f t="shared" ca="1" si="25"/>
        <v>160.60863636363004</v>
      </c>
      <c r="E451" s="1">
        <f t="shared" ca="1" si="26"/>
        <v>8.7726276627046476E-2</v>
      </c>
      <c r="F451" s="1" t="e">
        <f t="shared" ca="1" si="27"/>
        <v>#DIV/0!</v>
      </c>
    </row>
    <row r="452" spans="1:6" x14ac:dyDescent="0.15">
      <c r="A452" s="1">
        <v>22.996500000000001</v>
      </c>
      <c r="B452" s="1">
        <v>3.0411700000000002</v>
      </c>
      <c r="C452" s="1">
        <f t="shared" ca="1" si="28"/>
        <v>5.7199999999998141E-2</v>
      </c>
      <c r="D452" s="1">
        <f t="shared" ref="D452:D501" ca="1" si="29" xml:space="preserve"> 3*((B454-B453)/C453 - (B453-B452)/C452)</f>
        <v>58.293972332001374</v>
      </c>
      <c r="E452" s="1">
        <f t="shared" ca="1" si="26"/>
        <v>0.47612380153626815</v>
      </c>
      <c r="F452" s="1" t="e">
        <f t="shared" ca="1" si="27"/>
        <v>#DIV/0!</v>
      </c>
    </row>
    <row r="453" spans="1:6" x14ac:dyDescent="0.15">
      <c r="A453" s="1">
        <v>23.053699999999999</v>
      </c>
      <c r="B453" s="1">
        <v>3.0657399999999999</v>
      </c>
      <c r="C453" s="1">
        <f t="shared" ca="1" si="28"/>
        <v>6.9000000000016826E-3</v>
      </c>
      <c r="D453" s="1">
        <f t="shared" ca="1" si="29"/>
        <v>-82.822280826785345</v>
      </c>
      <c r="E453" s="1">
        <f t="shared" ref="E453:E501" ca="1" si="30" xml:space="preserve"> C453 / (2*(C452+C453) - C452*E452)</f>
        <v>6.8340027674238663E-2</v>
      </c>
      <c r="F453" s="1" t="e">
        <f t="shared" ref="F453:F501" ca="1" si="31" xml:space="preserve"> (D453 - C452*F452) / (2*(C452+C453) - C452*E452)</f>
        <v>#DIV/0!</v>
      </c>
    </row>
    <row r="454" spans="1:6" x14ac:dyDescent="0.15">
      <c r="A454" s="1">
        <v>23.060600000000001</v>
      </c>
      <c r="B454" s="1">
        <v>3.2027800000000002</v>
      </c>
      <c r="C454" s="1">
        <f t="shared" ca="1" si="28"/>
        <v>3.0499999999999972E-2</v>
      </c>
      <c r="D454" s="1">
        <f t="shared" ca="1" si="29"/>
        <v>55.255386416863374</v>
      </c>
      <c r="E454" s="1">
        <f t="shared" ca="1" si="30"/>
        <v>0.41034083768719537</v>
      </c>
      <c r="F454" s="1" t="e">
        <f t="shared" ca="1" si="31"/>
        <v>#DIV/0!</v>
      </c>
    </row>
    <row r="455" spans="1:6" x14ac:dyDescent="0.15">
      <c r="A455" s="1">
        <v>23.091100000000001</v>
      </c>
      <c r="B455" s="1">
        <v>2.96651</v>
      </c>
      <c r="C455" s="1">
        <f t="shared" ca="1" si="28"/>
        <v>4.1999999999998039E-2</v>
      </c>
      <c r="D455" s="1">
        <f t="shared" ca="1" si="29"/>
        <v>-169.11571428569093</v>
      </c>
      <c r="E455" s="1">
        <f t="shared" ca="1" si="30"/>
        <v>0.31701796728901305</v>
      </c>
      <c r="F455" s="1" t="e">
        <f t="shared" ca="1" si="31"/>
        <v>#DIV/0!</v>
      </c>
    </row>
    <row r="456" spans="1:6" x14ac:dyDescent="0.15">
      <c r="A456" s="1">
        <v>23.133099999999999</v>
      </c>
      <c r="B456" s="1">
        <v>3.41473</v>
      </c>
      <c r="C456" s="1">
        <f t="shared" ca="1" si="28"/>
        <v>9.9000000000017963E-3</v>
      </c>
      <c r="D456" s="1">
        <f t="shared" ca="1" si="29"/>
        <v>310.89130434780361</v>
      </c>
      <c r="E456" s="1">
        <f t="shared" ca="1" si="30"/>
        <v>0.10941010281949885</v>
      </c>
      <c r="F456" s="1" t="e">
        <f t="shared" ca="1" si="31"/>
        <v>#DIV/0!</v>
      </c>
    </row>
    <row r="457" spans="1:6" x14ac:dyDescent="0.15">
      <c r="A457" s="1">
        <v>23.143000000000001</v>
      </c>
      <c r="B457" s="1">
        <v>2.9622999999999999</v>
      </c>
      <c r="C457" s="1">
        <f t="shared" ca="1" si="28"/>
        <v>9.1999999999998749E-3</v>
      </c>
      <c r="D457" s="1">
        <f t="shared" ca="1" si="29"/>
        <v>-136.80229335881791</v>
      </c>
      <c r="E457" s="1">
        <f t="shared" ca="1" si="30"/>
        <v>0.24786592836133481</v>
      </c>
      <c r="F457" s="1" t="e">
        <f t="shared" ca="1" si="31"/>
        <v>#DIV/0!</v>
      </c>
    </row>
    <row r="458" spans="1:6" x14ac:dyDescent="0.15">
      <c r="A458" s="1">
        <v>23.152200000000001</v>
      </c>
      <c r="B458" s="1">
        <v>3.49526</v>
      </c>
      <c r="C458" s="1">
        <f t="shared" ca="1" si="28"/>
        <v>9.100000000000108E-3</v>
      </c>
      <c r="D458" s="1">
        <f t="shared" ca="1" si="29"/>
        <v>-740.77596751130318</v>
      </c>
      <c r="E458" s="1">
        <f t="shared" ca="1" si="30"/>
        <v>0.26515434702562773</v>
      </c>
      <c r="F458" s="1" t="e">
        <f t="shared" ca="1" si="31"/>
        <v>#DIV/0!</v>
      </c>
    </row>
    <row r="459" spans="1:6" x14ac:dyDescent="0.15">
      <c r="A459" s="1">
        <v>23.161300000000001</v>
      </c>
      <c r="B459" s="1">
        <v>3.6074600000000001</v>
      </c>
      <c r="C459" s="1">
        <f t="shared" ca="1" si="28"/>
        <v>2.2999999999981924E-3</v>
      </c>
      <c r="D459" s="1">
        <f t="shared" ca="1" si="29"/>
        <v>670.41909937943547</v>
      </c>
      <c r="E459" s="1">
        <f t="shared" ca="1" si="30"/>
        <v>0.1128164630677479</v>
      </c>
      <c r="F459" s="1" t="e">
        <f t="shared" ca="1" si="31"/>
        <v>#DIV/0!</v>
      </c>
    </row>
    <row r="460" spans="1:6" x14ac:dyDescent="0.15">
      <c r="A460" s="1">
        <v>23.163599999999999</v>
      </c>
      <c r="B460" s="1">
        <v>3.0678899999999998</v>
      </c>
      <c r="C460" s="1">
        <f t="shared" ca="1" si="28"/>
        <v>1.6799999999999926E-2</v>
      </c>
      <c r="D460" s="1">
        <f t="shared" ca="1" si="29"/>
        <v>92.073214285714641</v>
      </c>
      <c r="E460" s="1">
        <f t="shared" ca="1" si="30"/>
        <v>0.44279833419920911</v>
      </c>
      <c r="F460" s="1" t="e">
        <f t="shared" ca="1" si="31"/>
        <v>#DIV/0!</v>
      </c>
    </row>
    <row r="461" spans="1:6" x14ac:dyDescent="0.15">
      <c r="A461" s="1">
        <v>23.180399999999999</v>
      </c>
      <c r="B461" s="1">
        <v>2.88103</v>
      </c>
      <c r="C461" s="1">
        <f t="shared" ca="1" si="28"/>
        <v>1.6799999999999926E-2</v>
      </c>
      <c r="D461" s="1">
        <f t="shared" ca="1" si="29"/>
        <v>-84.658311190997352</v>
      </c>
      <c r="E461" s="1">
        <f t="shared" ca="1" si="30"/>
        <v>0.28111985036273779</v>
      </c>
      <c r="F461" s="1" t="e">
        <f t="shared" ca="1" si="31"/>
        <v>#DIV/0!</v>
      </c>
    </row>
    <row r="462" spans="1:6" x14ac:dyDescent="0.15">
      <c r="A462" s="1">
        <v>23.197199999999999</v>
      </c>
      <c r="B462" s="1">
        <v>3.2097799999999999</v>
      </c>
      <c r="C462" s="1">
        <f t="shared" ca="1" si="28"/>
        <v>4.5700000000000074E-2</v>
      </c>
      <c r="D462" s="1">
        <f t="shared" ca="1" si="29"/>
        <v>69.86511621029905</v>
      </c>
      <c r="E462" s="1">
        <f t="shared" ca="1" si="30"/>
        <v>0.37995567841717348</v>
      </c>
      <c r="F462" s="1" t="e">
        <f t="shared" ca="1" si="31"/>
        <v>#DIV/0!</v>
      </c>
    </row>
    <row r="463" spans="1:6" x14ac:dyDescent="0.15">
      <c r="A463" s="1">
        <v>23.242899999999999</v>
      </c>
      <c r="B463" s="1">
        <v>2.8144300000000002</v>
      </c>
      <c r="C463" s="1">
        <f t="shared" ca="1" si="28"/>
        <v>2.2200000000001552E-2</v>
      </c>
      <c r="D463" s="1">
        <f t="shared" ca="1" si="29"/>
        <v>-24.293061038562232</v>
      </c>
      <c r="E463" s="1">
        <f t="shared" ca="1" si="30"/>
        <v>0.18744296684194198</v>
      </c>
      <c r="F463" s="1" t="e">
        <f t="shared" ca="1" si="31"/>
        <v>#DIV/0!</v>
      </c>
    </row>
    <row r="464" spans="1:6" x14ac:dyDescent="0.15">
      <c r="A464" s="1">
        <v>23.2651</v>
      </c>
      <c r="B464" s="1">
        <v>3.1393800000000001</v>
      </c>
      <c r="C464" s="1">
        <f t="shared" ca="1" si="28"/>
        <v>2.669999999999817E-2</v>
      </c>
      <c r="D464" s="1">
        <f t="shared" ca="1" si="29"/>
        <v>-104.57844178293647</v>
      </c>
      <c r="E464" s="1">
        <f t="shared" ca="1" si="30"/>
        <v>0.28513831505627224</v>
      </c>
      <c r="F464" s="1" t="e">
        <f t="shared" ca="1" si="31"/>
        <v>#DIV/0!</v>
      </c>
    </row>
    <row r="465" spans="1:6" x14ac:dyDescent="0.15">
      <c r="A465" s="1">
        <v>23.291799999999999</v>
      </c>
      <c r="B465" s="1">
        <v>3.31399</v>
      </c>
      <c r="C465" s="1">
        <f t="shared" ca="1" si="28"/>
        <v>9.100000000000108E-3</v>
      </c>
      <c r="D465" s="1">
        <f t="shared" ca="1" si="29"/>
        <v>131.54661338661259</v>
      </c>
      <c r="E465" s="1">
        <f t="shared" ca="1" si="30"/>
        <v>0.14221681669015734</v>
      </c>
      <c r="F465" s="1" t="e">
        <f t="shared" ca="1" si="31"/>
        <v>#DIV/0!</v>
      </c>
    </row>
    <row r="466" spans="1:6" x14ac:dyDescent="0.15">
      <c r="A466" s="1">
        <v>23.300899999999999</v>
      </c>
      <c r="B466" s="1">
        <v>3.0562800000000001</v>
      </c>
      <c r="C466" s="1">
        <f t="shared" ca="1" si="28"/>
        <v>2.7499999999999858E-2</v>
      </c>
      <c r="D466" s="1">
        <f t="shared" ca="1" si="29"/>
        <v>-52.806204766107754</v>
      </c>
      <c r="E466" s="1">
        <f t="shared" ca="1" si="30"/>
        <v>0.38244466630211199</v>
      </c>
      <c r="F466" s="1" t="e">
        <f t="shared" ca="1" si="31"/>
        <v>#DIV/0!</v>
      </c>
    </row>
    <row r="467" spans="1:6" x14ac:dyDescent="0.15">
      <c r="A467" s="1">
        <v>23.328399999999998</v>
      </c>
      <c r="B467" s="1">
        <v>3.48333</v>
      </c>
      <c r="C467" s="1">
        <f t="shared" ca="1" si="28"/>
        <v>6.1800000000001631E-2</v>
      </c>
      <c r="D467" s="1">
        <f t="shared" ca="1" si="29"/>
        <v>-2.0564165389677207</v>
      </c>
      <c r="E467" s="1">
        <f t="shared" ca="1" si="30"/>
        <v>0.36767599310459453</v>
      </c>
      <c r="F467" s="1" t="e">
        <f t="shared" ca="1" si="31"/>
        <v>#DIV/0!</v>
      </c>
    </row>
    <row r="468" spans="1:6" x14ac:dyDescent="0.15">
      <c r="A468" s="1">
        <v>23.3902</v>
      </c>
      <c r="B468" s="1">
        <v>3.3552200000000001</v>
      </c>
      <c r="C468" s="1">
        <f t="shared" ca="1" si="28"/>
        <v>0.17930000000000135</v>
      </c>
      <c r="D468" s="1">
        <f t="shared" ca="1" si="29"/>
        <v>29.643129326465687</v>
      </c>
      <c r="E468" s="1">
        <f t="shared" ca="1" si="30"/>
        <v>0.39022574937379451</v>
      </c>
      <c r="F468" s="1" t="e">
        <f t="shared" ca="1" si="31"/>
        <v>#DIV/0!</v>
      </c>
    </row>
    <row r="469" spans="1:6" x14ac:dyDescent="0.15">
      <c r="A469" s="1">
        <v>23.569500000000001</v>
      </c>
      <c r="B469" s="1">
        <v>2.86063</v>
      </c>
      <c r="C469" s="1">
        <f t="shared" ca="1" si="28"/>
        <v>7.4799999999999756E-2</v>
      </c>
      <c r="D469" s="1">
        <f t="shared" ca="1" si="29"/>
        <v>-191.36589395626478</v>
      </c>
      <c r="E469" s="1">
        <f t="shared" ca="1" si="30"/>
        <v>0.17068564301095465</v>
      </c>
      <c r="F469" s="1" t="e">
        <f t="shared" ca="1" si="31"/>
        <v>#DIV/0!</v>
      </c>
    </row>
    <row r="470" spans="1:6" x14ac:dyDescent="0.15">
      <c r="A470" s="1">
        <v>23.644300000000001</v>
      </c>
      <c r="B470" s="1">
        <v>3.3934000000000002</v>
      </c>
      <c r="C470" s="1">
        <f t="shared" ca="1" si="28"/>
        <v>5.2999999999983061E-3</v>
      </c>
      <c r="D470" s="1">
        <f t="shared" ca="1" si="29"/>
        <v>175.28575365703983</v>
      </c>
      <c r="E470" s="1">
        <f t="shared" ca="1" si="30"/>
        <v>3.5948602312871655E-2</v>
      </c>
      <c r="F470" s="1" t="e">
        <f t="shared" ca="1" si="31"/>
        <v>#DIV/0!</v>
      </c>
    </row>
    <row r="471" spans="1:6" x14ac:dyDescent="0.15">
      <c r="A471" s="1">
        <v>23.6496</v>
      </c>
      <c r="B471" s="1">
        <v>3.09307</v>
      </c>
      <c r="C471" s="1">
        <f t="shared" ca="1" si="28"/>
        <v>5.3399999999999892E-2</v>
      </c>
      <c r="D471" s="1">
        <f t="shared" ca="1" si="29"/>
        <v>-5.8901197882811873</v>
      </c>
      <c r="E471" s="1">
        <f t="shared" ca="1" si="30"/>
        <v>0.45559457698296396</v>
      </c>
      <c r="F471" s="1" t="e">
        <f t="shared" ca="1" si="31"/>
        <v>#DIV/0!</v>
      </c>
    </row>
    <row r="472" spans="1:6" x14ac:dyDescent="0.15">
      <c r="A472" s="1">
        <v>23.702999999999999</v>
      </c>
      <c r="B472" s="1">
        <v>3.1871900000000002</v>
      </c>
      <c r="C472" s="1">
        <f t="shared" ca="1" si="28"/>
        <v>8.4700000000001552E-2</v>
      </c>
      <c r="D472" s="1">
        <f t="shared" ca="1" si="29"/>
        <v>3.7953051075106528</v>
      </c>
      <c r="E472" s="1">
        <f t="shared" ca="1" si="30"/>
        <v>0.33628292287498451</v>
      </c>
      <c r="F472" s="1" t="e">
        <f t="shared" ca="1" si="31"/>
        <v>#DIV/0!</v>
      </c>
    </row>
    <row r="473" spans="1:6" x14ac:dyDescent="0.15">
      <c r="A473" s="1">
        <v>23.787700000000001</v>
      </c>
      <c r="B473" s="1">
        <v>3.1701800000000002</v>
      </c>
      <c r="C473" s="1">
        <f t="shared" ca="1" si="28"/>
        <v>0.13659999999999783</v>
      </c>
      <c r="D473" s="1">
        <f t="shared" ca="1" si="29"/>
        <v>-15.278227228521679</v>
      </c>
      <c r="E473" s="1">
        <f t="shared" ca="1" si="30"/>
        <v>0.32985860023652419</v>
      </c>
      <c r="F473" s="1" t="e">
        <f t="shared" ca="1" si="31"/>
        <v>#DIV/0!</v>
      </c>
    </row>
    <row r="474" spans="1:6" x14ac:dyDescent="0.15">
      <c r="A474" s="1">
        <v>23.924299999999999</v>
      </c>
      <c r="B474" s="1">
        <v>3.3155600000000001</v>
      </c>
      <c r="C474" s="1">
        <f t="shared" ca="1" si="28"/>
        <v>2.7400000000000091E-2</v>
      </c>
      <c r="D474" s="1">
        <f t="shared" ca="1" si="29"/>
        <v>18.860556739356472</v>
      </c>
      <c r="E474" s="1">
        <f t="shared" ca="1" si="30"/>
        <v>9.6839869355550556E-2</v>
      </c>
      <c r="F474" s="1" t="e">
        <f t="shared" ca="1" si="31"/>
        <v>#DIV/0!</v>
      </c>
    </row>
    <row r="475" spans="1:6" x14ac:dyDescent="0.15">
      <c r="A475" s="1">
        <v>23.951699999999999</v>
      </c>
      <c r="B475" s="1">
        <v>3.2051799999999999</v>
      </c>
      <c r="C475" s="1">
        <f t="shared" ca="1" si="28"/>
        <v>1.6100000000001558E-2</v>
      </c>
      <c r="D475" s="1">
        <f t="shared" ca="1" si="29"/>
        <v>-30.427342779502453</v>
      </c>
      <c r="E475" s="1">
        <f t="shared" ca="1" si="30"/>
        <v>0.19087909140124842</v>
      </c>
      <c r="F475" s="1" t="e">
        <f t="shared" ca="1" si="31"/>
        <v>#DIV/0!</v>
      </c>
    </row>
    <row r="476" spans="1:6" x14ac:dyDescent="0.15">
      <c r="A476" s="1">
        <v>23.9678</v>
      </c>
      <c r="B476" s="1">
        <v>3.2415400000000001</v>
      </c>
      <c r="C476" s="1">
        <f t="shared" ca="1" si="28"/>
        <v>3.2000000000000028E-2</v>
      </c>
      <c r="D476" s="1">
        <f t="shared" ca="1" si="29"/>
        <v>28.210240384615464</v>
      </c>
      <c r="E476" s="1">
        <f t="shared" ca="1" si="30"/>
        <v>0.34361734729055671</v>
      </c>
      <c r="F476" s="1" t="e">
        <f t="shared" ca="1" si="31"/>
        <v>#DIV/0!</v>
      </c>
    </row>
    <row r="477" spans="1:6" x14ac:dyDescent="0.15">
      <c r="A477" s="1">
        <v>23.9998</v>
      </c>
      <c r="B477" s="1">
        <v>2.9892500000000002</v>
      </c>
      <c r="C477" s="1">
        <f t="shared" ca="1" si="28"/>
        <v>8.3199999999997942E-2</v>
      </c>
      <c r="D477" s="1">
        <f t="shared" ca="1" si="29"/>
        <v>40.954355874508451</v>
      </c>
      <c r="E477" s="1">
        <f t="shared" ca="1" si="30"/>
        <v>0.37920870693711051</v>
      </c>
      <c r="F477" s="1" t="e">
        <f t="shared" ca="1" si="31"/>
        <v>#DIV/0!</v>
      </c>
    </row>
    <row r="478" spans="1:6" x14ac:dyDescent="0.15">
      <c r="A478" s="1">
        <v>24.082999999999998</v>
      </c>
      <c r="B478" s="1">
        <v>3.1156600000000001</v>
      </c>
      <c r="C478" s="1">
        <f t="shared" ca="1" si="28"/>
        <v>1.3700000000000045E-2</v>
      </c>
      <c r="D478" s="1">
        <f t="shared" ca="1" si="29"/>
        <v>-284.61240875913307</v>
      </c>
      <c r="E478" s="1">
        <f t="shared" ca="1" si="30"/>
        <v>8.44376818675181E-2</v>
      </c>
      <c r="F478" s="1" t="e">
        <f t="shared" ca="1" si="31"/>
        <v>#DIV/0!</v>
      </c>
    </row>
    <row r="479" spans="1:6" x14ac:dyDescent="0.15">
      <c r="A479" s="1">
        <v>24.096699999999998</v>
      </c>
      <c r="B479" s="1">
        <v>3.3235000000000001</v>
      </c>
      <c r="C479" s="1">
        <f t="shared" ca="1" si="28"/>
        <v>3.0999999999998806E-3</v>
      </c>
      <c r="D479" s="1">
        <f t="shared" ca="1" si="29"/>
        <v>230.29299781182533</v>
      </c>
      <c r="E479" s="1">
        <f t="shared" ca="1" si="30"/>
        <v>9.5551599129473405E-2</v>
      </c>
      <c r="F479" s="1" t="e">
        <f t="shared" ca="1" si="31"/>
        <v>#DIV/0!</v>
      </c>
    </row>
    <row r="480" spans="1:6" x14ac:dyDescent="0.15">
      <c r="A480" s="1">
        <v>24.099799999999998</v>
      </c>
      <c r="B480" s="1">
        <v>3.0764300000000002</v>
      </c>
      <c r="C480" s="1">
        <f t="shared" ca="1" si="28"/>
        <v>4.5700000000000074E-2</v>
      </c>
      <c r="D480" s="1">
        <f t="shared" ca="1" si="29"/>
        <v>60.365727020395752</v>
      </c>
      <c r="E480" s="1">
        <f t="shared" ca="1" si="30"/>
        <v>0.46966310335852424</v>
      </c>
      <c r="F480" s="1" t="e">
        <f t="shared" ca="1" si="31"/>
        <v>#DIV/0!</v>
      </c>
    </row>
    <row r="481" spans="1:6" x14ac:dyDescent="0.15">
      <c r="A481" s="1">
        <v>24.145499999999998</v>
      </c>
      <c r="B481" s="1">
        <v>2.9422700000000002</v>
      </c>
      <c r="C481" s="1">
        <f t="shared" ca="1" si="28"/>
        <v>2.9800000000001603E-2</v>
      </c>
      <c r="D481" s="1">
        <f t="shared" ca="1" si="29"/>
        <v>-71.411257871859192</v>
      </c>
      <c r="E481" s="1">
        <f t="shared" ca="1" si="30"/>
        <v>0.23005117387543539</v>
      </c>
      <c r="F481" s="1" t="e">
        <f t="shared" ca="1" si="31"/>
        <v>#DIV/0!</v>
      </c>
    </row>
    <row r="482" spans="1:6" x14ac:dyDescent="0.15">
      <c r="A482" s="1">
        <v>24.1753</v>
      </c>
      <c r="B482" s="1">
        <v>3.4544199999999998</v>
      </c>
      <c r="C482" s="1">
        <f t="shared" ca="1" si="28"/>
        <v>9.0800000000001546E-2</v>
      </c>
      <c r="D482" s="1">
        <f t="shared" ca="1" si="29"/>
        <v>31.352533039647536</v>
      </c>
      <c r="E482" s="1">
        <f t="shared" ca="1" si="30"/>
        <v>0.387463796587594</v>
      </c>
      <c r="F482" s="1" t="e">
        <f t="shared" ca="1" si="31"/>
        <v>#DIV/0!</v>
      </c>
    </row>
    <row r="483" spans="1:6" x14ac:dyDescent="0.15">
      <c r="A483" s="1">
        <v>24.266100000000002</v>
      </c>
      <c r="B483" s="1">
        <v>2.8535499999999998</v>
      </c>
      <c r="C483" s="1">
        <f t="shared" ca="1" si="28"/>
        <v>1.5000000000000568E-3</v>
      </c>
      <c r="D483" s="1">
        <f t="shared" ca="1" si="29"/>
        <v>20.936363636369101</v>
      </c>
      <c r="E483" s="1">
        <f t="shared" ca="1" si="30"/>
        <v>1.0038931829616413E-2</v>
      </c>
      <c r="F483" s="1" t="e">
        <f t="shared" ca="1" si="31"/>
        <v>#DIV/0!</v>
      </c>
    </row>
    <row r="484" spans="1:6" x14ac:dyDescent="0.15">
      <c r="A484" s="1">
        <v>24.267600000000002</v>
      </c>
      <c r="B484" s="1">
        <v>2.8593000000000002</v>
      </c>
      <c r="C484" s="1">
        <f t="shared" ca="1" si="28"/>
        <v>9.8999999999982435E-3</v>
      </c>
      <c r="D484" s="1">
        <f t="shared" ca="1" si="29"/>
        <v>229.98863636365923</v>
      </c>
      <c r="E484" s="1">
        <f t="shared" ca="1" si="30"/>
        <v>0.43449749280988631</v>
      </c>
      <c r="F484" s="1" t="e">
        <f t="shared" ca="1" si="31"/>
        <v>#DIV/0!</v>
      </c>
    </row>
    <row r="485" spans="1:6" x14ac:dyDescent="0.15">
      <c r="A485" s="1">
        <v>24.2775</v>
      </c>
      <c r="B485" s="1">
        <v>2.9663400000000002</v>
      </c>
      <c r="C485" s="1">
        <f t="shared" ca="1" si="28"/>
        <v>1.5999999999998238E-3</v>
      </c>
      <c r="D485" s="1">
        <f t="shared" ca="1" si="29"/>
        <v>-221.48106060608936</v>
      </c>
      <c r="E485" s="1">
        <f t="shared" ca="1" si="30"/>
        <v>8.5568476322334427E-2</v>
      </c>
      <c r="F485" s="1" t="e">
        <f t="shared" ca="1" si="31"/>
        <v>#DIV/0!</v>
      </c>
    </row>
    <row r="486" spans="1:6" x14ac:dyDescent="0.15">
      <c r="A486" s="1">
        <v>24.2791</v>
      </c>
      <c r="B486" s="1">
        <v>3.1063000000000001</v>
      </c>
      <c r="C486" s="1">
        <f t="shared" ca="1" si="28"/>
        <v>1.980000000000004E-2</v>
      </c>
      <c r="D486" s="1">
        <f t="shared" ca="1" si="29"/>
        <v>-45.332058205820466</v>
      </c>
      <c r="E486" s="1">
        <f t="shared" ca="1" si="30"/>
        <v>0.4641013999871425</v>
      </c>
      <c r="F486" s="1" t="e">
        <f t="shared" ca="1" si="31"/>
        <v>#DIV/0!</v>
      </c>
    </row>
    <row r="487" spans="1:6" x14ac:dyDescent="0.15">
      <c r="A487" s="1">
        <v>24.2989</v>
      </c>
      <c r="B487" s="1">
        <v>3.3765299999999998</v>
      </c>
      <c r="C487" s="1">
        <f t="shared" ca="1" si="28"/>
        <v>0.21209999999999951</v>
      </c>
      <c r="D487" s="1">
        <f t="shared" ca="1" si="29"/>
        <v>3.4488517961744565</v>
      </c>
      <c r="E487" s="1">
        <f t="shared" ca="1" si="30"/>
        <v>0.46655293627355499</v>
      </c>
      <c r="F487" s="1" t="e">
        <f t="shared" ca="1" si="31"/>
        <v>#DIV/0!</v>
      </c>
    </row>
    <row r="488" spans="1:6" x14ac:dyDescent="0.15">
      <c r="A488" s="1">
        <v>24.510999999999999</v>
      </c>
      <c r="B488" s="1">
        <v>3.06629</v>
      </c>
      <c r="C488" s="1">
        <f t="shared" ca="1" si="28"/>
        <v>1.9100000000001671E-2</v>
      </c>
      <c r="D488" s="1">
        <f t="shared" ca="1" si="29"/>
        <v>24.199933682374365</v>
      </c>
      <c r="E488" s="1">
        <f t="shared" ca="1" si="30"/>
        <v>5.2552782759354183E-2</v>
      </c>
      <c r="F488" s="1" t="e">
        <f t="shared" ca="1" si="31"/>
        <v>#DIV/0!</v>
      </c>
    </row>
    <row r="489" spans="1:6" x14ac:dyDescent="0.15">
      <c r="A489" s="1">
        <v>24.530100000000001</v>
      </c>
      <c r="B489" s="1">
        <v>3.0603099999999999</v>
      </c>
      <c r="C489" s="1">
        <f t="shared" ca="1" si="28"/>
        <v>4.4999999999998153E-2</v>
      </c>
      <c r="D489" s="1">
        <f t="shared" ca="1" si="29"/>
        <v>-89.693453551913564</v>
      </c>
      <c r="E489" s="1">
        <f t="shared" ca="1" si="30"/>
        <v>0.35378403752930732</v>
      </c>
      <c r="F489" s="1" t="e">
        <f t="shared" ca="1" si="31"/>
        <v>#DIV/0!</v>
      </c>
    </row>
    <row r="490" spans="1:6" x14ac:dyDescent="0.15">
      <c r="A490" s="1">
        <v>24.575099999999999</v>
      </c>
      <c r="B490" s="1">
        <v>3.4092199999999999</v>
      </c>
      <c r="C490" s="1">
        <f t="shared" ca="1" si="28"/>
        <v>3.0499999999999972E-2</v>
      </c>
      <c r="D490" s="1">
        <f t="shared" ca="1" si="29"/>
        <v>76.926592989375223</v>
      </c>
      <c r="E490" s="1">
        <f t="shared" ca="1" si="30"/>
        <v>0.22579259404241775</v>
      </c>
      <c r="F490" s="1" t="e">
        <f t="shared" ca="1" si="31"/>
        <v>#DIV/0!</v>
      </c>
    </row>
    <row r="491" spans="1:6" x14ac:dyDescent="0.15">
      <c r="A491" s="1">
        <v>24.605599999999999</v>
      </c>
      <c r="B491" s="1">
        <v>2.7338200000000001</v>
      </c>
      <c r="C491" s="1">
        <f t="shared" ca="1" si="28"/>
        <v>0.11139999999999972</v>
      </c>
      <c r="D491" s="1">
        <f t="shared" ca="1" si="29"/>
        <v>11.094860562537422</v>
      </c>
      <c r="E491" s="1">
        <f t="shared" ca="1" si="30"/>
        <v>0.4022919433194363</v>
      </c>
      <c r="F491" s="1" t="e">
        <f t="shared" ca="1" si="31"/>
        <v>#DIV/0!</v>
      </c>
    </row>
    <row r="492" spans="1:6" x14ac:dyDescent="0.15">
      <c r="A492" s="1">
        <v>24.716999999999999</v>
      </c>
      <c r="B492" s="1">
        <v>3.1234899999999999</v>
      </c>
      <c r="C492" s="1">
        <f t="shared" ca="1" si="28"/>
        <v>8.9999999999999858E-2</v>
      </c>
      <c r="D492" s="1">
        <f t="shared" ca="1" si="29"/>
        <v>-451.42199999987054</v>
      </c>
      <c r="E492" s="1">
        <f t="shared" ca="1" si="30"/>
        <v>0.25140740834201297</v>
      </c>
      <c r="F492" s="1" t="e">
        <f t="shared" ca="1" si="31"/>
        <v>#DIV/0!</v>
      </c>
    </row>
    <row r="493" spans="1:6" x14ac:dyDescent="0.15">
      <c r="A493" s="1">
        <v>24.806999999999999</v>
      </c>
      <c r="B493" s="1">
        <v>3.77115</v>
      </c>
      <c r="C493" s="1">
        <f t="shared" ca="1" si="28"/>
        <v>5.4000000000016257E-3</v>
      </c>
      <c r="D493" s="1">
        <f t="shared" ca="1" si="29"/>
        <v>458.21190476178128</v>
      </c>
      <c r="E493" s="1">
        <f t="shared" ca="1" si="30"/>
        <v>3.2109728074421764E-2</v>
      </c>
      <c r="F493" s="1" t="e">
        <f t="shared" ca="1" si="31"/>
        <v>#DIV/0!</v>
      </c>
    </row>
    <row r="494" spans="1:6" x14ac:dyDescent="0.15">
      <c r="A494" s="1">
        <v>24.8124</v>
      </c>
      <c r="B494" s="1">
        <v>2.9974500000000002</v>
      </c>
      <c r="C494" s="1">
        <f t="shared" ca="1" si="28"/>
        <v>8.3999999999981867E-3</v>
      </c>
      <c r="D494" s="1">
        <f t="shared" ca="1" si="29"/>
        <v>15.366088765593675</v>
      </c>
      <c r="E494" s="1">
        <f t="shared" ca="1" si="30"/>
        <v>0.30627192990154128</v>
      </c>
      <c r="F494" s="1" t="e">
        <f t="shared" ca="1" si="31"/>
        <v>#DIV/0!</v>
      </c>
    </row>
    <row r="495" spans="1:6" x14ac:dyDescent="0.15">
      <c r="A495" s="1">
        <v>24.820799999999998</v>
      </c>
      <c r="B495" s="1">
        <v>3.0769099999999998</v>
      </c>
      <c r="C495" s="1">
        <f t="shared" ca="1" si="28"/>
        <v>2.0600000000001728E-2</v>
      </c>
      <c r="D495" s="1">
        <f t="shared" ca="1" si="29"/>
        <v>-74.21044966786944</v>
      </c>
      <c r="E495" s="1">
        <f t="shared" ca="1" si="30"/>
        <v>0.37165790381200631</v>
      </c>
      <c r="F495" s="1" t="e">
        <f t="shared" ca="1" si="31"/>
        <v>#DIV/0!</v>
      </c>
    </row>
    <row r="496" spans="1:6" x14ac:dyDescent="0.15">
      <c r="A496" s="1">
        <v>24.8414</v>
      </c>
      <c r="B496" s="1">
        <v>3.3772899999999999</v>
      </c>
      <c r="C496" s="1">
        <f t="shared" ca="1" si="28"/>
        <v>3.7999999999982492E-3</v>
      </c>
      <c r="D496" s="1">
        <f t="shared" ca="1" si="29"/>
        <v>-147.86421052629478</v>
      </c>
      <c r="E496" s="1">
        <f t="shared" ca="1" si="30"/>
        <v>9.235888863862679E-2</v>
      </c>
      <c r="F496" s="1" t="e">
        <f t="shared" ca="1" si="31"/>
        <v>#DIV/0!</v>
      </c>
    </row>
    <row r="497" spans="1:6" x14ac:dyDescent="0.15">
      <c r="A497" s="1">
        <v>24.845199999999998</v>
      </c>
      <c r="B497" s="1">
        <v>3.3386999999999998</v>
      </c>
      <c r="C497" s="1">
        <f t="shared" ca="1" si="28"/>
        <v>3.0000000000001137E-3</v>
      </c>
      <c r="D497" s="1">
        <f t="shared" ca="1" si="29"/>
        <v>178.18326086955835</v>
      </c>
      <c r="E497" s="1">
        <f t="shared" ca="1" si="30"/>
        <v>0.22643156449022839</v>
      </c>
      <c r="F497" s="1" t="e">
        <f t="shared" ca="1" si="31"/>
        <v>#DIV/0!</v>
      </c>
    </row>
    <row r="498" spans="1:6" x14ac:dyDescent="0.15">
      <c r="A498" s="1">
        <v>24.848199999999999</v>
      </c>
      <c r="B498" s="1">
        <v>3.1603699999999999</v>
      </c>
      <c r="C498" s="1">
        <f t="shared" ca="1" si="28"/>
        <v>0.15640000000000143</v>
      </c>
      <c r="D498" s="1">
        <f t="shared" ca="1" si="29"/>
        <v>66.433695652174933</v>
      </c>
      <c r="E498" s="1">
        <f t="shared" ca="1" si="30"/>
        <v>0.4916372854426394</v>
      </c>
      <c r="F498" s="1" t="e">
        <f t="shared" ca="1" si="31"/>
        <v>#DIV/0!</v>
      </c>
    </row>
    <row r="499" spans="1:6" x14ac:dyDescent="0.15">
      <c r="A499" s="1">
        <v>25.0046</v>
      </c>
      <c r="B499" s="1">
        <v>3.15272</v>
      </c>
      <c r="C499" s="1">
        <f t="shared" ca="1" si="28"/>
        <v>4.5999999999999375E-3</v>
      </c>
      <c r="D499" s="1">
        <f t="shared" ca="1" si="29"/>
        <v>-62.749565217392814</v>
      </c>
      <c r="E499" s="1">
        <f t="shared" ca="1" si="30"/>
        <v>1.8767242769686502E-2</v>
      </c>
      <c r="F499" s="1" t="e">
        <f t="shared" ca="1" si="31"/>
        <v>#DIV/0!</v>
      </c>
    </row>
    <row r="500" spans="1:6" x14ac:dyDescent="0.15">
      <c r="A500" s="1">
        <v>25.0092</v>
      </c>
      <c r="B500" s="1">
        <v>3.2543600000000001</v>
      </c>
      <c r="C500" s="1">
        <f t="shared" ca="1" si="28"/>
        <v>1.150000000000162E-2</v>
      </c>
      <c r="D500" s="1" t="e">
        <f t="shared" ca="1" si="29"/>
        <v>#DIV/0!</v>
      </c>
      <c r="E500" s="1">
        <f t="shared" ca="1" si="30"/>
        <v>0.35810294355404676</v>
      </c>
      <c r="F500" s="1" t="e">
        <f t="shared" ca="1" si="31"/>
        <v>#DIV/0!</v>
      </c>
    </row>
    <row r="501" spans="1:6" x14ac:dyDescent="0.15">
      <c r="A501" s="1">
        <v>25.020700000000001</v>
      </c>
      <c r="B501" s="1">
        <v>3.2679200000000002</v>
      </c>
      <c r="D501" s="1" t="e">
        <f t="shared" si="29"/>
        <v>#DIV/0!</v>
      </c>
      <c r="E501" s="1">
        <f t="shared" ca="1" si="30"/>
        <v>0</v>
      </c>
      <c r="F501" s="1" t="e">
        <f t="shared" ca="1" si="31"/>
        <v>#DIV/0!</v>
      </c>
    </row>
  </sheetData>
  <phoneticPr fontId="18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2B036E-E337-4E5B-947F-765436370E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Data</vt:lpstr>
      <vt:lpstr>Least Squares Regression</vt:lpstr>
      <vt:lpstr>Nonlinear Regression</vt:lpstr>
      <vt:lpstr>Newton Interpolating Polynomial</vt:lpstr>
      <vt:lpstr>Lagrange Interpolating Polynomi</vt:lpstr>
      <vt:lpstr>Finite Difference Interpolation</vt:lpstr>
      <vt:lpstr>Cubic Interpolation</vt:lpstr>
      <vt:lpstr>Spline Interpolation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知花 チアゴ</cp:lastModifiedBy>
  <dcterms:created xsi:type="dcterms:W3CDTF">2025-11-20T07:05:09Z</dcterms:created>
  <dcterms:modified xsi:type="dcterms:W3CDTF">2025-11-20T09:33:51Z</dcterms:modified>
</cp:coreProperties>
</file>